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imelineCaches/timelineCache4.xml" ContentType="application/vnd.ms-excel.timelineCache+xml"/>
  <Override PartName="/xl/timelineCaches/timelineCache5.xml" ContentType="application/vnd.ms-excel.timelineCache+xml"/>
  <Override PartName="/xl/timelineCaches/timelineCache6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timelines/timeline1.xml" ContentType="application/vnd.ms-excel.timelin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timelines/timeline2.xml" ContentType="application/vnd.ms-excel.timeline+xml"/>
  <Override PartName="/xl/comments2.xml" ContentType="application/vnd.openxmlformats-officedocument.spreadsheetml.comments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timelines/timeline3.xml" ContentType="application/vnd.ms-excel.timelin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timelines/timeline4.xml" ContentType="application/vnd.ms-excel.timeline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timelines/timeline5.xml" ContentType="application/vnd.ms-excel.timeline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timelines/timeline6.xml" ContentType="application/vnd.ms-excel.timelin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3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Lola\Documents\1. Financeiro\Transações Financeiras 2026\"/>
    </mc:Choice>
  </mc:AlternateContent>
  <xr:revisionPtr revIDLastSave="0" documentId="13_ncr:1_{B326BB0E-C4D5-4ACA-BCA6-CCC8EB6647CA}" xr6:coauthVersionLast="47" xr6:coauthVersionMax="47" xr10:uidLastSave="{00000000-0000-0000-0000-000000000000}"/>
  <bookViews>
    <workbookView xWindow="20370" yWindow="-3720" windowWidth="29040" windowHeight="15720" tabRatio="897" firstSheet="1" activeTab="5" xr2:uid="{00000000-000D-0000-FFFF-FFFF00000000}"/>
  </bookViews>
  <sheets>
    <sheet name="PROVISÃO 2026" sheetId="56" state="hidden" r:id="rId1"/>
    <sheet name="Dados Bancários" sheetId="50" r:id="rId2"/>
    <sheet name="Classificação Financeira" sheetId="67" state="hidden" r:id="rId3"/>
    <sheet name="Saldo Disponível" sheetId="66" r:id="rId4"/>
    <sheet name="__" sheetId="54" r:id="rId5"/>
    <sheet name="Aramburu_Mensal" sheetId="52" r:id="rId6"/>
    <sheet name="_" sheetId="51" r:id="rId7"/>
    <sheet name="Distribuição de Lucro_Mensal" sheetId="42" r:id="rId8"/>
    <sheet name="Ana Beatriz" sheetId="44" r:id="rId9"/>
    <sheet name="Cláudio Luiz" sheetId="47" r:id="rId10"/>
    <sheet name="Isamélia" sheetId="48" r:id="rId11"/>
    <sheet name="Pedro Henrique" sheetId="49" r:id="rId12"/>
    <sheet name="LTS" sheetId="72" r:id="rId13"/>
    <sheet name="$ obra sede" sheetId="75" r:id="rId14"/>
    <sheet name="day20" sheetId="65" state="hidden" r:id="rId15"/>
    <sheet name="NOTAS EM GRUPO" sheetId="71" r:id="rId16"/>
    <sheet name="pendências da obra" sheetId="76" r:id="rId17"/>
    <sheet name="obra sede" sheetId="69" r:id="rId18"/>
  </sheets>
  <externalReferences>
    <externalReference r:id="rId19"/>
  </externalReferences>
  <definedNames>
    <definedName name="_xlnm._FilterDatabase" localSheetId="5" hidden="1">Aramburu_Mensal!$B$5:$O$809</definedName>
    <definedName name="_xlnm._FilterDatabase" localSheetId="1" hidden="1">'Dados Bancários'!$B$7:$C$7</definedName>
    <definedName name="_xlnm._FilterDatabase" localSheetId="7" hidden="1">'Distribuição de Lucro_Mensal'!$C$5:$K$689</definedName>
    <definedName name="_xlnm._FilterDatabase" localSheetId="12" hidden="1">LTS!$C$6:$K$85</definedName>
    <definedName name="_xlnm.Print_Area" localSheetId="13">'$ obra sede'!$C$1:$M$61</definedName>
    <definedName name="_xlnm.Print_Area" localSheetId="17">'obra sede'!$C$1:$I$79</definedName>
    <definedName name="_xlnm.Print_Area" localSheetId="16">'pendências da obra'!$C$1:$M$57</definedName>
    <definedName name="_xlnm.Print_Area" localSheetId="3">'Saldo Disponível'!$B$2:$AL$49</definedName>
    <definedName name="NativeTimeline_Dia">#N/A</definedName>
    <definedName name="NativeTimeline_Dia1">#N/A</definedName>
    <definedName name="NativeTimeline_Dia11">#N/A</definedName>
    <definedName name="NativeTimeline_Dia111">#N/A</definedName>
    <definedName name="NativeTimeline_Dia2">#N/A</definedName>
    <definedName name="NativeTimeline_Dia21">#N/A</definedName>
    <definedName name="_xlnm.Print_Titles" localSheetId="6">_!$1:$15</definedName>
    <definedName name="_xlnm.Print_Titles" localSheetId="4">__!$1:$18</definedName>
    <definedName name="_xlnm.Print_Titles" localSheetId="5">Aramburu_Mensal!$1:$5</definedName>
    <definedName name="_xlnm.Print_Titles" localSheetId="7">'Distribuição de Lucro_Mensal'!$1:$5</definedName>
  </definedNames>
  <calcPr calcId="191029"/>
  <pivotCaches>
    <pivotCache cacheId="0" r:id="rId20"/>
    <pivotCache cacheId="1" r:id="rId21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2"/>
        <x15:timelineCacheRef r:id="rId23"/>
        <x15:timelineCacheRef r:id="rId24"/>
        <x15:timelineCacheRef r:id="rId25"/>
        <x15:timelineCacheRef r:id="rId26"/>
        <x15:timelineCacheRef r:id="rId27"/>
      </x15:timelineCacheRefs>
    </ext>
  </extLst>
</workbook>
</file>

<file path=xl/calcChain.xml><?xml version="1.0" encoding="utf-8"?>
<calcChain xmlns="http://schemas.openxmlformats.org/spreadsheetml/2006/main">
  <c r="C456" i="52" l="1"/>
  <c r="O514" i="52" l="1"/>
  <c r="C519" i="52"/>
  <c r="C671" i="52"/>
  <c r="C646" i="52"/>
  <c r="C618" i="52"/>
  <c r="C583" i="52"/>
  <c r="C577" i="52"/>
  <c r="C545" i="52"/>
  <c r="C540" i="52"/>
  <c r="C520" i="52"/>
  <c r="C514" i="52"/>
  <c r="C500" i="52"/>
  <c r="C469" i="52"/>
  <c r="C463" i="52"/>
  <c r="C495" i="52"/>
  <c r="C451" i="52"/>
  <c r="C452" i="52"/>
  <c r="C725" i="52" l="1"/>
  <c r="C699" i="52"/>
  <c r="C670" i="52"/>
  <c r="C643" i="52"/>
  <c r="C615" i="52"/>
  <c r="C579" i="52"/>
  <c r="C542" i="52"/>
  <c r="C462" i="52"/>
  <c r="C494" i="52" l="1"/>
  <c r="C438" i="52" l="1"/>
  <c r="C435" i="52"/>
  <c r="C436" i="52"/>
  <c r="C440" i="52"/>
  <c r="C597" i="52"/>
  <c r="C563" i="52"/>
  <c r="C506" i="52"/>
  <c r="C521" i="52"/>
  <c r="N45" i="75"/>
  <c r="C594" i="52"/>
  <c r="C556" i="52"/>
  <c r="C493" i="52"/>
  <c r="C593" i="52"/>
  <c r="C555" i="52"/>
  <c r="C492" i="52"/>
  <c r="C437" i="52"/>
  <c r="C447" i="52" l="1"/>
  <c r="C511" i="52" l="1"/>
  <c r="C599" i="52"/>
  <c r="C600" i="52"/>
  <c r="D194" i="42" l="1"/>
  <c r="D193" i="42"/>
  <c r="C410" i="52"/>
  <c r="C513" i="52"/>
  <c r="C509" i="52"/>
  <c r="C505" i="52"/>
  <c r="C427" i="52"/>
  <c r="C426" i="52"/>
  <c r="C424" i="52"/>
  <c r="C423" i="52" l="1"/>
  <c r="C496" i="52"/>
  <c r="C448" i="52"/>
  <c r="C497" i="52"/>
  <c r="C409" i="52"/>
  <c r="C560" i="52" l="1"/>
  <c r="C474" i="52"/>
  <c r="C397" i="52"/>
  <c r="C735" i="52"/>
  <c r="C708" i="52"/>
  <c r="C681" i="52"/>
  <c r="C655" i="52"/>
  <c r="C627" i="52"/>
  <c r="C592" i="52"/>
  <c r="C554" i="52"/>
  <c r="C491" i="52"/>
  <c r="C402" i="52"/>
  <c r="C384" i="52"/>
  <c r="C383" i="52" l="1"/>
  <c r="D192" i="42"/>
  <c r="C385" i="52" l="1"/>
  <c r="C379" i="52"/>
  <c r="C374" i="52"/>
  <c r="C407" i="52" l="1"/>
  <c r="C412" i="52"/>
  <c r="C416" i="52"/>
  <c r="C480" i="52" l="1"/>
  <c r="C461" i="52"/>
  <c r="C464" i="52"/>
  <c r="C446" i="52"/>
  <c r="C467" i="52"/>
  <c r="C578" i="52"/>
  <c r="C541" i="52"/>
  <c r="C468" i="52"/>
  <c r="C466" i="52"/>
  <c r="C465" i="52"/>
  <c r="C479" i="52" l="1"/>
  <c r="C366" i="52"/>
  <c r="C441" i="52"/>
  <c r="C367" i="52"/>
  <c r="C487" i="52" l="1"/>
  <c r="C477" i="52"/>
  <c r="C365" i="52"/>
  <c r="C364" i="52"/>
  <c r="C349" i="52"/>
  <c r="C348" i="52"/>
  <c r="C360" i="52"/>
  <c r="C363" i="52"/>
  <c r="C352" i="52" l="1"/>
  <c r="C355" i="52"/>
  <c r="C353" i="52" l="1"/>
  <c r="C343" i="52"/>
  <c r="C341" i="52" l="1"/>
  <c r="D147" i="42" l="1"/>
  <c r="D463" i="42" l="1"/>
  <c r="D422" i="42"/>
  <c r="D378" i="42"/>
  <c r="D333" i="42"/>
  <c r="D291" i="42"/>
  <c r="D249" i="42"/>
  <c r="D204" i="42"/>
  <c r="D160" i="42"/>
  <c r="C508" i="52" l="1"/>
  <c r="C507" i="52"/>
  <c r="C674" i="52"/>
  <c r="C647" i="52"/>
  <c r="C619" i="52"/>
  <c r="C584" i="52"/>
  <c r="C546" i="52"/>
  <c r="C471" i="52"/>
  <c r="C415" i="52"/>
  <c r="C401" i="52"/>
  <c r="C362" i="52"/>
  <c r="C439" i="52"/>
  <c r="C559" i="52" l="1"/>
  <c r="C512" i="52"/>
  <c r="C430" i="52"/>
  <c r="C339" i="52"/>
  <c r="C350" i="52" l="1"/>
  <c r="C565" i="52"/>
  <c r="C518" i="52"/>
  <c r="C434" i="52"/>
  <c r="C337" i="52"/>
  <c r="C564" i="52"/>
  <c r="C517" i="52"/>
  <c r="C433" i="52"/>
  <c r="C336" i="52"/>
  <c r="C400" i="52" l="1"/>
  <c r="C345" i="52"/>
  <c r="C490" i="52"/>
  <c r="C399" i="52"/>
  <c r="C432" i="52"/>
  <c r="C338" i="52"/>
  <c r="C332" i="52"/>
  <c r="I146" i="42"/>
  <c r="I145" i="42"/>
  <c r="D146" i="42"/>
  <c r="D148" i="42" l="1"/>
  <c r="C333" i="52"/>
  <c r="C408" i="52" l="1"/>
  <c r="C502" i="52"/>
  <c r="C422" i="52"/>
  <c r="C377" i="52"/>
  <c r="C455" i="52"/>
  <c r="C406" i="52"/>
  <c r="C375" i="52"/>
  <c r="C419" i="52"/>
  <c r="C344" i="52"/>
  <c r="F16" i="71" l="1"/>
  <c r="F17" i="71" s="1"/>
  <c r="C649" i="52" l="1"/>
  <c r="C621" i="52"/>
  <c r="C586" i="52"/>
  <c r="C548" i="52"/>
  <c r="C481" i="52"/>
  <c r="C390" i="52"/>
  <c r="O386" i="52" l="1"/>
  <c r="D144" i="42"/>
  <c r="D157" i="42" l="1"/>
  <c r="C322" i="52"/>
  <c r="C516" i="52"/>
  <c r="C425" i="52"/>
  <c r="C324" i="52"/>
  <c r="C314" i="52"/>
  <c r="C356" i="52"/>
  <c r="C313" i="52"/>
  <c r="C312" i="52"/>
  <c r="C323" i="52"/>
  <c r="C311" i="52"/>
  <c r="C707" i="52" l="1"/>
  <c r="C680" i="52"/>
  <c r="C654" i="52"/>
  <c r="C626" i="52"/>
  <c r="C591" i="52"/>
  <c r="C553" i="52"/>
  <c r="C488" i="52"/>
  <c r="C396" i="52"/>
  <c r="C418" i="52"/>
  <c r="C411" i="52"/>
  <c r="C392" i="52" l="1"/>
  <c r="C330" i="52"/>
  <c r="C387" i="52"/>
  <c r="C294" i="52"/>
  <c r="C373" i="52"/>
  <c r="C371" i="52"/>
  <c r="D142" i="42"/>
  <c r="C283" i="52"/>
  <c r="C288" i="52"/>
  <c r="C287" i="52"/>
  <c r="C328" i="52"/>
  <c r="C325" i="52"/>
  <c r="C291" i="52"/>
  <c r="C286" i="52" l="1"/>
  <c r="C281" i="52" l="1"/>
  <c r="D141" i="42" l="1"/>
  <c r="C272" i="52" l="1"/>
  <c r="C273" i="52"/>
  <c r="C271" i="52"/>
  <c r="C270" i="52" l="1"/>
  <c r="C269" i="52"/>
  <c r="C268" i="52"/>
  <c r="C279" i="52"/>
  <c r="C331" i="52"/>
  <c r="C361" i="52"/>
  <c r="C354" i="52"/>
  <c r="K80" i="72"/>
  <c r="K79" i="72"/>
  <c r="K78" i="72"/>
  <c r="J10" i="66"/>
  <c r="C257" i="52" l="1"/>
  <c r="C372" i="52"/>
  <c r="C299" i="52"/>
  <c r="D140" i="42"/>
  <c r="D139" i="42" l="1"/>
  <c r="D138" i="42"/>
  <c r="C393" i="52"/>
  <c r="C303" i="52"/>
  <c r="O524" i="52"/>
  <c r="C327" i="52"/>
  <c r="C290" i="52"/>
  <c r="C278" i="52"/>
  <c r="D114" i="42" l="1"/>
  <c r="C240" i="52"/>
  <c r="C249" i="52"/>
  <c r="C289" i="52"/>
  <c r="C300" i="52"/>
  <c r="C473" i="52"/>
  <c r="C398" i="52"/>
  <c r="C307" i="52"/>
  <c r="C304" i="52"/>
  <c r="C275" i="52"/>
  <c r="C241" i="52"/>
  <c r="C246" i="52"/>
  <c r="C263" i="52"/>
  <c r="C295" i="52" l="1"/>
  <c r="C296" i="52"/>
  <c r="C233" i="52"/>
  <c r="C232" i="52"/>
  <c r="C231" i="52" l="1"/>
  <c r="C205" i="52" l="1"/>
  <c r="C217" i="52" l="1"/>
  <c r="C221" i="52"/>
  <c r="C317" i="52" l="1"/>
  <c r="C321" i="52" l="1"/>
  <c r="C475" i="52"/>
  <c r="C404" i="52"/>
  <c r="C309" i="52"/>
  <c r="D93" i="42"/>
  <c r="C211" i="52"/>
  <c r="C210" i="52"/>
  <c r="C209" i="52"/>
  <c r="C234" i="52" l="1"/>
  <c r="C230" i="52"/>
  <c r="D99" i="42"/>
  <c r="C306" i="52"/>
  <c r="C320" i="52" l="1"/>
  <c r="C305" i="52"/>
  <c r="C248" i="52"/>
  <c r="C265" i="52"/>
  <c r="C227" i="52" l="1"/>
  <c r="C208" i="52"/>
  <c r="C194" i="52"/>
  <c r="C177" i="52"/>
  <c r="C176" i="52"/>
  <c r="C180" i="52" l="1"/>
  <c r="C175" i="52"/>
  <c r="C170" i="52"/>
  <c r="C229" i="52" l="1"/>
  <c r="C188" i="52"/>
  <c r="C181" i="52" l="1"/>
  <c r="C254" i="52"/>
  <c r="C178" i="52"/>
  <c r="C156" i="52"/>
  <c r="C155" i="52"/>
  <c r="C206" i="52" l="1"/>
  <c r="C157" i="52"/>
  <c r="C154" i="52"/>
  <c r="C282" i="52" l="1"/>
  <c r="C235" i="52"/>
  <c r="K77" i="72"/>
  <c r="K76" i="72"/>
  <c r="C165" i="52"/>
  <c r="C160" i="52"/>
  <c r="C153" i="52"/>
  <c r="C172" i="52" l="1"/>
  <c r="F11" i="75"/>
  <c r="I13" i="69" l="1"/>
  <c r="C218" i="52"/>
  <c r="C222" i="52"/>
  <c r="K75" i="72"/>
  <c r="C136" i="52" l="1"/>
  <c r="C530" i="52"/>
  <c r="C444" i="52"/>
  <c r="C342" i="52"/>
  <c r="C243" i="52"/>
  <c r="C134" i="52"/>
  <c r="C535" i="52"/>
  <c r="C449" i="52"/>
  <c r="C357" i="52"/>
  <c r="C242" i="52"/>
  <c r="C133" i="52"/>
  <c r="C262" i="52"/>
  <c r="C264" i="52"/>
  <c r="C247" i="52"/>
  <c r="C238" i="52"/>
  <c r="O292" i="52"/>
  <c r="O187" i="52"/>
  <c r="C237" i="52"/>
  <c r="K74" i="72"/>
  <c r="K73" i="72"/>
  <c r="C226" i="52"/>
  <c r="C135" i="52"/>
  <c r="C258" i="52"/>
  <c r="K72" i="72"/>
  <c r="C179" i="52"/>
  <c r="C557" i="52" l="1"/>
  <c r="C498" i="52"/>
  <c r="C414" i="52"/>
  <c r="C308" i="52"/>
  <c r="C124" i="52" l="1"/>
  <c r="D79" i="42"/>
  <c r="D77" i="42"/>
  <c r="C123" i="52" l="1"/>
  <c r="C122" i="52"/>
  <c r="O140" i="52"/>
  <c r="C151" i="52" l="1"/>
  <c r="C150" i="52" l="1"/>
  <c r="D53" i="42"/>
  <c r="C120" i="52"/>
  <c r="C215" i="52" l="1"/>
  <c r="C121" i="52"/>
  <c r="C380" i="52" l="1"/>
  <c r="C284" i="52"/>
  <c r="C186" i="52"/>
  <c r="C140" i="52"/>
  <c r="C166" i="52"/>
  <c r="C486" i="52" l="1"/>
  <c r="C395" i="52"/>
  <c r="C482" i="52"/>
  <c r="C394" i="52"/>
  <c r="C301" i="52"/>
  <c r="C128" i="52" l="1"/>
  <c r="C192" i="52" l="1"/>
  <c r="C201" i="52"/>
  <c r="C106" i="52" l="1"/>
  <c r="D52" i="42"/>
  <c r="C200" i="52" l="1"/>
  <c r="C558" i="52"/>
  <c r="C499" i="52"/>
  <c r="C417" i="52"/>
  <c r="C315" i="52"/>
  <c r="C202" i="52"/>
  <c r="F36" i="75"/>
  <c r="C102" i="52" l="1"/>
  <c r="D51" i="42"/>
  <c r="C189" i="52"/>
  <c r="C204" i="52"/>
  <c r="C90" i="52"/>
  <c r="C82" i="52"/>
  <c r="C95" i="52"/>
  <c r="C94" i="52"/>
  <c r="C80" i="52" l="1"/>
  <c r="C79" i="52"/>
  <c r="C70" i="52" l="1"/>
  <c r="C73" i="52"/>
  <c r="C185" i="52"/>
  <c r="O64" i="52"/>
  <c r="C346" i="52" l="1"/>
  <c r="C244" i="52"/>
  <c r="O107" i="52"/>
  <c r="O83" i="52"/>
  <c r="C64" i="52"/>
  <c r="C67" i="52"/>
  <c r="C130" i="52"/>
  <c r="C107" i="52"/>
  <c r="C63" i="52" l="1"/>
  <c r="C66" i="52"/>
  <c r="C196" i="52"/>
  <c r="C302" i="52"/>
  <c r="C197" i="52"/>
  <c r="C68" i="52"/>
  <c r="C184" i="52"/>
  <c r="C83" i="52"/>
  <c r="C89" i="52"/>
  <c r="C93" i="52"/>
  <c r="C109" i="52"/>
  <c r="O47" i="52"/>
  <c r="C69" i="52"/>
  <c r="C62" i="52"/>
  <c r="C53" i="52" l="1"/>
  <c r="C52" i="52"/>
  <c r="I75" i="69" l="1"/>
  <c r="I74" i="69"/>
  <c r="K69" i="72"/>
  <c r="K68" i="72"/>
  <c r="K67" i="72"/>
  <c r="C92" i="52"/>
  <c r="C115" i="52"/>
  <c r="C382" i="52" l="1"/>
  <c r="C285" i="52"/>
  <c r="C182" i="52"/>
  <c r="C171" i="52"/>
  <c r="C174" i="52"/>
  <c r="C71" i="52"/>
  <c r="C347" i="52"/>
  <c r="C245" i="52"/>
  <c r="C132" i="52"/>
  <c r="C29" i="52"/>
  <c r="C164" i="52"/>
  <c r="C162" i="52" l="1"/>
  <c r="C158" i="52"/>
  <c r="C19" i="52" l="1"/>
  <c r="O43" i="52" l="1"/>
  <c r="C44" i="52"/>
  <c r="C36" i="52" l="1"/>
  <c r="C43" i="52" l="1"/>
  <c r="C734" i="52"/>
  <c r="C733" i="52"/>
  <c r="C129" i="52"/>
  <c r="C38" i="52"/>
  <c r="C37" i="52"/>
  <c r="C50" i="52" l="1"/>
  <c r="C58" i="52"/>
  <c r="C26" i="52" l="1"/>
  <c r="D39" i="42" l="1"/>
  <c r="D501" i="42"/>
  <c r="D456" i="42"/>
  <c r="D414" i="42"/>
  <c r="D369" i="42"/>
  <c r="D325" i="42"/>
  <c r="D284" i="42"/>
  <c r="D240" i="42"/>
  <c r="D196" i="42"/>
  <c r="D150" i="42"/>
  <c r="D95" i="42"/>
  <c r="D68" i="42"/>
  <c r="D67" i="42"/>
  <c r="D94" i="42"/>
  <c r="D149" i="42"/>
  <c r="D195" i="42"/>
  <c r="D239" i="42"/>
  <c r="D502" i="42"/>
  <c r="D69" i="42"/>
  <c r="D96" i="42"/>
  <c r="D151" i="42"/>
  <c r="D197" i="42"/>
  <c r="D241" i="42"/>
  <c r="D285" i="42"/>
  <c r="D326" i="42"/>
  <c r="D370" i="42"/>
  <c r="D415" i="42"/>
  <c r="D457" i="42"/>
  <c r="C18" i="52"/>
  <c r="C17" i="52"/>
  <c r="H40" i="75" l="1"/>
  <c r="I67" i="69"/>
  <c r="I66" i="69"/>
  <c r="I23" i="69"/>
  <c r="F22" i="75" s="1"/>
  <c r="H58" i="69"/>
  <c r="H57" i="69"/>
  <c r="H55" i="69"/>
  <c r="H54" i="69"/>
  <c r="H52" i="69"/>
  <c r="H51" i="69"/>
  <c r="H49" i="69"/>
  <c r="H48" i="69"/>
  <c r="H46" i="69"/>
  <c r="H45" i="69"/>
  <c r="H43" i="69"/>
  <c r="H42" i="69"/>
  <c r="H37" i="69"/>
  <c r="H36" i="69"/>
  <c r="H40" i="69"/>
  <c r="H39" i="69"/>
  <c r="C47" i="52"/>
  <c r="C10" i="52"/>
  <c r="F24" i="75" l="1"/>
  <c r="F18" i="75"/>
  <c r="H56" i="69"/>
  <c r="H53" i="69"/>
  <c r="H47" i="69"/>
  <c r="H44" i="69"/>
  <c r="H50" i="69"/>
  <c r="H41" i="69"/>
  <c r="H35" i="69"/>
  <c r="H38" i="69"/>
  <c r="C526" i="52"/>
  <c r="H60" i="69" l="1"/>
  <c r="C450" i="52"/>
  <c r="C359" i="52"/>
  <c r="C252" i="52"/>
  <c r="C131" i="52"/>
  <c r="C57" i="52"/>
  <c r="C16" i="52"/>
  <c r="C8" i="52" l="1"/>
  <c r="C88" i="52" l="1"/>
  <c r="O528" i="52"/>
  <c r="C528" i="52"/>
  <c r="D41" i="42"/>
  <c r="D42" i="42"/>
  <c r="D70" i="42"/>
  <c r="D97" i="42"/>
  <c r="D98" i="42"/>
  <c r="D7" i="42"/>
  <c r="D6" i="42"/>
  <c r="D8" i="42"/>
  <c r="D9" i="42"/>
  <c r="D10" i="42"/>
  <c r="D11" i="42"/>
  <c r="D43" i="42"/>
  <c r="D12" i="42"/>
  <c r="D13" i="42"/>
  <c r="D44" i="42"/>
  <c r="D14" i="42"/>
  <c r="D15" i="42"/>
  <c r="D16" i="42"/>
  <c r="D17" i="42"/>
  <c r="D19" i="42"/>
  <c r="D20" i="42"/>
  <c r="D21" i="42"/>
  <c r="D18" i="42"/>
  <c r="D50" i="42"/>
  <c r="D45" i="42"/>
  <c r="D236" i="42"/>
  <c r="D46" i="42"/>
  <c r="D22" i="42"/>
  <c r="D23" i="42"/>
  <c r="D24" i="42"/>
  <c r="D25" i="42"/>
  <c r="D26" i="42"/>
  <c r="D27" i="42"/>
  <c r="D28" i="42"/>
  <c r="D29" i="42"/>
  <c r="D30" i="42"/>
  <c r="D31" i="42"/>
  <c r="D32" i="42"/>
  <c r="D47" i="42"/>
  <c r="D48" i="42"/>
  <c r="D33" i="42"/>
  <c r="D34" i="42"/>
  <c r="D35" i="42"/>
  <c r="D36" i="42"/>
  <c r="D37" i="42"/>
  <c r="D38" i="42"/>
  <c r="D49" i="42"/>
  <c r="D72" i="42"/>
  <c r="D71" i="42"/>
  <c r="D54" i="42"/>
  <c r="D55" i="42"/>
  <c r="D56" i="42"/>
  <c r="D57" i="42"/>
  <c r="D58" i="42"/>
  <c r="D92" i="42"/>
  <c r="D59" i="42"/>
  <c r="D60" i="42"/>
  <c r="D61" i="42"/>
  <c r="D62" i="42"/>
  <c r="D64" i="42"/>
  <c r="D65" i="42"/>
  <c r="D66" i="42"/>
  <c r="D63" i="42"/>
  <c r="D73" i="42"/>
  <c r="D91" i="42"/>
  <c r="D74" i="42"/>
  <c r="D75" i="42"/>
  <c r="D76" i="42"/>
  <c r="D78" i="42"/>
  <c r="D80" i="42"/>
  <c r="D81" i="42"/>
  <c r="D82" i="42"/>
  <c r="D83" i="42"/>
  <c r="D84" i="42"/>
  <c r="D85" i="42"/>
  <c r="D86" i="42"/>
  <c r="D87" i="42"/>
  <c r="D88" i="42"/>
  <c r="D89" i="42"/>
  <c r="D90" i="42"/>
  <c r="D145" i="42"/>
  <c r="D101" i="42"/>
  <c r="D100" i="42"/>
  <c r="D102" i="42"/>
  <c r="D103" i="42"/>
  <c r="D104" i="42"/>
  <c r="D105" i="42"/>
  <c r="D106" i="42"/>
  <c r="D107" i="42"/>
  <c r="D108" i="42"/>
  <c r="D109" i="42"/>
  <c r="D143" i="42"/>
  <c r="D110" i="42"/>
  <c r="D111" i="42"/>
  <c r="D112" i="42"/>
  <c r="D113" i="42"/>
  <c r="D116" i="42"/>
  <c r="D117" i="42"/>
  <c r="D118" i="42"/>
  <c r="D115" i="42"/>
  <c r="D119" i="42"/>
  <c r="D120" i="42"/>
  <c r="D121" i="42"/>
  <c r="D122" i="42"/>
  <c r="D123" i="42"/>
  <c r="D124" i="42"/>
  <c r="D125" i="42"/>
  <c r="D126" i="42"/>
  <c r="D127" i="42"/>
  <c r="D128" i="42"/>
  <c r="D129" i="42"/>
  <c r="D238" i="42"/>
  <c r="D237" i="42"/>
  <c r="D130" i="42"/>
  <c r="D131" i="42"/>
  <c r="D132" i="42"/>
  <c r="D133" i="42"/>
  <c r="D134" i="42"/>
  <c r="D135" i="42"/>
  <c r="D136" i="42"/>
  <c r="D137" i="42"/>
  <c r="D153" i="42"/>
  <c r="D152" i="42"/>
  <c r="D154" i="42"/>
  <c r="D155" i="42"/>
  <c r="D156" i="42"/>
  <c r="D158" i="42"/>
  <c r="D159" i="42"/>
  <c r="D162" i="42"/>
  <c r="D161" i="42"/>
  <c r="D191" i="42"/>
  <c r="D163" i="42"/>
  <c r="D164" i="42"/>
  <c r="D165" i="42"/>
  <c r="D166" i="42"/>
  <c r="D168" i="42"/>
  <c r="D169" i="42"/>
  <c r="D170" i="42"/>
  <c r="D167" i="42"/>
  <c r="D171" i="42"/>
  <c r="D172" i="42"/>
  <c r="D173" i="42"/>
  <c r="D174" i="42"/>
  <c r="D175" i="42"/>
  <c r="D176" i="42"/>
  <c r="D177" i="42"/>
  <c r="D178" i="42"/>
  <c r="D179" i="42"/>
  <c r="D180" i="42"/>
  <c r="D181" i="42"/>
  <c r="D182" i="42"/>
  <c r="D183" i="42"/>
  <c r="D184" i="42"/>
  <c r="D185" i="42"/>
  <c r="D186" i="42"/>
  <c r="D187" i="42"/>
  <c r="D188" i="42"/>
  <c r="D189" i="42"/>
  <c r="D190" i="42"/>
  <c r="D199" i="42"/>
  <c r="D198" i="42"/>
  <c r="D200" i="42"/>
  <c r="D201" i="42"/>
  <c r="D202" i="42"/>
  <c r="D235" i="42"/>
  <c r="D203" i="42"/>
  <c r="D230" i="42"/>
  <c r="D234" i="42"/>
  <c r="D205" i="42"/>
  <c r="D206" i="42"/>
  <c r="D207" i="42"/>
  <c r="D208" i="42"/>
  <c r="D210" i="42"/>
  <c r="D211" i="42"/>
  <c r="D212" i="42"/>
  <c r="D209" i="42"/>
  <c r="D231" i="42"/>
  <c r="D232" i="42"/>
  <c r="D213" i="42"/>
  <c r="D214" i="42"/>
  <c r="D215" i="42"/>
  <c r="D216" i="42"/>
  <c r="D217" i="42"/>
  <c r="D218" i="42"/>
  <c r="D219" i="42"/>
  <c r="D220" i="42"/>
  <c r="D221" i="42"/>
  <c r="D222" i="42"/>
  <c r="D233" i="42"/>
  <c r="D223" i="42"/>
  <c r="D224" i="42"/>
  <c r="D225" i="42"/>
  <c r="D226" i="42"/>
  <c r="D227" i="42"/>
  <c r="D228" i="42"/>
  <c r="D229" i="42"/>
  <c r="D243" i="42"/>
  <c r="D242" i="42"/>
  <c r="D244" i="42"/>
  <c r="D245" i="42"/>
  <c r="D246" i="42"/>
  <c r="D247" i="42"/>
  <c r="D248" i="42"/>
  <c r="D250" i="42"/>
  <c r="D251" i="42"/>
  <c r="D252" i="42"/>
  <c r="D253" i="42"/>
  <c r="D254" i="42"/>
  <c r="D255" i="42"/>
  <c r="D256" i="42"/>
  <c r="D257" i="42"/>
  <c r="D259" i="42"/>
  <c r="D260" i="42"/>
  <c r="D261" i="42"/>
  <c r="D258" i="42"/>
  <c r="D262" i="42"/>
  <c r="D263" i="42"/>
  <c r="D264" i="42"/>
  <c r="D265" i="42"/>
  <c r="D266" i="42"/>
  <c r="D267" i="42"/>
  <c r="D268" i="42"/>
  <c r="D269" i="42"/>
  <c r="D270" i="42"/>
  <c r="D271" i="42"/>
  <c r="D272" i="42"/>
  <c r="D273" i="42"/>
  <c r="D274" i="42"/>
  <c r="D275" i="42"/>
  <c r="D276" i="42"/>
  <c r="D277" i="42"/>
  <c r="D278" i="42"/>
  <c r="D279" i="42"/>
  <c r="D280" i="42"/>
  <c r="D281" i="42"/>
  <c r="D282" i="42"/>
  <c r="D283" i="42"/>
  <c r="D287" i="42"/>
  <c r="D286" i="42"/>
  <c r="D288" i="42"/>
  <c r="D289" i="42"/>
  <c r="D290" i="42"/>
  <c r="D292" i="42"/>
  <c r="D293" i="42"/>
  <c r="D294" i="42"/>
  <c r="D295" i="42"/>
  <c r="D296" i="42"/>
  <c r="D297" i="42"/>
  <c r="D298" i="42"/>
  <c r="D299" i="42"/>
  <c r="D300" i="42"/>
  <c r="D302" i="42"/>
  <c r="D303" i="42"/>
  <c r="D304" i="42"/>
  <c r="D305" i="42"/>
  <c r="D301" i="42"/>
  <c r="D306" i="42"/>
  <c r="D307" i="42"/>
  <c r="D308" i="42"/>
  <c r="D309" i="42"/>
  <c r="D310" i="42"/>
  <c r="D311" i="42"/>
  <c r="D312" i="42"/>
  <c r="D313" i="42"/>
  <c r="D314" i="42"/>
  <c r="D315" i="42"/>
  <c r="D316" i="42"/>
  <c r="D317" i="42"/>
  <c r="D318" i="42"/>
  <c r="D319" i="42"/>
  <c r="D320" i="42"/>
  <c r="D321" i="42"/>
  <c r="D322" i="42"/>
  <c r="D323" i="42"/>
  <c r="D324" i="42"/>
  <c r="D328" i="42"/>
  <c r="D327" i="42"/>
  <c r="D329" i="42"/>
  <c r="D330" i="42"/>
  <c r="D331" i="42"/>
  <c r="D332" i="42"/>
  <c r="D334" i="42"/>
  <c r="D335" i="42"/>
  <c r="D336" i="42"/>
  <c r="D337" i="42"/>
  <c r="D338" i="42"/>
  <c r="D339" i="42"/>
  <c r="D340" i="42"/>
  <c r="D341" i="42"/>
  <c r="D342" i="42"/>
  <c r="D343" i="42"/>
  <c r="D345" i="42"/>
  <c r="D346" i="42"/>
  <c r="D347" i="42"/>
  <c r="D348" i="42"/>
  <c r="D344" i="42"/>
  <c r="D349" i="42"/>
  <c r="D350" i="42"/>
  <c r="D351" i="42"/>
  <c r="D352" i="42"/>
  <c r="D353" i="42"/>
  <c r="D354" i="42"/>
  <c r="D355" i="42"/>
  <c r="D356" i="42"/>
  <c r="D357" i="42"/>
  <c r="D358" i="42"/>
  <c r="D359" i="42"/>
  <c r="D360" i="42"/>
  <c r="D361" i="42"/>
  <c r="D362" i="42"/>
  <c r="D363" i="42"/>
  <c r="D364" i="42"/>
  <c r="D365" i="42"/>
  <c r="D366" i="42"/>
  <c r="D367" i="42"/>
  <c r="D368" i="42"/>
  <c r="D372" i="42"/>
  <c r="D371" i="42"/>
  <c r="D373" i="42"/>
  <c r="D374" i="42"/>
  <c r="D375" i="42"/>
  <c r="D376" i="42"/>
  <c r="D377" i="42"/>
  <c r="D379" i="42"/>
  <c r="D380" i="42"/>
  <c r="D381" i="42"/>
  <c r="D382" i="42"/>
  <c r="D383" i="42"/>
  <c r="D384" i="42"/>
  <c r="D385" i="42"/>
  <c r="D386" i="42"/>
  <c r="D387" i="42"/>
  <c r="D388" i="42"/>
  <c r="D390" i="42"/>
  <c r="D391" i="42"/>
  <c r="D392" i="42"/>
  <c r="D389" i="42"/>
  <c r="D393" i="42"/>
  <c r="D394" i="42"/>
  <c r="D395" i="42"/>
  <c r="D396" i="42"/>
  <c r="D397" i="42"/>
  <c r="D398" i="42"/>
  <c r="D399" i="42"/>
  <c r="D400" i="42"/>
  <c r="D401" i="42"/>
  <c r="D402" i="42"/>
  <c r="D403" i="42"/>
  <c r="D404" i="42"/>
  <c r="D405" i="42"/>
  <c r="D406" i="42"/>
  <c r="D407" i="42"/>
  <c r="D408" i="42"/>
  <c r="D409" i="42"/>
  <c r="D410" i="42"/>
  <c r="D411" i="42"/>
  <c r="D412" i="42"/>
  <c r="D413" i="42"/>
  <c r="D417" i="42"/>
  <c r="D416" i="42"/>
  <c r="D418" i="42"/>
  <c r="D419" i="42"/>
  <c r="D420" i="42"/>
  <c r="D421" i="42"/>
  <c r="D423" i="42"/>
  <c r="D424" i="42"/>
  <c r="D425" i="42"/>
  <c r="D426" i="42"/>
  <c r="D427" i="42"/>
  <c r="D428" i="42"/>
  <c r="D429" i="42"/>
  <c r="D430" i="42"/>
  <c r="D432" i="42"/>
  <c r="D433" i="42"/>
  <c r="D434" i="42"/>
  <c r="D431" i="42"/>
  <c r="D435" i="42"/>
  <c r="D436" i="42"/>
  <c r="D437" i="42"/>
  <c r="D438" i="42"/>
  <c r="D439" i="42"/>
  <c r="D440" i="42"/>
  <c r="D441" i="42"/>
  <c r="D442" i="42"/>
  <c r="D443" i="42"/>
  <c r="D444" i="42"/>
  <c r="D445" i="42"/>
  <c r="D446" i="42"/>
  <c r="D447" i="42"/>
  <c r="D448" i="42"/>
  <c r="D449" i="42"/>
  <c r="D450" i="42"/>
  <c r="D451" i="42"/>
  <c r="D452" i="42"/>
  <c r="D453" i="42"/>
  <c r="D454" i="42"/>
  <c r="D455" i="42"/>
  <c r="D459" i="42"/>
  <c r="D458" i="42"/>
  <c r="D460" i="42"/>
  <c r="D461" i="42"/>
  <c r="D462" i="42"/>
  <c r="D464" i="42"/>
  <c r="D465" i="42"/>
  <c r="D466" i="42"/>
  <c r="D467" i="42"/>
  <c r="D468" i="42"/>
  <c r="D469" i="42"/>
  <c r="D470" i="42"/>
  <c r="D471" i="42"/>
  <c r="D472" i="42"/>
  <c r="D473" i="42"/>
  <c r="D474" i="42"/>
  <c r="D476" i="42"/>
  <c r="D477" i="42"/>
  <c r="D478" i="42"/>
  <c r="D475" i="42"/>
  <c r="D479" i="42"/>
  <c r="D480" i="42"/>
  <c r="D481" i="42"/>
  <c r="D482" i="42"/>
  <c r="D483" i="42"/>
  <c r="D484" i="42"/>
  <c r="D485" i="42"/>
  <c r="D486" i="42"/>
  <c r="D487" i="42"/>
  <c r="D488" i="42"/>
  <c r="D489" i="42"/>
  <c r="D490" i="42"/>
  <c r="D491" i="42"/>
  <c r="D492" i="42"/>
  <c r="D493" i="42"/>
  <c r="D494" i="42"/>
  <c r="D495" i="42"/>
  <c r="D496" i="42"/>
  <c r="D497" i="42"/>
  <c r="D498" i="42"/>
  <c r="D499" i="42"/>
  <c r="D500" i="42"/>
  <c r="D504" i="42"/>
  <c r="D503" i="42"/>
  <c r="D505" i="42"/>
  <c r="D506" i="42"/>
  <c r="D507" i="42"/>
  <c r="D508" i="42"/>
  <c r="D509" i="42"/>
  <c r="D510" i="42"/>
  <c r="D511" i="42"/>
  <c r="D520" i="42"/>
  <c r="D512" i="42"/>
  <c r="D513" i="42"/>
  <c r="D514" i="42"/>
  <c r="D515" i="42"/>
  <c r="D516" i="42"/>
  <c r="D517" i="42"/>
  <c r="D518" i="42"/>
  <c r="D519" i="42"/>
  <c r="D521" i="42"/>
  <c r="D522" i="42"/>
  <c r="D523" i="42"/>
  <c r="D524" i="42"/>
  <c r="D525" i="42"/>
  <c r="D526" i="42"/>
  <c r="D527" i="42"/>
  <c r="D528" i="42"/>
  <c r="D529" i="42"/>
  <c r="D530" i="42"/>
  <c r="D531" i="42"/>
  <c r="D532" i="42"/>
  <c r="D533" i="42"/>
  <c r="D534" i="42"/>
  <c r="D535" i="42"/>
  <c r="D536" i="42"/>
  <c r="D537" i="42"/>
  <c r="D538" i="42"/>
  <c r="D539" i="42"/>
  <c r="D540" i="42"/>
  <c r="D541" i="42"/>
  <c r="D542" i="42"/>
  <c r="D543" i="42"/>
  <c r="D544" i="42"/>
  <c r="D545" i="42"/>
  <c r="D546" i="42"/>
  <c r="D547" i="42"/>
  <c r="D548" i="42"/>
  <c r="D40" i="42"/>
  <c r="I68" i="69" l="1"/>
  <c r="C74" i="52"/>
  <c r="C72" i="52"/>
  <c r="C65" i="52"/>
  <c r="C60" i="52"/>
  <c r="C173" i="52"/>
  <c r="I69" i="69" l="1"/>
  <c r="J43" i="75"/>
  <c r="F30" i="75"/>
  <c r="C84" i="52"/>
  <c r="C274" i="52"/>
  <c r="C159" i="52"/>
  <c r="C51" i="52"/>
  <c r="I26" i="69"/>
  <c r="I25" i="69"/>
  <c r="I24" i="69"/>
  <c r="I22" i="69"/>
  <c r="F16" i="75" s="1"/>
  <c r="I17" i="69"/>
  <c r="F23" i="75" s="1"/>
  <c r="F21" i="75" s="1"/>
  <c r="I76" i="69"/>
  <c r="I77" i="69" s="1"/>
  <c r="F20" i="75" l="1"/>
  <c r="I27" i="69"/>
  <c r="I28" i="69" s="1"/>
  <c r="K65" i="72"/>
  <c r="K64" i="72"/>
  <c r="K62" i="72"/>
  <c r="K61" i="72"/>
  <c r="K58" i="72"/>
  <c r="K55" i="72"/>
  <c r="K54" i="72"/>
  <c r="K53" i="72"/>
  <c r="K52" i="72"/>
  <c r="K51" i="72"/>
  <c r="K47" i="72"/>
  <c r="K45" i="72"/>
  <c r="K40" i="72"/>
  <c r="K36" i="72"/>
  <c r="K35" i="72"/>
  <c r="K34" i="72"/>
  <c r="K33" i="72"/>
  <c r="K31" i="72"/>
  <c r="K30" i="72"/>
  <c r="K29" i="72"/>
  <c r="K28" i="72"/>
  <c r="K27" i="72"/>
  <c r="K26" i="72"/>
  <c r="K25" i="72"/>
  <c r="K24" i="72"/>
  <c r="K23" i="72"/>
  <c r="K22" i="72"/>
  <c r="K20" i="72"/>
  <c r="K19" i="72"/>
  <c r="K18" i="72"/>
  <c r="K17" i="72"/>
  <c r="K16" i="72"/>
  <c r="K15" i="72"/>
  <c r="K14" i="72"/>
  <c r="K7" i="72"/>
  <c r="E1" i="72"/>
  <c r="J79" i="72" s="1"/>
  <c r="I18" i="69"/>
  <c r="F29" i="75" s="1"/>
  <c r="J42" i="75" s="1"/>
  <c r="I16" i="69"/>
  <c r="F17" i="75" s="1"/>
  <c r="F15" i="75" s="1"/>
  <c r="F10" i="75" s="1"/>
  <c r="J74" i="72" l="1"/>
  <c r="J78" i="72"/>
  <c r="J77" i="72"/>
  <c r="J75" i="72"/>
  <c r="J76" i="72"/>
  <c r="F28" i="75"/>
  <c r="K85" i="72"/>
  <c r="J71" i="72"/>
  <c r="J70" i="72"/>
  <c r="I19" i="69"/>
  <c r="H79" i="69" s="1"/>
  <c r="I30" i="69" l="1"/>
  <c r="H32" i="69" s="1"/>
  <c r="F27" i="75"/>
  <c r="F26" i="75" s="1"/>
  <c r="J40" i="75" s="1"/>
  <c r="J41" i="75"/>
  <c r="I79" i="69"/>
  <c r="C476" i="52"/>
  <c r="C405" i="52"/>
  <c r="C310" i="52"/>
  <c r="C207" i="52"/>
  <c r="C108" i="52"/>
  <c r="N46" i="75" l="1"/>
  <c r="P46" i="75" s="1"/>
  <c r="J45" i="75"/>
  <c r="F32" i="75"/>
  <c r="I58" i="75"/>
  <c r="C98" i="52"/>
  <c r="C48" i="52"/>
  <c r="C21" i="52"/>
  <c r="C11" i="52"/>
  <c r="D98" i="65"/>
  <c r="D70" i="65"/>
  <c r="D22" i="65"/>
  <c r="D17" i="65"/>
  <c r="D9" i="65"/>
  <c r="C55" i="52"/>
  <c r="F34" i="75" l="1"/>
  <c r="K40" i="75"/>
  <c r="L40" i="75" s="1"/>
  <c r="O96" i="52"/>
  <c r="C33" i="52"/>
  <c r="C77" i="52" l="1"/>
  <c r="C525" i="52"/>
  <c r="H62" i="69" l="1"/>
  <c r="C14" i="52"/>
  <c r="C15" i="52"/>
  <c r="C12" i="52"/>
  <c r="C13" i="52"/>
  <c r="C7" i="52"/>
  <c r="C9" i="52"/>
  <c r="C30" i="52"/>
  <c r="C27" i="52"/>
  <c r="C22" i="52"/>
  <c r="C25" i="52"/>
  <c r="C24" i="52"/>
  <c r="C59" i="52"/>
  <c r="C31" i="52"/>
  <c r="C32" i="52"/>
  <c r="C28" i="52"/>
  <c r="C34" i="52"/>
  <c r="C35" i="52"/>
  <c r="C39" i="52"/>
  <c r="C40" i="52"/>
  <c r="C41" i="52"/>
  <c r="C49" i="52"/>
  <c r="C46" i="52"/>
  <c r="C42" i="52"/>
  <c r="C54" i="52"/>
  <c r="C61" i="52"/>
  <c r="C45" i="52"/>
  <c r="C23" i="52"/>
  <c r="C56" i="52"/>
  <c r="C527" i="52"/>
  <c r="C81" i="52"/>
  <c r="C75" i="52"/>
  <c r="C76" i="52"/>
  <c r="C96" i="52"/>
  <c r="C78" i="52"/>
  <c r="C85" i="52"/>
  <c r="C86" i="52"/>
  <c r="C87" i="52"/>
  <c r="C91" i="52"/>
  <c r="C524" i="52"/>
  <c r="C100" i="52"/>
  <c r="C101" i="52"/>
  <c r="C99" i="52"/>
  <c r="C97" i="52"/>
  <c r="C103" i="52"/>
  <c r="C20" i="52"/>
  <c r="C104" i="52"/>
  <c r="C105" i="52"/>
  <c r="C110" i="52"/>
  <c r="C111" i="52"/>
  <c r="C112" i="52"/>
  <c r="C113" i="52"/>
  <c r="C114" i="52"/>
  <c r="C117" i="52"/>
  <c r="C125" i="52"/>
  <c r="C523" i="52"/>
  <c r="C118" i="52"/>
  <c r="C119" i="52"/>
  <c r="C116" i="52"/>
  <c r="C220" i="52"/>
  <c r="C126" i="52"/>
  <c r="C138" i="52"/>
  <c r="C137" i="52"/>
  <c r="C142" i="52"/>
  <c r="C146" i="52"/>
  <c r="C147" i="52"/>
  <c r="C169" i="52"/>
  <c r="C145" i="52"/>
  <c r="C148" i="52"/>
  <c r="C253" i="52"/>
  <c r="C149" i="52"/>
  <c r="C152" i="52"/>
  <c r="C161" i="52"/>
  <c r="C163" i="52"/>
  <c r="C167" i="52"/>
  <c r="C143" i="52"/>
  <c r="C144" i="52"/>
  <c r="C168" i="52"/>
  <c r="C183" i="52"/>
  <c r="C190" i="52"/>
  <c r="C191" i="52"/>
  <c r="C193" i="52"/>
  <c r="C195" i="52"/>
  <c r="C141" i="52"/>
  <c r="C187" i="52"/>
  <c r="C198" i="52"/>
  <c r="C199" i="52"/>
  <c r="C203" i="52"/>
  <c r="C213" i="52"/>
  <c r="C214" i="52"/>
  <c r="C212" i="52"/>
  <c r="C127" i="52"/>
  <c r="C216" i="52"/>
  <c r="C219" i="52"/>
  <c r="C225" i="52"/>
  <c r="C139" i="52"/>
  <c r="C223" i="52"/>
  <c r="C224" i="52"/>
  <c r="C228" i="52"/>
  <c r="C239" i="52"/>
  <c r="C259" i="52"/>
  <c r="C250" i="52"/>
  <c r="C261" i="52"/>
  <c r="C280" i="52"/>
  <c r="C255" i="52"/>
  <c r="C256" i="52"/>
  <c r="C267" i="52"/>
  <c r="C266" i="52"/>
  <c r="C277" i="52"/>
  <c r="C251" i="52"/>
  <c r="C260" i="52"/>
  <c r="C276" i="52"/>
  <c r="C293" i="52"/>
  <c r="C297" i="52"/>
  <c r="C292" i="52"/>
  <c r="C298" i="52"/>
  <c r="C318" i="52"/>
  <c r="C319" i="52"/>
  <c r="C316" i="52"/>
  <c r="C236" i="52"/>
  <c r="C326" i="52"/>
  <c r="C329" i="52"/>
  <c r="C334" i="52"/>
  <c r="C335" i="52"/>
  <c r="C340" i="52"/>
  <c r="C378" i="52"/>
  <c r="C358" i="52"/>
  <c r="C369" i="52"/>
  <c r="C381" i="52"/>
  <c r="C370" i="52"/>
  <c r="C376" i="52"/>
  <c r="C403" i="52"/>
  <c r="C368" i="52"/>
  <c r="C388" i="52"/>
  <c r="C389" i="52"/>
  <c r="C386" i="52"/>
  <c r="C391" i="52"/>
  <c r="C413" i="52"/>
  <c r="C420" i="52"/>
  <c r="C421" i="52"/>
  <c r="C351" i="52"/>
  <c r="C428" i="52"/>
  <c r="C429" i="52"/>
  <c r="C431" i="52"/>
  <c r="C442" i="52"/>
  <c r="C443" i="52"/>
  <c r="C522" i="52"/>
  <c r="C457" i="52"/>
  <c r="C445" i="52"/>
  <c r="C458" i="52"/>
  <c r="C459" i="52"/>
  <c r="C472" i="52"/>
  <c r="C460" i="52"/>
  <c r="C470" i="52"/>
  <c r="C454" i="52"/>
  <c r="C478" i="52"/>
  <c r="C483" i="52"/>
  <c r="C485" i="52"/>
  <c r="C484" i="52"/>
  <c r="C489" i="52"/>
  <c r="C510" i="52"/>
  <c r="C503" i="52"/>
  <c r="C504" i="52"/>
  <c r="C501" i="52"/>
  <c r="C453" i="52"/>
  <c r="C515" i="52"/>
  <c r="C529" i="52"/>
  <c r="C533" i="52"/>
  <c r="C531" i="52"/>
  <c r="C534" i="52"/>
  <c r="C536" i="52"/>
  <c r="C537" i="52"/>
  <c r="C539" i="52"/>
  <c r="C547" i="52"/>
  <c r="C544" i="52"/>
  <c r="C543" i="52"/>
  <c r="C538" i="52"/>
  <c r="C549" i="52"/>
  <c r="C550" i="52"/>
  <c r="C552" i="52"/>
  <c r="C551" i="52"/>
  <c r="C561" i="52"/>
  <c r="C562" i="52"/>
  <c r="C532" i="52"/>
  <c r="C566" i="52"/>
  <c r="C567" i="52"/>
  <c r="C572" i="52"/>
  <c r="C569" i="52"/>
  <c r="C568" i="52"/>
  <c r="C570" i="52"/>
  <c r="C573" i="52"/>
  <c r="C574" i="52"/>
  <c r="C576" i="52"/>
  <c r="C585" i="52"/>
  <c r="C582" i="52"/>
  <c r="C580" i="52"/>
  <c r="C581" i="52"/>
  <c r="C575" i="52"/>
  <c r="C587" i="52"/>
  <c r="C588" i="52"/>
  <c r="C589" i="52"/>
  <c r="C590" i="52"/>
  <c r="C595" i="52"/>
  <c r="C596" i="52"/>
  <c r="C571" i="52"/>
  <c r="C598" i="52"/>
  <c r="C604" i="52"/>
  <c r="C601" i="52"/>
  <c r="C602" i="52"/>
  <c r="C603" i="52"/>
  <c r="C609" i="52"/>
  <c r="C605" i="52"/>
  <c r="C606" i="52"/>
  <c r="C607" i="52"/>
  <c r="C610" i="52"/>
  <c r="C611" i="52"/>
  <c r="C612" i="52"/>
  <c r="C614" i="52"/>
  <c r="C620" i="52"/>
  <c r="C617" i="52"/>
  <c r="C616" i="52"/>
  <c r="C613" i="52"/>
  <c r="C622" i="52"/>
  <c r="C624" i="52"/>
  <c r="C623" i="52"/>
  <c r="C625" i="52"/>
  <c r="C628" i="52"/>
  <c r="C629" i="52"/>
  <c r="C608" i="52"/>
  <c r="C630" i="52"/>
  <c r="C631" i="52"/>
  <c r="C632" i="52"/>
  <c r="C633" i="52"/>
  <c r="C637" i="52"/>
  <c r="C634" i="52"/>
  <c r="C635" i="52"/>
  <c r="C638" i="52"/>
  <c r="C639" i="52"/>
  <c r="C640" i="52"/>
  <c r="C642" i="52"/>
  <c r="C648" i="52"/>
  <c r="C645" i="52"/>
  <c r="C644" i="52"/>
  <c r="C641" i="52"/>
  <c r="C651" i="52"/>
  <c r="C652" i="52"/>
  <c r="C650" i="52"/>
  <c r="C653" i="52"/>
  <c r="C656" i="52"/>
  <c r="C657" i="52"/>
  <c r="C636" i="52"/>
  <c r="C658" i="52"/>
  <c r="C659" i="52"/>
  <c r="C660" i="52"/>
  <c r="C662" i="52"/>
  <c r="C661" i="52"/>
  <c r="C665" i="52"/>
  <c r="C663" i="52"/>
  <c r="C666" i="52"/>
  <c r="C667" i="52"/>
  <c r="C668" i="52"/>
  <c r="C675" i="52"/>
  <c r="C673" i="52"/>
  <c r="C672" i="52"/>
  <c r="C669" i="52"/>
  <c r="C677" i="52"/>
  <c r="C678" i="52"/>
  <c r="C676" i="52"/>
  <c r="C679" i="52"/>
  <c r="C682" i="52"/>
  <c r="C683" i="52"/>
  <c r="C664" i="52"/>
  <c r="C684" i="52"/>
  <c r="C685" i="52"/>
  <c r="C686" i="52"/>
  <c r="C690" i="52"/>
  <c r="C687" i="52"/>
  <c r="C688" i="52"/>
  <c r="C689" i="52"/>
  <c r="C693" i="52"/>
  <c r="C691" i="52"/>
  <c r="C694" i="52"/>
  <c r="C695" i="52"/>
  <c r="C696" i="52"/>
  <c r="C698" i="52"/>
  <c r="C702" i="52"/>
  <c r="C701" i="52"/>
  <c r="C700" i="52"/>
  <c r="C697" i="52"/>
  <c r="C704" i="52"/>
  <c r="C705" i="52"/>
  <c r="C703" i="52"/>
  <c r="C706" i="52"/>
  <c r="C709" i="52"/>
  <c r="C710" i="52"/>
  <c r="C692" i="52"/>
  <c r="C711" i="52"/>
  <c r="C712" i="52"/>
  <c r="C713" i="52"/>
  <c r="C714" i="52"/>
  <c r="C715" i="52"/>
  <c r="C716" i="52"/>
  <c r="C719" i="52"/>
  <c r="C717" i="52"/>
  <c r="C720" i="52"/>
  <c r="C721" i="52"/>
  <c r="C722" i="52"/>
  <c r="C724" i="52"/>
  <c r="C728" i="52"/>
  <c r="C727" i="52"/>
  <c r="C726" i="52"/>
  <c r="C723" i="52"/>
  <c r="C730" i="52"/>
  <c r="C731" i="52"/>
  <c r="C729" i="52"/>
  <c r="C732" i="52"/>
  <c r="C736" i="52"/>
  <c r="C737" i="52"/>
  <c r="C740" i="52"/>
  <c r="C738" i="52"/>
  <c r="C739" i="52"/>
  <c r="C718" i="52"/>
  <c r="C741" i="52"/>
  <c r="C742" i="52"/>
  <c r="C743" i="52"/>
  <c r="C744" i="52"/>
  <c r="C6" i="52"/>
  <c r="O719" i="52" l="1"/>
  <c r="I32" i="69"/>
  <c r="F19" i="66"/>
  <c r="F18" i="66"/>
  <c r="I62" i="69" l="1"/>
  <c r="F17" i="66"/>
  <c r="O693" i="52"/>
  <c r="O665" i="52"/>
  <c r="O637" i="52"/>
  <c r="O609" i="52"/>
  <c r="O572" i="52"/>
  <c r="O533" i="52"/>
  <c r="O522" i="52"/>
  <c r="O744" i="52" l="1"/>
  <c r="O716" i="52"/>
  <c r="O689" i="52"/>
  <c r="O661" i="52"/>
  <c r="O633" i="52"/>
  <c r="O603" i="52"/>
  <c r="O567" i="52"/>
  <c r="O501" i="52"/>
  <c r="O720" i="52" l="1"/>
  <c r="O717" i="52"/>
  <c r="O694" i="52"/>
  <c r="O691" i="52"/>
  <c r="O666" i="52"/>
  <c r="O663" i="52"/>
  <c r="O638" i="52"/>
  <c r="O635" i="52"/>
  <c r="O610" i="52"/>
  <c r="O607" i="52"/>
  <c r="O570" i="52"/>
  <c r="O573" i="52"/>
  <c r="O534" i="52"/>
  <c r="O531" i="52"/>
  <c r="O457" i="52"/>
  <c r="O529" i="52" l="1"/>
  <c r="AD10" i="66"/>
  <c r="F33" i="66" l="1"/>
  <c r="F35" i="66"/>
  <c r="H35" i="66" s="1"/>
  <c r="J35" i="66" s="1"/>
  <c r="L35" i="66" s="1"/>
  <c r="N35" i="66" s="1"/>
  <c r="P35" i="66" s="1"/>
  <c r="R35" i="66" s="1"/>
  <c r="T35" i="66" s="1"/>
  <c r="V35" i="66" s="1"/>
  <c r="X35" i="66" s="1"/>
  <c r="Z35" i="66" s="1"/>
  <c r="AB35" i="66" s="1"/>
  <c r="F34" i="66"/>
  <c r="H34" i="66" s="1"/>
  <c r="I48" i="75"/>
  <c r="I49" i="75" s="1"/>
  <c r="I54" i="75"/>
  <c r="I55" i="75" s="1"/>
  <c r="F23" i="66"/>
  <c r="N10" i="66"/>
  <c r="I50" i="75" l="1"/>
  <c r="I59" i="75"/>
  <c r="I60" i="75" s="1"/>
  <c r="I56" i="75"/>
  <c r="D88" i="65" l="1"/>
  <c r="D96" i="65"/>
  <c r="D91" i="65"/>
  <c r="D27" i="65"/>
  <c r="D40" i="65" s="1"/>
  <c r="D66" i="65" l="1"/>
  <c r="D60" i="65"/>
  <c r="D54" i="65" l="1"/>
  <c r="D73" i="65" s="1"/>
  <c r="H42" i="66" l="1"/>
  <c r="E10" i="66" l="1"/>
  <c r="D111" i="65"/>
  <c r="D113" i="65" s="1"/>
  <c r="AH44" i="66" l="1"/>
  <c r="H18" i="66"/>
  <c r="N29" i="66"/>
  <c r="N30" i="66"/>
  <c r="R30" i="66" l="1"/>
  <c r="R27" i="66" s="1"/>
  <c r="N28" i="66"/>
  <c r="F24" i="66"/>
  <c r="V23" i="66"/>
  <c r="V25" i="66" s="1"/>
  <c r="H24" i="66"/>
  <c r="J28" i="66"/>
  <c r="R44" i="66"/>
  <c r="J24" i="66"/>
  <c r="H44" i="66"/>
  <c r="J44" i="66"/>
  <c r="T29" i="66"/>
  <c r="P44" i="66"/>
  <c r="Z43" i="66"/>
  <c r="F28" i="66"/>
  <c r="AB23" i="66"/>
  <c r="AB25" i="66" s="1"/>
  <c r="R28" i="66"/>
  <c r="Z28" i="66"/>
  <c r="R47" i="54"/>
  <c r="L28" i="66"/>
  <c r="T43" i="66"/>
  <c r="L44" i="66"/>
  <c r="L24" i="66"/>
  <c r="V43" i="66"/>
  <c r="J34" i="66"/>
  <c r="L34" i="66" s="1"/>
  <c r="N34" i="66" s="1"/>
  <c r="P34" i="66" s="1"/>
  <c r="R34" i="66" s="1"/>
  <c r="T34" i="66" s="1"/>
  <c r="V34" i="66" s="1"/>
  <c r="X34" i="66" s="1"/>
  <c r="Z34" i="66" s="1"/>
  <c r="AB34" i="66" s="1"/>
  <c r="X29" i="66"/>
  <c r="Z24" i="66"/>
  <c r="H29" i="66"/>
  <c r="N24" i="66"/>
  <c r="R24" i="66"/>
  <c r="Z30" i="66"/>
  <c r="Z27" i="66" s="1"/>
  <c r="J30" i="66"/>
  <c r="J27" i="66" s="1"/>
  <c r="AB44" i="66"/>
  <c r="F44" i="66"/>
  <c r="N23" i="66"/>
  <c r="N27" i="66"/>
  <c r="Z44" i="66"/>
  <c r="N44" i="66"/>
  <c r="AB29" i="66"/>
  <c r="P28" i="66"/>
  <c r="T24" i="66"/>
  <c r="X30" i="66"/>
  <c r="X27" i="66" s="1"/>
  <c r="H30" i="66"/>
  <c r="H27" i="66" s="1"/>
  <c r="T30" i="66"/>
  <c r="T27" i="66" s="1"/>
  <c r="V30" i="66"/>
  <c r="V27" i="66" s="1"/>
  <c r="V29" i="66"/>
  <c r="S47" i="54"/>
  <c r="H28" i="66"/>
  <c r="Z29" i="66"/>
  <c r="P29" i="66"/>
  <c r="L30" i="66"/>
  <c r="L27" i="66" s="1"/>
  <c r="L23" i="66"/>
  <c r="L25" i="66" s="1"/>
  <c r="Z23" i="66"/>
  <c r="Z25" i="66" s="1"/>
  <c r="P23" i="66"/>
  <c r="P25" i="66" s="1"/>
  <c r="F22" i="66"/>
  <c r="AD22" i="66" s="1"/>
  <c r="F43" i="66"/>
  <c r="P43" i="66"/>
  <c r="L43" i="66"/>
  <c r="L45" i="66" s="1"/>
  <c r="AH30" i="66" s="1"/>
  <c r="X23" i="66"/>
  <c r="P30" i="66"/>
  <c r="P27" i="66" s="1"/>
  <c r="T28" i="66"/>
  <c r="J29" i="66"/>
  <c r="AB28" i="66"/>
  <c r="P24" i="66"/>
  <c r="X28" i="66"/>
  <c r="V24" i="66"/>
  <c r="P47" i="54"/>
  <c r="X44" i="66"/>
  <c r="F29" i="66"/>
  <c r="R43" i="66"/>
  <c r="R45" i="66" s="1"/>
  <c r="X43" i="66"/>
  <c r="F30" i="66"/>
  <c r="F27" i="66" s="1"/>
  <c r="N43" i="66"/>
  <c r="H43" i="66"/>
  <c r="J23" i="66"/>
  <c r="AB30" i="66"/>
  <c r="AB27" i="66" s="1"/>
  <c r="V28" i="66"/>
  <c r="R29" i="66"/>
  <c r="X24" i="66"/>
  <c r="L29" i="66"/>
  <c r="V44" i="66"/>
  <c r="T44" i="66"/>
  <c r="AB24" i="66"/>
  <c r="R23" i="66"/>
  <c r="H23" i="66"/>
  <c r="H25" i="66" s="1"/>
  <c r="T23" i="66"/>
  <c r="T25" i="66" s="1"/>
  <c r="J43" i="66"/>
  <c r="AB43" i="66"/>
  <c r="N26" i="66" l="1"/>
  <c r="N45" i="66"/>
  <c r="L26" i="66"/>
  <c r="T26" i="66"/>
  <c r="AB26" i="66"/>
  <c r="AB45" i="66"/>
  <c r="H45" i="66"/>
  <c r="X26" i="66"/>
  <c r="J45" i="66"/>
  <c r="J26" i="66"/>
  <c r="V21" i="66"/>
  <c r="H26" i="66"/>
  <c r="F37" i="66" s="1"/>
  <c r="AD24" i="66"/>
  <c r="X45" i="66"/>
  <c r="P21" i="66"/>
  <c r="AD23" i="66"/>
  <c r="H19" i="66"/>
  <c r="R26" i="66"/>
  <c r="P45" i="66"/>
  <c r="N25" i="66"/>
  <c r="N21" i="66" s="1"/>
  <c r="Z26" i="66"/>
  <c r="J18" i="66"/>
  <c r="AB21" i="66"/>
  <c r="P26" i="66"/>
  <c r="F45" i="66"/>
  <c r="AD43" i="66"/>
  <c r="AD45" i="66" s="1"/>
  <c r="Z21" i="66"/>
  <c r="V45" i="66"/>
  <c r="AD28" i="66"/>
  <c r="R25" i="66"/>
  <c r="R21" i="66" s="1"/>
  <c r="R31" i="66" s="1"/>
  <c r="V26" i="66"/>
  <c r="T21" i="66"/>
  <c r="J25" i="66"/>
  <c r="J21" i="66" s="1"/>
  <c r="F26" i="66"/>
  <c r="AD27" i="66"/>
  <c r="H21" i="66"/>
  <c r="AD30" i="66"/>
  <c r="AD29" i="66"/>
  <c r="X25" i="66"/>
  <c r="X21" i="66" s="1"/>
  <c r="H17" i="66"/>
  <c r="H33" i="66"/>
  <c r="L21" i="66"/>
  <c r="T45" i="66"/>
  <c r="Z45" i="66"/>
  <c r="F25" i="66"/>
  <c r="AB31" i="66" l="1"/>
  <c r="H37" i="66"/>
  <c r="J31" i="66"/>
  <c r="N31" i="66"/>
  <c r="X31" i="66"/>
  <c r="AD26" i="66"/>
  <c r="AH19" i="66" s="1"/>
  <c r="T31" i="66"/>
  <c r="H31" i="66"/>
  <c r="P31" i="66"/>
  <c r="L31" i="66"/>
  <c r="Z31" i="66"/>
  <c r="V31" i="66"/>
  <c r="AD25" i="66"/>
  <c r="J19" i="66"/>
  <c r="J17" i="66"/>
  <c r="J33" i="66"/>
  <c r="J37" i="66" s="1"/>
  <c r="F21" i="66"/>
  <c r="L18" i="66"/>
  <c r="N18" i="66" l="1"/>
  <c r="F31" i="66"/>
  <c r="AD21" i="66"/>
  <c r="L19" i="66"/>
  <c r="L17" i="66"/>
  <c r="L33" i="66"/>
  <c r="L37" i="66" l="1"/>
  <c r="N33" i="66"/>
  <c r="N17" i="66"/>
  <c r="AD31" i="66"/>
  <c r="AH18" i="66"/>
  <c r="AH20" i="66" s="1"/>
  <c r="P18" i="66"/>
  <c r="N19" i="66"/>
  <c r="P19" i="66" l="1"/>
  <c r="N37" i="66"/>
  <c r="P33" i="66"/>
  <c r="P17" i="66"/>
  <c r="R18" i="66"/>
  <c r="AH39" i="66"/>
  <c r="AH28" i="66"/>
  <c r="P37" i="66" l="1"/>
  <c r="R33" i="66"/>
  <c r="R17" i="66"/>
  <c r="R19" i="66"/>
  <c r="T18" i="66"/>
  <c r="T33" i="66" l="1"/>
  <c r="R37" i="66"/>
  <c r="T17" i="66"/>
  <c r="V18" i="66"/>
  <c r="T19" i="66"/>
  <c r="X18" i="66" l="1"/>
  <c r="V19" i="66"/>
  <c r="T37" i="66"/>
  <c r="V33" i="66"/>
  <c r="V17" i="66"/>
  <c r="X19" i="66" l="1"/>
  <c r="Z18" i="66"/>
  <c r="X33" i="66"/>
  <c r="V37" i="66"/>
  <c r="X17" i="66"/>
  <c r="Z19" i="66" l="1"/>
  <c r="AB18" i="66"/>
  <c r="Z33" i="66"/>
  <c r="Z17" i="66"/>
  <c r="X37" i="66"/>
  <c r="AB19" i="66" l="1"/>
  <c r="AB17" i="66"/>
  <c r="AB33" i="66"/>
  <c r="Z37" i="66"/>
  <c r="AB37" i="66" l="1"/>
  <c r="AD35" i="6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Lola</author>
  </authors>
  <commentList>
    <comment ref="O97" authorId="0" shapeId="0" xr:uid="{3796BECC-C073-4904-ABFB-15F8B47F4EBC}">
      <text>
        <r>
          <rPr>
            <sz val="9"/>
            <color indexed="81"/>
            <rFont val="Segoe UI"/>
            <family val="2"/>
          </rPr>
          <t xml:space="preserve">Realizado o pgto em uma única guia no valor total de </t>
        </r>
        <r>
          <rPr>
            <b/>
            <sz val="9"/>
            <color indexed="81"/>
            <rFont val="Segoe UI"/>
            <family val="2"/>
          </rPr>
          <t>R$</t>
        </r>
        <r>
          <rPr>
            <sz val="9"/>
            <color indexed="81"/>
            <rFont val="Segoe UI"/>
            <family val="2"/>
          </rPr>
          <t xml:space="preserve"> </t>
        </r>
      </text>
    </comment>
    <comment ref="O98" authorId="0" shapeId="0" xr:uid="{6B1754A3-B637-4BEB-9072-BFA29CC9C69B}">
      <text>
        <r>
          <rPr>
            <sz val="9"/>
            <color indexed="81"/>
            <rFont val="Segoe UI"/>
            <family val="2"/>
          </rPr>
          <t xml:space="preserve">Realizado o pgto em uma única guia no valor total de </t>
        </r>
        <r>
          <rPr>
            <b/>
            <sz val="9"/>
            <color indexed="81"/>
            <rFont val="Segoe UI"/>
            <family val="2"/>
          </rPr>
          <t>R$</t>
        </r>
        <r>
          <rPr>
            <sz val="9"/>
            <color indexed="81"/>
            <rFont val="Segoe UI"/>
            <family val="2"/>
          </rPr>
          <t xml:space="preserve"> </t>
        </r>
      </text>
    </comment>
    <comment ref="O99" authorId="0" shapeId="0" xr:uid="{4FBC659F-A845-4CEB-AB53-38CDDBF45FF3}">
      <text>
        <r>
          <rPr>
            <sz val="9"/>
            <color indexed="81"/>
            <rFont val="Segoe UI"/>
            <family val="2"/>
          </rPr>
          <t xml:space="preserve">Realizado o pgto em uma única guia no valor total de </t>
        </r>
        <r>
          <rPr>
            <b/>
            <sz val="9"/>
            <color indexed="81"/>
            <rFont val="Segoe UI"/>
            <family val="2"/>
          </rPr>
          <t>R$</t>
        </r>
        <r>
          <rPr>
            <sz val="9"/>
            <color indexed="81"/>
            <rFont val="Segoe UI"/>
            <family val="2"/>
          </rPr>
          <t xml:space="preserve"> </t>
        </r>
      </text>
    </comment>
    <comment ref="O166" authorId="0" shapeId="0" xr:uid="{106AED40-2230-4370-9937-38A34E9B0DB4}">
      <text>
        <r>
          <rPr>
            <sz val="9"/>
            <color indexed="81"/>
            <rFont val="Segoe UI"/>
            <family val="2"/>
          </rPr>
          <t>Como a NF foi importada pelo o portal nacional para a site prefeitura deu uma diferença de 0,06</t>
        </r>
      </text>
    </comment>
    <comment ref="O421" authorId="0" shapeId="0" xr:uid="{25F07A7D-97D7-459D-9E5E-9A14A238AE65}">
      <text>
        <r>
          <rPr>
            <sz val="9"/>
            <color indexed="81"/>
            <rFont val="Segoe UI"/>
            <family val="2"/>
          </rPr>
          <t xml:space="preserve">Realizado o pgto em uma única guia no valor total de </t>
        </r>
        <r>
          <rPr>
            <b/>
            <sz val="9"/>
            <color indexed="81"/>
            <rFont val="Segoe UI"/>
            <family val="2"/>
          </rPr>
          <t>R$ 3.736,60</t>
        </r>
      </text>
    </comment>
    <comment ref="O422" authorId="0" shapeId="0" xr:uid="{A7F5FF63-876A-4CAB-94ED-1AA50BA3DD6C}">
      <text>
        <r>
          <rPr>
            <sz val="9"/>
            <color indexed="81"/>
            <rFont val="Segoe UI"/>
            <family val="2"/>
          </rPr>
          <t xml:space="preserve">Realizado o pgto em uma única guia no valor total de </t>
        </r>
        <r>
          <rPr>
            <b/>
            <sz val="9"/>
            <color indexed="81"/>
            <rFont val="Segoe UI"/>
            <family val="2"/>
          </rPr>
          <t>R$ 3.736,60</t>
        </r>
      </text>
    </comment>
    <comment ref="O529" authorId="0" shapeId="0" xr:uid="{BE365304-DE9C-4AA1-817D-5E4748BC0E41}">
      <text>
        <r>
          <rPr>
            <sz val="9"/>
            <color indexed="81"/>
            <rFont val="Segoe UI"/>
            <family val="2"/>
          </rPr>
          <t>Provisionamento em mês aleatório! Não tem comunicado oficial da cobrança da tributação no exercício de 2026!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Lola</author>
  </authors>
  <commentList>
    <comment ref="G40" authorId="0" shapeId="0" xr:uid="{1E739AD2-71F8-4C5C-8317-22FA0A2000C6}">
      <text>
        <r>
          <rPr>
            <sz val="9"/>
            <color indexed="81"/>
            <rFont val="Segoe UI"/>
            <family val="2"/>
          </rPr>
          <t>Foi negociado o pagamento em 12 parcelas, ficando acordado com Pedro que 6 parcelas serão pagas pela Agropecuária Aramburu e as outras 6 pela Atmosphera.</t>
        </r>
      </text>
    </comment>
    <comment ref="G67" authorId="0" shapeId="0" xr:uid="{65BC5FBA-CF72-4EB9-8DB7-F22774A276A9}">
      <text>
        <r>
          <rPr>
            <sz val="9"/>
            <color indexed="81"/>
            <rFont val="Segoe UI"/>
            <family val="2"/>
          </rPr>
          <t>Foi negociado o pagamento em 12 parcelas, ficando acordado com Pedro que 6 parcelas serão pagas pela Agropecuária Aramburu e as outras 6 pela Atmosphera.</t>
        </r>
      </text>
    </comment>
    <comment ref="G94" authorId="0" shapeId="0" xr:uid="{E845623B-6862-41C5-81AB-9F183FF43D38}">
      <text>
        <r>
          <rPr>
            <sz val="9"/>
            <color indexed="81"/>
            <rFont val="Segoe UI"/>
            <family val="2"/>
          </rPr>
          <t>Foi negociado o pagamento em 12 parcelas, ficando acordado com Pedro que 6 parcelas serão pagas pela Agropecuária Aramburu e as outras 6 pela Atmosphera.</t>
        </r>
      </text>
    </comment>
    <comment ref="G149" authorId="0" shapeId="0" xr:uid="{D27A2AA5-FD8F-4013-AB43-F85E765391CD}">
      <text>
        <r>
          <rPr>
            <sz val="9"/>
            <color indexed="81"/>
            <rFont val="Segoe UI"/>
            <family val="2"/>
          </rPr>
          <t>Foi negociado o pagamento em 12 parcelas, ficando acordado com Pedro que 6 parcelas serão pagas pela Agropecuária Aramburu e as outras 6 pela Atmosphera.</t>
        </r>
      </text>
    </comment>
    <comment ref="G195" authorId="0" shapeId="0" xr:uid="{690E471D-D9CA-457E-A500-EE47AD0B6AEE}">
      <text>
        <r>
          <rPr>
            <sz val="9"/>
            <color indexed="81"/>
            <rFont val="Segoe UI"/>
            <family val="2"/>
          </rPr>
          <t>Foi negociado o pagamento em 12 parcelas, ficando acordado com Pedro que 6 parcelas serão pagas pela Agropecuária Aramburu e as outras 6 pela Atmosphera.</t>
        </r>
      </text>
    </comment>
    <comment ref="G239" authorId="0" shapeId="0" xr:uid="{6AADA38B-AC2C-404D-8C2D-8ED6B0ADCDF6}">
      <text>
        <r>
          <rPr>
            <sz val="9"/>
            <color indexed="81"/>
            <rFont val="Segoe UI"/>
            <family val="2"/>
          </rPr>
          <t>Foi negociado o pagamento em 12 parcelas, ficando acordado com Pedro que 6 parcelas serão pagas pela Agropecuária Aramburu e as outras 6 pela Atmosphera.</t>
        </r>
      </text>
    </comment>
    <comment ref="G338" authorId="0" shapeId="0" xr:uid="{C6F70644-D4E5-418A-88A0-819E4EC3FDB0}">
      <text>
        <r>
          <rPr>
            <sz val="9"/>
            <color indexed="81"/>
            <rFont val="Segoe UI"/>
            <family val="2"/>
          </rPr>
          <t>Realizado em um único pedido no valor de R$ 75,00, com cobrança total de R$ 10,00 referente à taxa de emissão do cartão, sendo R$ 5,00 para cada colaborador.</t>
        </r>
      </text>
    </comment>
    <comment ref="G339" authorId="0" shapeId="0" xr:uid="{77B14B88-F21D-4C8C-B81D-9ED6B42E1ACE}">
      <text>
        <r>
          <rPr>
            <sz val="9"/>
            <color indexed="81"/>
            <rFont val="Segoe UI"/>
            <family val="2"/>
          </rPr>
          <t>Realizado em um único pedido no valor de R$ 58,33, com cobrança total de R$ 10,00 referente à taxa de emissão do cartão, sendo R$ 5,00 para cada colaborador.</t>
        </r>
      </text>
    </comment>
    <comment ref="I364" authorId="0" shapeId="0" xr:uid="{66F67AF5-C03B-4563-B401-1E2353830A44}">
      <text>
        <r>
          <rPr>
            <sz val="9"/>
            <color indexed="81"/>
            <rFont val="Segoe UI"/>
            <family val="2"/>
          </rPr>
          <t>Guia no valor total de R$ 881,06 sendo R$ 238,36 ref. ao licenciamento de 2025 e R$ 642,70 ref. a multas urbanas.</t>
        </r>
      </text>
    </comment>
    <comment ref="I479" authorId="0" shapeId="0" xr:uid="{0CFE57B0-CF5C-4C3A-AAB8-5D07616C6D0C}">
      <text>
        <r>
          <rPr>
            <sz val="9"/>
            <color indexed="81"/>
            <rFont val="Segoe UI"/>
            <family val="2"/>
          </rPr>
          <t>Aplicado desconto de R$ 71,76, referente a parte de um crédito total de R$ 143,53 concedido no mês em decorrência da rescisão do colaborador Madson, mediante solicitação de estorno do saldo remanescente existente em seu cartão (R$ 143,53).</t>
        </r>
      </text>
    </comment>
    <comment ref="I480" authorId="0" shapeId="0" xr:uid="{08CB297B-BE95-4209-81C8-D1A6C6578BE1}">
      <text>
        <r>
          <rPr>
            <sz val="9"/>
            <color indexed="81"/>
            <rFont val="Segoe UI"/>
            <family val="2"/>
          </rPr>
          <t>Aplicado desconto de R$ 71,76, referente a parte de um crédito total de R$ 143,53 concedido no mês em decorrência da rescisão do colaborador Madson, mediante solicitação de estorno do saldo remanescente existente em seu cartão (R$ 143,53).</t>
        </r>
      </text>
    </comment>
    <comment ref="G544" authorId="0" shapeId="0" xr:uid="{3B5AF5E8-DA5F-4CC7-AC5C-C8490B474965}">
      <text>
        <r>
          <rPr>
            <sz val="9"/>
            <color indexed="81"/>
            <rFont val="Segoe UI"/>
            <family val="2"/>
          </rPr>
          <t>Efetuada a alteração na conta, retirando a assinatura COMBATE, onde foi gerado um novo código de cliente nº 143420113.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Lola</author>
  </authors>
  <commentList>
    <comment ref="E36" authorId="0" shapeId="0" xr:uid="{1908497E-5A61-4778-BF0D-AD3E47EAE582}">
      <text>
        <r>
          <rPr>
            <sz val="9"/>
            <color indexed="81"/>
            <rFont val="Segoe UI"/>
            <family val="2"/>
          </rPr>
          <t xml:space="preserve">
* R$ 180.000 dia 09/12/2025 XP -&gt; MJU
* R$ 119.598,61 dia 17/12/2025 XP -&gt; CGR
* R$ 100.488,96 dia 09/01/2026 XP -&gt; CGR
* R$ 200.084,84 dia 19/01/2026 CLÁUDIO -&gt; CGR
TOTAL: R$ 600.172,41</t>
        </r>
      </text>
    </comment>
  </commentList>
</comments>
</file>

<file path=xl/sharedStrings.xml><?xml version="1.0" encoding="utf-8"?>
<sst xmlns="http://schemas.openxmlformats.org/spreadsheetml/2006/main" count="12518" uniqueCount="1448">
  <si>
    <t>Dia</t>
  </si>
  <si>
    <t>Valor</t>
  </si>
  <si>
    <t>Mês</t>
  </si>
  <si>
    <t>Rótulos de Coluna</t>
  </si>
  <si>
    <t>Rótulos de Linha</t>
  </si>
  <si>
    <t>Total Geral</t>
  </si>
  <si>
    <t>DISTRIBUIÇÃO DE LUCRO</t>
  </si>
  <si>
    <t>Sócio</t>
  </si>
  <si>
    <t>Classificação</t>
  </si>
  <si>
    <t>Descrição</t>
  </si>
  <si>
    <t>Banco</t>
  </si>
  <si>
    <t>Status</t>
  </si>
  <si>
    <t>Ana Beatriz Ponte Fragelli</t>
  </si>
  <si>
    <t>1.04 - Despesas Pessoais</t>
  </si>
  <si>
    <t>Claudio Luiz Resta Fragelli</t>
  </si>
  <si>
    <t>Isamelia Ponte Fragelli</t>
  </si>
  <si>
    <t>Pedro Henrique Ponte Fragelli</t>
  </si>
  <si>
    <t>1.05 - Fazenda Aramburu</t>
  </si>
  <si>
    <t>1.03 - Renda Mensal/Qualidade de Vida</t>
  </si>
  <si>
    <t>Bradesco 1375 C/C 242867-9</t>
  </si>
  <si>
    <t>Distribuição Fixa</t>
  </si>
  <si>
    <t>1.01 - Imóvel</t>
  </si>
  <si>
    <t>1.02 - Família</t>
  </si>
  <si>
    <t>Nubank isafragelli@gmail.com</t>
  </si>
  <si>
    <t>Gastos Imóvel Locado</t>
  </si>
  <si>
    <t>Soma de Valor</t>
  </si>
  <si>
    <t>Reforma Programada</t>
  </si>
  <si>
    <t>Custos Emergenciais</t>
  </si>
  <si>
    <t>Provisionado</t>
  </si>
  <si>
    <t>Manutenção Conta Bradesco</t>
  </si>
  <si>
    <t>Medicamento</t>
  </si>
  <si>
    <t>Vacina</t>
  </si>
  <si>
    <t>Vivo Família Móvel</t>
  </si>
  <si>
    <t>Medicamentos</t>
  </si>
  <si>
    <t>Vivo TV + Internet</t>
  </si>
  <si>
    <t>Caixa Investimento</t>
  </si>
  <si>
    <t>IPTU (Residência SC)</t>
  </si>
  <si>
    <t>Jardineiro (Residência SC)</t>
  </si>
  <si>
    <t>Limpeza Mensal (Residência SC)</t>
  </si>
  <si>
    <t>Casan Águas e Saneamento (Residência SC)</t>
  </si>
  <si>
    <t>Claro Internet (Residência SC)</t>
  </si>
  <si>
    <t>Taxa de Coleta Residual (Residência SC)</t>
  </si>
  <si>
    <t>Limpeza Caixa de Gordura (Residência SC)</t>
  </si>
  <si>
    <t>Pluxee Alimentação - Cintia Daniela Rodrigues Ricalde</t>
  </si>
  <si>
    <t>Pluxee Alimentação - Fernando Guilherme Ledesma Bronel</t>
  </si>
  <si>
    <t>Parcelamento (Residência SC)</t>
  </si>
  <si>
    <t>Folha de Pgto - Fernando Guilherme Ledesma Bronel</t>
  </si>
  <si>
    <t>Folha de Pgto - Cintia Daniela Rodrigues Ricalde</t>
  </si>
  <si>
    <t>Energisa (Fazenda Aramburu)</t>
  </si>
  <si>
    <t>FGTS Folha de Pgto</t>
  </si>
  <si>
    <t>INSS Folha de Pgto</t>
  </si>
  <si>
    <t>Zélia Alves Ponte</t>
  </si>
  <si>
    <t>Vale Transporte - Célia Regina de Amorim Pontes</t>
  </si>
  <si>
    <t>Folha de Pgto - Célia Regina de Amorim Pontes</t>
  </si>
  <si>
    <t>FGTS - Célia Regina de Amorim Pontes</t>
  </si>
  <si>
    <t>ANA BEATRIZ</t>
  </si>
  <si>
    <t>CLÁUDIO LUIZ</t>
  </si>
  <si>
    <t>ISAMÉLIA FRAGELLI</t>
  </si>
  <si>
    <t>PEDRO HENRIQUE</t>
  </si>
  <si>
    <t>Dedetização (Residência SC)</t>
  </si>
  <si>
    <t>Tratamento Dentário</t>
  </si>
  <si>
    <t>Viagem Final de Ano</t>
  </si>
  <si>
    <t>Viagem Internacional</t>
  </si>
  <si>
    <t>Viagem Trimestral</t>
  </si>
  <si>
    <t>Troca de Celular</t>
  </si>
  <si>
    <t>Reforma Programada (Residência SC)</t>
  </si>
  <si>
    <t>C.E.R IPTU</t>
  </si>
  <si>
    <t>C.E.R Taxa Lixo</t>
  </si>
  <si>
    <t>Usucapião</t>
  </si>
  <si>
    <t>ITR Estância Ivone</t>
  </si>
  <si>
    <t>IPVA</t>
  </si>
  <si>
    <t>Troca de Pneus</t>
  </si>
  <si>
    <t>IRPF</t>
  </si>
  <si>
    <t>Bradesco 3489 C/C 3154-2</t>
  </si>
  <si>
    <t>Bradesco 3489 C/C 2911-4</t>
  </si>
  <si>
    <t>Bradesco 3489 C/C 35858-4</t>
  </si>
  <si>
    <t>Inter 001 C/C 28333196-0</t>
  </si>
  <si>
    <t>Nubank 0101 C/C 6254033-3</t>
  </si>
  <si>
    <t>Estética</t>
  </si>
  <si>
    <t>1ª Parc. 13º - Cintia Daniela Rodrigues Ricalde</t>
  </si>
  <si>
    <t>1ª Parc. 13º - Fernando Guilherme Ledesma Bronel</t>
  </si>
  <si>
    <t>2ª Parc. 13º - Cintia Daniela Rodrigues Ricalde</t>
  </si>
  <si>
    <t>2ª Parc. 13º - Fernando Guilherme Ledesma Bronel</t>
  </si>
  <si>
    <t>INSS 13º</t>
  </si>
  <si>
    <t>FGTS 13º</t>
  </si>
  <si>
    <t>Águas Guariroba (Forest House CG)</t>
  </si>
  <si>
    <t>Condomínio (Forest House CG)</t>
  </si>
  <si>
    <t>Energisa (Forest House CG)</t>
  </si>
  <si>
    <t>Piscineiro (Forest House CG)</t>
  </si>
  <si>
    <t>IPTU (Forest House CG)</t>
  </si>
  <si>
    <t>Jardineiro (Forest House CG)</t>
  </si>
  <si>
    <t>IPTU (Casa Vila Inventário)</t>
  </si>
  <si>
    <t>IPTU (Forest House)</t>
  </si>
  <si>
    <t>IPTU (Sala  01 Marechal Rondon)</t>
  </si>
  <si>
    <t>IPTU (Apto 01 Marechal Rondon)</t>
  </si>
  <si>
    <t>IPTU (Casa Barão)</t>
  </si>
  <si>
    <t>IPTU (Casa Fundos Marechal Rondon)</t>
  </si>
  <si>
    <t>IPTU (R. Margina Humberlina Lima 80)</t>
  </si>
  <si>
    <t>IPTU (R. Margina Humberlina Lima 90)</t>
  </si>
  <si>
    <t>Manutenção (Forest House CG)</t>
  </si>
  <si>
    <t>1ª Parc. 13º - Célia Regina de Amorim Pontes</t>
  </si>
  <si>
    <t>2ª Parc. 13º - Célia Regina de Amorim Pontes</t>
  </si>
  <si>
    <t>Férias - Célia Regina de Amorim Pontes</t>
  </si>
  <si>
    <t>Férias - Cintia Daniela Rodrigues Ricalde</t>
  </si>
  <si>
    <t>Férias - Fernando Guilherme Ledesma Bronel</t>
  </si>
  <si>
    <t>Conta Bancária (Pgto)</t>
  </si>
  <si>
    <t>DADOS BANCÁRIOS</t>
  </si>
  <si>
    <t>Validação</t>
  </si>
  <si>
    <t>Observação</t>
  </si>
  <si>
    <t>(    ) Sim   (    ) Não</t>
  </si>
  <si>
    <t>Inter 0001 C/C 12284789-0</t>
  </si>
  <si>
    <t>1.06 - Contratos de Venda</t>
  </si>
  <si>
    <t>Repasse Venda Soja  23/24</t>
  </si>
  <si>
    <t>Repasse Venda Milho 24/24</t>
  </si>
  <si>
    <t>Repasse Venda Soja 24/25</t>
  </si>
  <si>
    <t>Custo Emergencial</t>
  </si>
  <si>
    <t>Curso</t>
  </si>
  <si>
    <t>Seguro Veículo</t>
  </si>
  <si>
    <t>Aluguel</t>
  </si>
  <si>
    <t>IPTU Imóvel Alugado</t>
  </si>
  <si>
    <t>Condomínio Imóvel Alugado</t>
  </si>
  <si>
    <t>Água Imóvel Alugado</t>
  </si>
  <si>
    <t>Energia Imóvel Alugado</t>
  </si>
  <si>
    <t>Internet Imóvel Alugado</t>
  </si>
  <si>
    <t>Revisão Veículo</t>
  </si>
  <si>
    <t>IPTU Atmosphera</t>
  </si>
  <si>
    <t>Fluxo de Aceleração</t>
  </si>
  <si>
    <t>Viagem Meio do Ano</t>
  </si>
  <si>
    <t>Tipo de Despesa</t>
  </si>
  <si>
    <t>Fornecedor</t>
  </si>
  <si>
    <t>Forma de Pgto</t>
  </si>
  <si>
    <t>-</t>
  </si>
  <si>
    <t>Aramburu Participações Ltda</t>
  </si>
  <si>
    <t>Banco Inter - Distribuição de Lucro</t>
  </si>
  <si>
    <t>Pix</t>
  </si>
  <si>
    <t>Pago</t>
  </si>
  <si>
    <t>Despesas Variáveis</t>
  </si>
  <si>
    <t>Boleto</t>
  </si>
  <si>
    <t>Despesas Fixas</t>
  </si>
  <si>
    <t>Ministério Do Trabalho E Emprego</t>
  </si>
  <si>
    <t>Oeste Paulista Contabilidade</t>
  </si>
  <si>
    <t>Bradesco Saúde</t>
  </si>
  <si>
    <t>Copasul Comercio Varejistas - Posto Carreteiro</t>
  </si>
  <si>
    <t>Copasul Cooperativa</t>
  </si>
  <si>
    <t>Recebido</t>
  </si>
  <si>
    <t>Agropecuária Aramburu Ltda</t>
  </si>
  <si>
    <t>Atmosphera Saúde Esportes e R. Ltda</t>
  </si>
  <si>
    <t>Pluxee Benefícios Brasil S.A.</t>
  </si>
  <si>
    <t>Adriane Estefany Ramires Bento</t>
  </si>
  <si>
    <t>Saboto e Saboto Ltda</t>
  </si>
  <si>
    <t>Guia</t>
  </si>
  <si>
    <t>A pagar</t>
  </si>
  <si>
    <t>Contabilidade</t>
  </si>
  <si>
    <t>Aluguel de Sala Atmosphera</t>
  </si>
  <si>
    <t>Internet Fazenda Aramburu</t>
  </si>
  <si>
    <t>Abastecimentos Posto Carreteiro</t>
  </si>
  <si>
    <t>(Tudo)</t>
  </si>
  <si>
    <t>Gastos Imóvel</t>
  </si>
  <si>
    <t>A receber</t>
  </si>
  <si>
    <t>A aplicar</t>
  </si>
  <si>
    <t>Aplicação</t>
  </si>
  <si>
    <t>Resgate</t>
  </si>
  <si>
    <t>Insumos Drews</t>
  </si>
  <si>
    <t>Receita Federal</t>
  </si>
  <si>
    <t>Ministério Da Fazenda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</si>
  <si>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</si>
  <si>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</si>
  <si>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</si>
  <si>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</si>
  <si>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</si>
  <si>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</si>
  <si>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</si>
  <si>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</si>
  <si>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</si>
  <si>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</si>
  <si>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</si>
  <si>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</si>
  <si>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Folha de Pgto - Administrativo</t>
  </si>
  <si>
    <t>Data Vencimento</t>
  </si>
  <si>
    <t>IPVA - Triton Sport (SLZ-8B58)</t>
  </si>
  <si>
    <t>IPVA - Jeep Commander (RWJ-9B92)</t>
  </si>
  <si>
    <t>IPVA - Hyundai Creta (RWG-4I21)</t>
  </si>
  <si>
    <t>IPVA - Triton L200 (NRY-0578)</t>
  </si>
  <si>
    <t>IPTU (Atmosphera)</t>
  </si>
  <si>
    <t>Bica D'agua Mat De Const Ltda</t>
  </si>
  <si>
    <t>FGTS 13/2025</t>
  </si>
  <si>
    <t>ITR Fazenda Aramburu</t>
  </si>
  <si>
    <t>Plano de Saúde Bradesco</t>
  </si>
  <si>
    <t>Ref.</t>
  </si>
  <si>
    <t>Saídas</t>
  </si>
  <si>
    <t>Entradas</t>
  </si>
  <si>
    <t>=</t>
  </si>
  <si>
    <t>SALDO (-) CONTAS DO PRÓXIMO MÊS:</t>
  </si>
  <si>
    <t>Saldo Final</t>
  </si>
  <si>
    <t>+</t>
  </si>
  <si>
    <t>TOTAL</t>
  </si>
  <si>
    <t>Banco Cora</t>
  </si>
  <si>
    <t>Débito Automático</t>
  </si>
  <si>
    <t>OFC Certificação Digital Ltda</t>
  </si>
  <si>
    <t>Prefeitura Municipal de Maracaju</t>
  </si>
  <si>
    <t>UTILIZADO:</t>
  </si>
  <si>
    <t>DESPESA VARIÁVEL</t>
  </si>
  <si>
    <t>SALDO:</t>
  </si>
  <si>
    <t>LIMITE MÊS:</t>
  </si>
  <si>
    <t>PROVISIONADO:</t>
  </si>
  <si>
    <t>1/2</t>
  </si>
  <si>
    <t>2/2</t>
  </si>
  <si>
    <t>Provisionado DV</t>
  </si>
  <si>
    <t>Dez/2025</t>
  </si>
  <si>
    <t>AGUARDANDO NF</t>
  </si>
  <si>
    <t>4/4</t>
  </si>
  <si>
    <t>Diversos</t>
  </si>
  <si>
    <t>DS Agroveterinária Ltda - Raça Pet</t>
  </si>
  <si>
    <t/>
  </si>
  <si>
    <t>*</t>
  </si>
  <si>
    <r>
      <rPr>
        <b/>
        <sz val="12"/>
        <color rgb="FFFF0000"/>
        <rFont val="Aptos"/>
        <family val="2"/>
      </rPr>
      <t xml:space="preserve">* </t>
    </r>
    <r>
      <rPr>
        <i/>
        <sz val="10"/>
        <color rgb="FFFF0000"/>
        <rFont val="Aptos"/>
        <family val="2"/>
      </rPr>
      <t>Valor sujeito a alteração.</t>
    </r>
  </si>
  <si>
    <t>Subitem</t>
  </si>
  <si>
    <r>
      <rPr>
        <b/>
        <sz val="10"/>
        <color theme="1"/>
        <rFont val="Aptos"/>
        <family val="2"/>
      </rPr>
      <t>1.1</t>
    </r>
    <r>
      <rPr>
        <sz val="10"/>
        <color theme="1"/>
        <rFont val="Aptos"/>
        <family val="2"/>
      </rPr>
      <t xml:space="preserve"> -</t>
    </r>
    <r>
      <rPr>
        <b/>
        <sz val="10"/>
        <color theme="1"/>
        <rFont val="Aptos"/>
        <family val="2"/>
      </rPr>
      <t xml:space="preserve"> </t>
    </r>
    <r>
      <rPr>
        <sz val="10"/>
        <color theme="1"/>
        <rFont val="Aptos"/>
        <family val="2"/>
      </rPr>
      <t>Imóvel</t>
    </r>
  </si>
  <si>
    <r>
      <rPr>
        <b/>
        <sz val="10"/>
        <color theme="1"/>
        <rFont val="Aptos"/>
        <family val="2"/>
      </rPr>
      <t>1.2</t>
    </r>
    <r>
      <rPr>
        <sz val="10"/>
        <color theme="1"/>
        <rFont val="Aptos"/>
        <family val="2"/>
      </rPr>
      <t xml:space="preserve"> - Família</t>
    </r>
  </si>
  <si>
    <r>
      <rPr>
        <b/>
        <sz val="10"/>
        <color theme="1"/>
        <rFont val="Aptos"/>
        <family val="2"/>
      </rPr>
      <t>1.3</t>
    </r>
    <r>
      <rPr>
        <sz val="10"/>
        <color theme="1"/>
        <rFont val="Aptos"/>
        <family val="2"/>
      </rPr>
      <t xml:space="preserve"> - Renda Mensal/Qualidade de Vida</t>
    </r>
  </si>
  <si>
    <r>
      <rPr>
        <b/>
        <sz val="10"/>
        <color theme="1"/>
        <rFont val="Aptos"/>
        <family val="2"/>
      </rPr>
      <t>1.4</t>
    </r>
    <r>
      <rPr>
        <sz val="10"/>
        <color theme="1"/>
        <rFont val="Aptos"/>
        <family val="2"/>
      </rPr>
      <t xml:space="preserve"> - Despesas Pessoais</t>
    </r>
  </si>
  <si>
    <r>
      <rPr>
        <b/>
        <sz val="10"/>
        <color theme="1"/>
        <rFont val="Aptos"/>
        <family val="2"/>
      </rPr>
      <t xml:space="preserve">1.5 </t>
    </r>
    <r>
      <rPr>
        <sz val="10"/>
        <color theme="1"/>
        <rFont val="Aptos"/>
        <family val="2"/>
      </rPr>
      <t>- Fazenda Aramburu</t>
    </r>
  </si>
  <si>
    <r>
      <rPr>
        <b/>
        <sz val="10"/>
        <color theme="1"/>
        <rFont val="Aptos"/>
        <family val="2"/>
      </rPr>
      <t>1.6</t>
    </r>
    <r>
      <rPr>
        <sz val="10"/>
        <color theme="1"/>
        <rFont val="Aptos"/>
        <family val="2"/>
      </rPr>
      <t xml:space="preserve"> - Contratos de Venda</t>
    </r>
  </si>
  <si>
    <t>1.1 - Imóvel</t>
  </si>
  <si>
    <t>1.2 - Família</t>
  </si>
  <si>
    <t>1.3 - Renda Mensal/Qualidade de Vida</t>
  </si>
  <si>
    <t>1.4 - Despesas Pessoais</t>
  </si>
  <si>
    <t>1.5 - Fazenda Aramburu</t>
  </si>
  <si>
    <t>1.6 - Contratos de Venda</t>
  </si>
  <si>
    <t>1.1.1</t>
  </si>
  <si>
    <t>1.1.2</t>
  </si>
  <si>
    <t>1.1.3</t>
  </si>
  <si>
    <t>1.1.4</t>
  </si>
  <si>
    <t>1.3.1</t>
  </si>
  <si>
    <t>1.3.2</t>
  </si>
  <si>
    <t>1.3.3</t>
  </si>
  <si>
    <t>1.5.1</t>
  </si>
  <si>
    <t>1.4.1</t>
  </si>
  <si>
    <t>1.5.2</t>
  </si>
  <si>
    <t>1.5.3</t>
  </si>
  <si>
    <t>1.5.4</t>
  </si>
  <si>
    <t>1.5.5</t>
  </si>
  <si>
    <t>1.5.7</t>
  </si>
  <si>
    <t>1.1.5</t>
  </si>
  <si>
    <t>1.3.4</t>
  </si>
  <si>
    <t>1.2.1</t>
  </si>
  <si>
    <t>1.2.2</t>
  </si>
  <si>
    <t>1.2.3</t>
  </si>
  <si>
    <t>Análise de Provisionamento</t>
  </si>
  <si>
    <t>Distribuição de Lucro</t>
  </si>
  <si>
    <t>Cláudio Luiz Resta Fragelli</t>
  </si>
  <si>
    <t>Assinatura Anual  do Canva</t>
  </si>
  <si>
    <t>Assinatura Anual do MD Commodities</t>
  </si>
  <si>
    <t>10/12</t>
  </si>
  <si>
    <t>11/12</t>
  </si>
  <si>
    <t>12/12</t>
  </si>
  <si>
    <t>1.5.6</t>
  </si>
  <si>
    <t>Férias - Célia Regina de Amorim Apontes</t>
  </si>
  <si>
    <t>FGTS - Célia Regina de Amorim Apontes</t>
  </si>
  <si>
    <t>Folha de Pgto - Célia Regina de Amorim Apontes</t>
  </si>
  <si>
    <t>Vale Transporte - Célia Regina de Amorim Apontes</t>
  </si>
  <si>
    <t>Despesas Aramburu</t>
  </si>
  <si>
    <t>Investimentos (Aplicação)</t>
  </si>
  <si>
    <t>Vendas</t>
  </si>
  <si>
    <t>Investimentos (Resgate)</t>
  </si>
  <si>
    <t>Repassado</t>
  </si>
  <si>
    <t>Provisionado DL</t>
  </si>
  <si>
    <t>A repassar</t>
  </si>
  <si>
    <t>Saldo inicial</t>
  </si>
  <si>
    <t>Férias - Administrativo</t>
  </si>
  <si>
    <t>Transf. entre contas (Inter) - Renovação OFC PJ Aramburu Participações Ltda</t>
  </si>
  <si>
    <t>Renovação OFC PJ Agropecuária Aramburu Ltda</t>
  </si>
  <si>
    <t>1/3</t>
  </si>
  <si>
    <t>2/3</t>
  </si>
  <si>
    <t>3/3</t>
  </si>
  <si>
    <t>3/12</t>
  </si>
  <si>
    <t>4/12</t>
  </si>
  <si>
    <t>1/12</t>
  </si>
  <si>
    <t>5/12</t>
  </si>
  <si>
    <t>6/12</t>
  </si>
  <si>
    <t>2/12</t>
  </si>
  <si>
    <t>7/12</t>
  </si>
  <si>
    <t>8/12</t>
  </si>
  <si>
    <t>9/12</t>
  </si>
  <si>
    <t>Isamélia Ponte Fragelli</t>
  </si>
  <si>
    <t>1/5</t>
  </si>
  <si>
    <t>2/5</t>
  </si>
  <si>
    <t>3/5</t>
  </si>
  <si>
    <t>4/5</t>
  </si>
  <si>
    <t>5/5</t>
  </si>
  <si>
    <t>LTS Engenharia Sistemas Construtivos Ltda</t>
  </si>
  <si>
    <t>Conta Contábil</t>
  </si>
  <si>
    <t>Centro de Custo</t>
  </si>
  <si>
    <t>XP</t>
  </si>
  <si>
    <t>INVEST</t>
  </si>
  <si>
    <t>CONTA CORRENTE</t>
  </si>
  <si>
    <t>INVEST EVOLUTIVO</t>
  </si>
  <si>
    <t>Conta Bancária</t>
  </si>
  <si>
    <t>2.1 – Despesas Administrativas</t>
  </si>
  <si>
    <t>2.2 – Despesas com Pessoal</t>
  </si>
  <si>
    <t>2.3 – Operação da Propriedade</t>
  </si>
  <si>
    <t>2.4 – Serviços Terceirizados</t>
  </si>
  <si>
    <t>2.5 – Financeiras e Bancárias</t>
  </si>
  <si>
    <t>2.2.3 – Benefícios (vale, alimentação, etc.)</t>
  </si>
  <si>
    <t>2.3.1 – Manutenção de Benfeitorias</t>
  </si>
  <si>
    <t>2.3.2 – Energia Elétrica Rural</t>
  </si>
  <si>
    <t>2.3.3 – Água e Irrigação</t>
  </si>
  <si>
    <t>2.4.1 – Serviços Agrícolas (terceirizados)</t>
  </si>
  <si>
    <t>2.4.2 – Transporte e Logística</t>
  </si>
  <si>
    <t>2.5.1 – Juros Bancários</t>
  </si>
  <si>
    <t>2.5.3 – IOF / Despesas com Empréstimos</t>
  </si>
  <si>
    <t>Outras Despesas Não Classificadas</t>
  </si>
  <si>
    <t>2.8.3</t>
  </si>
  <si>
    <t>Perdas e Extravio</t>
  </si>
  <si>
    <t>2.8.2</t>
  </si>
  <si>
    <t>Devoluções de Receitas</t>
  </si>
  <si>
    <t>2.8.1</t>
  </si>
  <si>
    <t>Outras Saídas</t>
  </si>
  <si>
    <t>2.8</t>
  </si>
  <si>
    <t>Pagamentos Pessoais (não operacionais)</t>
  </si>
  <si>
    <t>2.7.3</t>
  </si>
  <si>
    <t>Retirada de Sócios</t>
  </si>
  <si>
    <t>2.7.2</t>
  </si>
  <si>
    <t>Distribuição de Lucros</t>
  </si>
  <si>
    <t>2.7.1</t>
  </si>
  <si>
    <t>Distribuição de Lucro / Saídas Pessoais</t>
  </si>
  <si>
    <t>2.7</t>
  </si>
  <si>
    <t>Aplicações Financeiras</t>
  </si>
  <si>
    <t>Obras e Melhorias (infraestrutura)</t>
  </si>
  <si>
    <t>Compra de Equipamentos Agrícolas</t>
  </si>
  <si>
    <t>2.6.1</t>
  </si>
  <si>
    <t>2.6</t>
  </si>
  <si>
    <t>IOF / Despesas com Empréstimos</t>
  </si>
  <si>
    <t>2.5.3</t>
  </si>
  <si>
    <t>2.5.2</t>
  </si>
  <si>
    <t>Juros Bancários</t>
  </si>
  <si>
    <t>2.5.1</t>
  </si>
  <si>
    <t>Financeiras e Bancárias</t>
  </si>
  <si>
    <t>2.5</t>
  </si>
  <si>
    <t>2.4.3</t>
  </si>
  <si>
    <t>Transporte e Logística</t>
  </si>
  <si>
    <t>2.4.2</t>
  </si>
  <si>
    <t>Serviços Agrícolas (terceirizados)</t>
  </si>
  <si>
    <t>2.4.1</t>
  </si>
  <si>
    <t>Serviços Terceirizados</t>
  </si>
  <si>
    <t>2.4</t>
  </si>
  <si>
    <t>Sanidade Animal</t>
  </si>
  <si>
    <t>2.3.6</t>
  </si>
  <si>
    <t>Alimentação Animal</t>
  </si>
  <si>
    <t>2.3.5</t>
  </si>
  <si>
    <t>Combustíveis e Lubrificantes</t>
  </si>
  <si>
    <t>2.3.4</t>
  </si>
  <si>
    <t>Água e Irrigação</t>
  </si>
  <si>
    <t>2.3.3</t>
  </si>
  <si>
    <t>Energia Elétrica Rural</t>
  </si>
  <si>
    <t>2.3.2</t>
  </si>
  <si>
    <t>Manutenção de Benfeitorias</t>
  </si>
  <si>
    <t>2.3.1</t>
  </si>
  <si>
    <t>Operação da Propriedade</t>
  </si>
  <si>
    <t>2.3</t>
  </si>
  <si>
    <t>Benefícios (vale, alimentação, etc.)</t>
  </si>
  <si>
    <t>2.2.3</t>
  </si>
  <si>
    <t>2.2.2</t>
  </si>
  <si>
    <t>2.2.1</t>
  </si>
  <si>
    <t>Despesas com Pessoal</t>
  </si>
  <si>
    <t>2.2</t>
  </si>
  <si>
    <t>2.1.6</t>
  </si>
  <si>
    <t>Taxas e Impostos (ITR, INCRA, etc.)</t>
  </si>
  <si>
    <t>2.1.5</t>
  </si>
  <si>
    <t>Licenciamento e Regularização Ambiental</t>
  </si>
  <si>
    <t>2.1.4</t>
  </si>
  <si>
    <t>Honorários Jurídicos</t>
  </si>
  <si>
    <t>2.1.3</t>
  </si>
  <si>
    <t>Honorários Contábeis</t>
  </si>
  <si>
    <t>2.1.2</t>
  </si>
  <si>
    <t>Outros Recebimentos</t>
  </si>
  <si>
    <t>1.9</t>
  </si>
  <si>
    <t>Resgate de Aplicações</t>
  </si>
  <si>
    <t>1.8</t>
  </si>
  <si>
    <t>Reembolsos Recebidos</t>
  </si>
  <si>
    <t>1.7</t>
  </si>
  <si>
    <t>Estorno de Pagamentos</t>
  </si>
  <si>
    <t>1.6</t>
  </si>
  <si>
    <t>1.9 – Outros Recebimentos</t>
  </si>
  <si>
    <t>Juros e Rendimentos de Aplicações</t>
  </si>
  <si>
    <t>1.5</t>
  </si>
  <si>
    <t>1.8 – Resgate de Aplicações</t>
  </si>
  <si>
    <t>1.7 – Reembolsos Recebidos</t>
  </si>
  <si>
    <t>Receita com Venda de Animais</t>
  </si>
  <si>
    <t>1.4</t>
  </si>
  <si>
    <t>1.6 – Estorno de Pagamentos</t>
  </si>
  <si>
    <t>1.5 – Juros e Rendimentos de Aplicações</t>
  </si>
  <si>
    <t>Receita com Venda de Subprodutos</t>
  </si>
  <si>
    <t>1.3</t>
  </si>
  <si>
    <t>1.4 – Receita com Venda de Animais</t>
  </si>
  <si>
    <t>1.3 – Receita com Venda de Subprodutos</t>
  </si>
  <si>
    <t>Venda de Milho</t>
  </si>
  <si>
    <t>1.2 – Receita de Arrendamento de Terras</t>
  </si>
  <si>
    <t>Venda de Soja</t>
  </si>
  <si>
    <t>1.1 – Saldo Inicial</t>
  </si>
  <si>
    <t>Receita de Arrendamento de Terras</t>
  </si>
  <si>
    <t>1.2</t>
  </si>
  <si>
    <t>Saldo Inicial</t>
  </si>
  <si>
    <t>1.1</t>
  </si>
  <si>
    <t>Representa onde o recurso foi usado ou gerado, ou seja, qual unidade, fazenda, setor ou atividade originou aquela receita ou despesa.</t>
  </si>
  <si>
    <t>Natureza da conta ou plano de contas, representa a finalidade da movimentação financeira, ou seja, o que está sendo pago ou recebido.</t>
  </si>
  <si>
    <t>Código</t>
  </si>
  <si>
    <t>2.4.4</t>
  </si>
  <si>
    <t>Serviços Diversos</t>
  </si>
  <si>
    <t>2.3.7</t>
  </si>
  <si>
    <t>Manutenção de Veículos e Máquinas</t>
  </si>
  <si>
    <t>Manutenção e Reparos</t>
  </si>
  <si>
    <t>2.4.5</t>
  </si>
  <si>
    <t>2.4.3 – Manutenção e Reparos</t>
  </si>
  <si>
    <t>2.4.4 – Manutenção de Veículos e Máquinas</t>
  </si>
  <si>
    <t>Encargos Sociais (INSS, FGTS, etc.)</t>
  </si>
  <si>
    <t>Benfeitorias Temporárias / Construções Leves</t>
  </si>
  <si>
    <t>Peças para Veículos e Máquinas</t>
  </si>
  <si>
    <t>2.1 DESPESAS ADMINISTRATIVAS</t>
  </si>
  <si>
    <t>2.2 DESPESAS COM PESSOAL</t>
  </si>
  <si>
    <t>2.3 OPERAÇÃO DA PROPRIEDADE</t>
  </si>
  <si>
    <t>2.4 SERVIÇOS TERCEIRIZADOS</t>
  </si>
  <si>
    <t>2.5 FINANCEIRAS E BANCÁRIAS</t>
  </si>
  <si>
    <t>1 – ENTRADAS</t>
  </si>
  <si>
    <t>2 – SAÍDAS</t>
  </si>
  <si>
    <t>Canva Pty Ltda</t>
  </si>
  <si>
    <t>Dejneka &amp; Menezes Serviços e Consultoria Ltda</t>
  </si>
  <si>
    <t>2.1.7</t>
  </si>
  <si>
    <t>Despesas Gerais</t>
  </si>
  <si>
    <t>Material de Escritório</t>
  </si>
  <si>
    <t>2.3.8</t>
  </si>
  <si>
    <t>Internet Rural</t>
  </si>
  <si>
    <t>2.3.4 – Internet Rural</t>
  </si>
  <si>
    <t>2.3.5 – Combustíveis e Lubrificantes</t>
  </si>
  <si>
    <t>Starlink Brazil Redes de Telecomunicações Ltda ME</t>
  </si>
  <si>
    <t>Tarifas Bancárias</t>
  </si>
  <si>
    <t>2.5.2 – Tarifas Bancárias</t>
  </si>
  <si>
    <t>2.3.9</t>
  </si>
  <si>
    <t>2.3.7 – Peças para Veículos e Máquinas</t>
  </si>
  <si>
    <t>2.1.6 – Taxas e Impostos (ITR, INCRA, etc.)</t>
  </si>
  <si>
    <t>2.1.8 – Despesas Gerais</t>
  </si>
  <si>
    <t>2.1.8</t>
  </si>
  <si>
    <t>Despesas com Aluguel</t>
  </si>
  <si>
    <t>Software Rural</t>
  </si>
  <si>
    <t>1.2 RECEITA DE ARRENDAMENTO DE TERRAS</t>
  </si>
  <si>
    <t>1.2.1 –  Venda de Soja</t>
  </si>
  <si>
    <t>Banco XP</t>
  </si>
  <si>
    <t>Cooperativa Sicredi</t>
  </si>
  <si>
    <t>1.6.1</t>
  </si>
  <si>
    <t>1.7.1</t>
  </si>
  <si>
    <t>1.8.1</t>
  </si>
  <si>
    <t>1.8.2</t>
  </si>
  <si>
    <t>1.9.1</t>
  </si>
  <si>
    <t>1.1 SALDO INICIAL</t>
  </si>
  <si>
    <t>1.3.1 – Diversos</t>
  </si>
  <si>
    <t>1.2.1 – Venda de Soja</t>
  </si>
  <si>
    <t>1.2.2 – Venda de Milho</t>
  </si>
  <si>
    <t>1.1.1 – Banco Cora</t>
  </si>
  <si>
    <t>1.3 RECEITA COM VENDA DE SUBPRODUTOS</t>
  </si>
  <si>
    <t>1.4 RECEITA COM VENDA DE ANIMAIS</t>
  </si>
  <si>
    <t>1.4.1 – Diversos</t>
  </si>
  <si>
    <t>1.5 JUROS E RENDIMENTOS DE APLICAÇÕES</t>
  </si>
  <si>
    <t>1.5.1 – Cooperativa Sicredi</t>
  </si>
  <si>
    <t>1.5.2 – Banco XP</t>
  </si>
  <si>
    <t>1.6 ESTORNO DE PAGAMENTOS</t>
  </si>
  <si>
    <t>1.6.1 – Diversos</t>
  </si>
  <si>
    <t>1.7 REEMBOLSO RECEBIDOS</t>
  </si>
  <si>
    <t>1.7.1 – Diversos</t>
  </si>
  <si>
    <t>1.8.1 – Cooperativa Sicredi</t>
  </si>
  <si>
    <t>1.8.2 – Banco XP</t>
  </si>
  <si>
    <t>1.8 RESGATE DE APLICAÇÕES</t>
  </si>
  <si>
    <t>1.9.1 – Diversos</t>
  </si>
  <si>
    <t>1.9 OUTROS RECEBIMENTOS</t>
  </si>
  <si>
    <t>2.3.10</t>
  </si>
  <si>
    <t>Insumos Agrícolas</t>
  </si>
  <si>
    <t>2.3.9 – Alimentação Animal</t>
  </si>
  <si>
    <t>2.3.10 – Sanidade Animal</t>
  </si>
  <si>
    <t>2.3.8 – Insumos Agrícolas</t>
  </si>
  <si>
    <t>2.3.6 – Produtos e Peças</t>
  </si>
  <si>
    <t>Produtos e Peças</t>
  </si>
  <si>
    <t>Banco Cooperativa Sicredi</t>
  </si>
  <si>
    <t>Despesas Administrativa</t>
  </si>
  <si>
    <t>Cesta Relacionamento</t>
  </si>
  <si>
    <t>Deb.Cta. Fatura</t>
  </si>
  <si>
    <t>Integralização de Capital Subscrito</t>
  </si>
  <si>
    <t>Transferência</t>
  </si>
  <si>
    <t>Cesta Empresarial 2</t>
  </si>
  <si>
    <t>Investimento em Imobilizado Operacional</t>
  </si>
  <si>
    <t>Investimento em Capital</t>
  </si>
  <si>
    <t>2.9</t>
  </si>
  <si>
    <t>2.9.1</t>
  </si>
  <si>
    <t>2.9.2</t>
  </si>
  <si>
    <t>2.9.3</t>
  </si>
  <si>
    <t>2.6 INVESTIMENTOS EM CAPITAL</t>
  </si>
  <si>
    <t>2.6.1 – Aplicações Financeiras</t>
  </si>
  <si>
    <t>2.7 INVESTIMENTOS EM IMOBILIZADO OPERACIONAL</t>
  </si>
  <si>
    <t>2.7.1 – Compra de Equipamentos Agrícolas</t>
  </si>
  <si>
    <t>2.7.2 – Obras e Melhorias (infraestrutura)</t>
  </si>
  <si>
    <t>2.7.3 – Benfeitorias Temporárias / Construções Leves</t>
  </si>
  <si>
    <t>2.8 DISTRIBUIÇÃO DE LUCRO / SAÍDAS PESSOAIS</t>
  </si>
  <si>
    <t>2.8.1 – Distribuição de Lucros</t>
  </si>
  <si>
    <t>2.8.2 – Retirada de Sócios</t>
  </si>
  <si>
    <t>2.8.3 – Pagamentos Pessoais (não operacionais)</t>
  </si>
  <si>
    <t>2.9 OUTRAS SAÍDAS</t>
  </si>
  <si>
    <t>2.9.1 – Devoluções de Receitas</t>
  </si>
  <si>
    <t>2.9.2 – Perdas e Extravio</t>
  </si>
  <si>
    <t>2.9.3 – Outras Despesas Não Classificadas</t>
  </si>
  <si>
    <t>2.6 – Investimentos em Capital</t>
  </si>
  <si>
    <t>2.7 – Investimentos em Imobilizado Operacional</t>
  </si>
  <si>
    <t>2.8 – Distribuição de Lucro / Saídas Pessoais</t>
  </si>
  <si>
    <t>2.9 – Outras Saídas</t>
  </si>
  <si>
    <t>Resgate da Conta Investimento Invest Evolutivo - Reserva p/ Construção da Sede</t>
  </si>
  <si>
    <t>2.1</t>
  </si>
  <si>
    <t>2.1.1 – Honorários Contábeis</t>
  </si>
  <si>
    <t>2.1.2 – Honorários Jurídicos</t>
  </si>
  <si>
    <t>2.1.3 – Despesas com Aluguel</t>
  </si>
  <si>
    <t>2.1.4 – Software Rural</t>
  </si>
  <si>
    <t>2.1.5 – Licenciamento e Regularização Ambiental</t>
  </si>
  <si>
    <t>2.1.7 – Material de Escritório</t>
  </si>
  <si>
    <t>2.1.1</t>
  </si>
  <si>
    <t>Smart Center Comércio de Materiais de Construção Ltda</t>
  </si>
  <si>
    <t>A resgatar</t>
  </si>
  <si>
    <t>2.4.6</t>
  </si>
  <si>
    <t>2.4.7</t>
  </si>
  <si>
    <t>Taxa de Armazenagem</t>
  </si>
  <si>
    <t>Taxa de Expedição e Retirada</t>
  </si>
  <si>
    <t>2.4.7 – Serviços Diversos</t>
  </si>
  <si>
    <t>2.4.5 – Taxa de Armazenagem</t>
  </si>
  <si>
    <t>2.4.6 – Taxa de Expedição e Retirada</t>
  </si>
  <si>
    <t>Renovação OFC Certificado Digital</t>
  </si>
  <si>
    <t>Coordenação Geral de Orçamento e Finanças - DOF</t>
  </si>
  <si>
    <t>1.1.2 – Cooperativa Sicredi</t>
  </si>
  <si>
    <t>Folha de Pgto - Amadeu Fava Junior</t>
  </si>
  <si>
    <t>Folha de Pgto - Cristiane da Silva Freire</t>
  </si>
  <si>
    <t>Despesas Eventuais</t>
  </si>
  <si>
    <t>Centro de Medicina do Trabalho - CMT</t>
  </si>
  <si>
    <t>Renovação Documentos SST (PCMSO, LTCAT e LIT)</t>
  </si>
  <si>
    <t>2.2.4</t>
  </si>
  <si>
    <t>EPIs Operacionais</t>
  </si>
  <si>
    <t>Soldamaq Comércio de Ferramentas Ltda - CG</t>
  </si>
  <si>
    <t>B. Brasil cfragelli7@gmail.com</t>
  </si>
  <si>
    <t>1.5.8</t>
  </si>
  <si>
    <t>Parcelas</t>
  </si>
  <si>
    <t>Saldo Final em Conta | 2025</t>
  </si>
  <si>
    <t>Movimentações de Saídas | Janeiro</t>
  </si>
  <si>
    <t>Movimentações de Entradas</t>
  </si>
  <si>
    <t>Movimentações de Saídas</t>
  </si>
  <si>
    <t>Inter 001 C/C 28333196-8</t>
  </si>
  <si>
    <t>Rasat Soluções Inteligentes Ltda</t>
  </si>
  <si>
    <t>Rastreamento Veicular - Caminhonete L200</t>
  </si>
  <si>
    <t>2.2.5</t>
  </si>
  <si>
    <t>Férias</t>
  </si>
  <si>
    <t>Salários e Remunerações</t>
  </si>
  <si>
    <t>2.2.1 – Salários e Remunerações</t>
  </si>
  <si>
    <t>2.2.2 – Encargos Sociais (INSS, FGTS, etc.)</t>
  </si>
  <si>
    <t>2.2.4 – Férias</t>
  </si>
  <si>
    <t>2.2.5 – EPIs Operacionais</t>
  </si>
  <si>
    <r>
      <rPr>
        <b/>
        <sz val="9"/>
        <color rgb="FFFFFFFF"/>
        <rFont val="Trebuchet MS"/>
        <family val="2"/>
      </rPr>
      <t>OC</t>
    </r>
  </si>
  <si>
    <r>
      <rPr>
        <b/>
        <sz val="9"/>
        <color rgb="FFFFFFFF"/>
        <rFont val="Trebuchet MS"/>
        <family val="2"/>
      </rPr>
      <t>DATA COMPRA</t>
    </r>
  </si>
  <si>
    <r>
      <rPr>
        <b/>
        <sz val="9"/>
        <color rgb="FFFFFFFF"/>
        <rFont val="Trebuchet MS"/>
        <family val="2"/>
      </rPr>
      <t>LOJA</t>
    </r>
  </si>
  <si>
    <r>
      <rPr>
        <b/>
        <sz val="9"/>
        <color rgb="FFFFFFFF"/>
        <rFont val="Trebuchet MS"/>
        <family val="2"/>
      </rPr>
      <t>NF</t>
    </r>
  </si>
  <si>
    <r>
      <rPr>
        <b/>
        <sz val="9"/>
        <color rgb="FFFFFFFF"/>
        <rFont val="Trebuchet MS"/>
        <family val="2"/>
      </rPr>
      <t>FORMA DE PAGAMENTO</t>
    </r>
  </si>
  <si>
    <r>
      <rPr>
        <b/>
        <sz val="9"/>
        <color rgb="FFFFFFFF"/>
        <rFont val="Trebuchet MS"/>
        <family val="2"/>
      </rPr>
      <t>VALOR</t>
    </r>
  </si>
  <si>
    <r>
      <rPr>
        <b/>
        <sz val="9"/>
        <color rgb="FFFFFFFF"/>
        <rFont val="Trebuchet MS"/>
        <family val="2"/>
      </rPr>
      <t>VENCIMENTOS</t>
    </r>
  </si>
  <si>
    <r>
      <rPr>
        <b/>
        <sz val="9"/>
        <color rgb="FFFFFFFF"/>
        <rFont val="Trebuchet MS"/>
        <family val="2"/>
      </rPr>
      <t>STATUS</t>
    </r>
  </si>
  <si>
    <r>
      <rPr>
        <b/>
        <sz val="9"/>
        <color rgb="FFFFFFFF"/>
        <rFont val="Trebuchet MS"/>
        <family val="2"/>
      </rPr>
      <t>TOTAL</t>
    </r>
  </si>
  <si>
    <t>Saldo</t>
  </si>
  <si>
    <t>Douratubos Acessórios Industriais Ltda</t>
  </si>
  <si>
    <t>ESPAÇO SMART</t>
  </si>
  <si>
    <t>ENTRADA 50% + 4X BOLETOS</t>
  </si>
  <si>
    <t>EM ABERTO</t>
  </si>
  <si>
    <t>ENTRADA</t>
  </si>
  <si>
    <t>LTS ENGENHARIA</t>
  </si>
  <si>
    <t>PIX</t>
  </si>
  <si>
    <t>MADEGRAN</t>
  </si>
  <si>
    <t>1X BOLETO</t>
  </si>
  <si>
    <t>002/1</t>
  </si>
  <si>
    <t>TOLDOS MIRASSOL</t>
  </si>
  <si>
    <t>003/1</t>
  </si>
  <si>
    <t>FÊNIX CONTAINERS</t>
  </si>
  <si>
    <t>BICA D'ÁGUA</t>
  </si>
  <si>
    <t>MAGUI MUNCK</t>
  </si>
  <si>
    <t>DOURATUBOS</t>
  </si>
  <si>
    <t>2X BOLETO</t>
  </si>
  <si>
    <r>
      <rPr>
        <b/>
        <sz val="9"/>
        <color rgb="FFFFFFFF"/>
        <rFont val="Trebuchet MS"/>
        <family val="2"/>
      </rPr>
      <t>SOMATÓRIA
TOTAL CONTRATO (MAT.) SALDO CONTRATO (MAT.)</t>
    </r>
  </si>
  <si>
    <t xml:space="preserve">  CONTA CORRENTE</t>
  </si>
  <si>
    <t>Resgatado</t>
  </si>
  <si>
    <t>Aplicado</t>
  </si>
  <si>
    <t>PAGO</t>
  </si>
  <si>
    <t>ESTEIO</t>
  </si>
  <si>
    <t>LOPES</t>
  </si>
  <si>
    <t>AÇOTELHA</t>
  </si>
  <si>
    <t>Construção da Sede_Projeto_Contrato - Execução (INSS)</t>
  </si>
  <si>
    <t>LOCAÇÃO</t>
  </si>
  <si>
    <t>Total do Contrato - Projeto</t>
  </si>
  <si>
    <t>OUTRAS</t>
  </si>
  <si>
    <t>OUTRAS DESPESAS</t>
  </si>
  <si>
    <t>Validação do Valor total</t>
  </si>
  <si>
    <t>Obs. Obra</t>
  </si>
  <si>
    <t>Data</t>
  </si>
  <si>
    <t>Valor Planilha LTS</t>
  </si>
  <si>
    <t>MED 001</t>
  </si>
  <si>
    <t>WM CONCRETO</t>
  </si>
  <si>
    <t>Construção da Sede_Projeto_Contrato - Execução (ISS)</t>
  </si>
  <si>
    <t>000</t>
  </si>
  <si>
    <t>001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</si>
  <si>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</si>
  <si>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</si>
  <si>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</si>
  <si>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</si>
  <si>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</si>
  <si>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</si>
  <si>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</si>
  <si>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</si>
  <si>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</si>
  <si>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ALUGA MÁQUINAS</t>
  </si>
  <si>
    <t>013</t>
  </si>
  <si>
    <t>014</t>
  </si>
  <si>
    <t>015</t>
  </si>
  <si>
    <t>016</t>
  </si>
  <si>
    <t>017</t>
  </si>
  <si>
    <t>018</t>
  </si>
  <si>
    <t>019</t>
  </si>
  <si>
    <t>SOLDAMAQ</t>
  </si>
  <si>
    <t>Medições</t>
  </si>
  <si>
    <t>Validação x Planilha LTS</t>
  </si>
  <si>
    <t>Validação x Contrato da LTS</t>
  </si>
  <si>
    <t>Provisionado (Medição 04)</t>
  </si>
  <si>
    <t>JV Tubos e Acabamentos Ltda</t>
  </si>
  <si>
    <t>Pluxee Multibenefícios - Administrativo</t>
  </si>
  <si>
    <t>Pluxee Multibenefícios - Amadeu Fava Junior</t>
  </si>
  <si>
    <t>Pluxee Multibenefícios - Cristiane da Silva Freire</t>
  </si>
  <si>
    <t>Pluxee Multibenefícios - Peres Siqueira</t>
  </si>
  <si>
    <t>Folha de Pgto - Peres Siqueira</t>
  </si>
  <si>
    <t>MEDIÇÃO 04</t>
  </si>
  <si>
    <t>020</t>
  </si>
  <si>
    <t>021</t>
  </si>
  <si>
    <t>Despesas Periódicas</t>
  </si>
  <si>
    <t>Construção da Sede_Obra_Contrato - Material de Construção</t>
  </si>
  <si>
    <t>023</t>
  </si>
  <si>
    <t>KINGSPAN</t>
  </si>
  <si>
    <t>20% ENTRADA</t>
  </si>
  <si>
    <t>3X BOLETO</t>
  </si>
  <si>
    <t>Kingspan Isoeste Construtivo Isotérmicos S/A</t>
  </si>
  <si>
    <t>Construção da Sede_Obra_Contrato - Telhas, acessórios de fixação e acessórios de acabamento</t>
  </si>
  <si>
    <t>ND-019515</t>
  </si>
  <si>
    <t>ND-019514</t>
  </si>
  <si>
    <t>NF CANCELADA</t>
  </si>
  <si>
    <t>ND 3382</t>
  </si>
  <si>
    <t>VENCE HOJE</t>
  </si>
  <si>
    <t>VENCIDO</t>
  </si>
  <si>
    <t>2299/8675</t>
  </si>
  <si>
    <t>024</t>
  </si>
  <si>
    <t>NF 4084</t>
  </si>
  <si>
    <t>MED 002</t>
  </si>
  <si>
    <t>1.4.3</t>
  </si>
  <si>
    <t>1.5.9</t>
  </si>
  <si>
    <t>1.5.10</t>
  </si>
  <si>
    <t>1.5.11</t>
  </si>
  <si>
    <t>1.5.12</t>
  </si>
  <si>
    <t>1.2.4</t>
  </si>
  <si>
    <t>Eliete Duarte Taglialenha - Montana Móveis</t>
  </si>
  <si>
    <t>Construção da Sede - Móveis Planejados</t>
  </si>
  <si>
    <t>Construção da Sede - Pisos</t>
  </si>
  <si>
    <t>025</t>
  </si>
  <si>
    <t>Contrato 01</t>
  </si>
  <si>
    <t>Contrato 02</t>
  </si>
  <si>
    <t>Contrato 01 - Obra</t>
  </si>
  <si>
    <t>Contrato 02 - Obra</t>
  </si>
  <si>
    <t>NF 73519</t>
  </si>
  <si>
    <t>Cempar - Manutenção Anual Jazigo</t>
  </si>
  <si>
    <t>Outras Despesas</t>
  </si>
  <si>
    <t>AGROPECUÁRIA ARAMBURU</t>
  </si>
  <si>
    <t>Construção da Sede - Esquadrias</t>
  </si>
  <si>
    <t>J &amp; E Vidrobox Alumínios Ltda</t>
  </si>
  <si>
    <t>026</t>
  </si>
  <si>
    <t>027</t>
  </si>
  <si>
    <t>003/2</t>
  </si>
  <si>
    <t>003/3</t>
  </si>
  <si>
    <t>ND 3435</t>
  </si>
  <si>
    <t>022.1</t>
  </si>
  <si>
    <t>022.2</t>
  </si>
  <si>
    <t>ND-019855</t>
  </si>
  <si>
    <t>NF 360329</t>
  </si>
  <si>
    <t>R. D. Almeida Ltda – Red Blue Aquecedores e Piscinas</t>
  </si>
  <si>
    <t xml:space="preserve">Construção da Sede - Boiler e acessórios hidráulicos </t>
  </si>
  <si>
    <t>Premier Portas Ltda</t>
  </si>
  <si>
    <t>Construção da Sede - Portas internas</t>
  </si>
  <si>
    <t>PARAÍSO DAS TINTAS</t>
  </si>
  <si>
    <t>DIFAL</t>
  </si>
  <si>
    <t>Tampa da Caixa D'Agua Fortlev 10 mil litros</t>
  </si>
  <si>
    <t>NF 277091</t>
  </si>
  <si>
    <t>NF 356167</t>
  </si>
  <si>
    <t>Construção da Sede - Instalações hidrossanitárias</t>
  </si>
  <si>
    <t>Capital Inicial (Maio/2025)</t>
  </si>
  <si>
    <t>Outras</t>
  </si>
  <si>
    <t>Custo total até o momento</t>
  </si>
  <si>
    <t>CUSTOS DA OBRA | SEDE</t>
  </si>
  <si>
    <t>A pagar + Provisionado</t>
  </si>
  <si>
    <t>A PAGAR</t>
  </si>
  <si>
    <t>PROVISIONADO</t>
  </si>
  <si>
    <t>Contabilidade | Repasse anual (13º)</t>
  </si>
  <si>
    <t>Comercial Elétrica Dourados Ltda</t>
  </si>
  <si>
    <t>Construção da Sede - Instalações elétricas</t>
  </si>
  <si>
    <r>
      <t xml:space="preserve">Diferença entre custo total x capital inicial </t>
    </r>
    <r>
      <rPr>
        <b/>
        <sz val="8"/>
        <color rgb="FF000000"/>
        <rFont val="Arial"/>
        <family val="2"/>
        <scheme val="minor"/>
      </rPr>
      <t>(ou seja, investimento extra necessário além do capital inicial sem considerar o rendimento da aplicação)</t>
    </r>
  </si>
  <si>
    <t>Edson dos Santos Ortega</t>
  </si>
  <si>
    <t>Construção da Sede - Calhas, rufos, cumieiras, etc</t>
  </si>
  <si>
    <t>MED 003</t>
  </si>
  <si>
    <t>NF 356916</t>
  </si>
  <si>
    <t>NF 10010</t>
  </si>
  <si>
    <t>NF 4915</t>
  </si>
  <si>
    <t>028</t>
  </si>
  <si>
    <t>SMART CENTER</t>
  </si>
  <si>
    <t>10010</t>
  </si>
  <si>
    <t>4915</t>
  </si>
  <si>
    <t>Contrato 03</t>
  </si>
  <si>
    <t>NF 314450</t>
  </si>
  <si>
    <t>NF 314132</t>
  </si>
  <si>
    <t>029</t>
  </si>
  <si>
    <t>PETEL</t>
  </si>
  <si>
    <t>Inter 0001 C/C 11593566-5</t>
  </si>
  <si>
    <t>NF 314524</t>
  </si>
  <si>
    <t>a pagar</t>
  </si>
  <si>
    <t>provisionadas</t>
  </si>
  <si>
    <t>NF 11</t>
  </si>
  <si>
    <t>030</t>
  </si>
  <si>
    <t>NF 258</t>
  </si>
  <si>
    <t>| Sicredi Maracaju</t>
  </si>
  <si>
    <t>| Sicredi Campo Grande</t>
  </si>
  <si>
    <t>Cooperativa Sicredi (0902)</t>
  </si>
  <si>
    <t>Cooperativa Sicredi (0913)</t>
  </si>
  <si>
    <r>
      <t xml:space="preserve">Saldo Inicial </t>
    </r>
    <r>
      <rPr>
        <b/>
        <sz val="10"/>
        <color rgb="FF00B050"/>
        <rFont val="Arial"/>
        <family val="2"/>
        <scheme val="minor"/>
      </rPr>
      <t>SICREDI (0902):</t>
    </r>
  </si>
  <si>
    <r>
      <t xml:space="preserve">Saldo Inicial </t>
    </r>
    <r>
      <rPr>
        <b/>
        <sz val="10"/>
        <color rgb="FF00B050"/>
        <rFont val="Arial"/>
        <family val="2"/>
        <scheme val="minor"/>
      </rPr>
      <t>SICREDI (0913):</t>
    </r>
  </si>
  <si>
    <r>
      <t xml:space="preserve">Saldo Final </t>
    </r>
    <r>
      <rPr>
        <b/>
        <sz val="10"/>
        <color rgb="FF00B050"/>
        <rFont val="Arial"/>
        <family val="2"/>
        <scheme val="minor"/>
      </rPr>
      <t>SICREDI (0902):</t>
    </r>
  </si>
  <si>
    <r>
      <t xml:space="preserve">Saldo Final </t>
    </r>
    <r>
      <rPr>
        <b/>
        <sz val="10"/>
        <color rgb="FF00B050"/>
        <rFont val="Arial"/>
        <family val="2"/>
        <scheme val="minor"/>
      </rPr>
      <t>SICREDI (0913):</t>
    </r>
  </si>
  <si>
    <t>Banco Cora (0001)</t>
  </si>
  <si>
    <t>Banco Inter (0001-9)</t>
  </si>
  <si>
    <r>
      <t xml:space="preserve">Saldo Inicial </t>
    </r>
    <r>
      <rPr>
        <b/>
        <sz val="10"/>
        <color rgb="FFFF0066"/>
        <rFont val="Arial"/>
        <family val="2"/>
        <scheme val="minor"/>
      </rPr>
      <t>CORA (0001):</t>
    </r>
  </si>
  <si>
    <r>
      <t xml:space="preserve">Saldo Final </t>
    </r>
    <r>
      <rPr>
        <b/>
        <sz val="10"/>
        <color rgb="FFFF0066"/>
        <rFont val="Arial"/>
        <family val="2"/>
        <scheme val="minor"/>
      </rPr>
      <t>CORA (0001):</t>
    </r>
  </si>
  <si>
    <t>C/C 0902 MJU</t>
  </si>
  <si>
    <t>C/C 0913 CGR</t>
  </si>
  <si>
    <t>Outros Entradas</t>
  </si>
  <si>
    <t>FLUXO DE CAIXA 2026</t>
  </si>
  <si>
    <t>SALDOS 2026</t>
  </si>
  <si>
    <t>PROVISIONAMENTO 2027</t>
  </si>
  <si>
    <t>Saldo Final de Janeiro | 2027</t>
  </si>
  <si>
    <t>Movimentações de Despesas | 2027</t>
  </si>
  <si>
    <t>Movimentações de Vendas | 2027</t>
  </si>
  <si>
    <t>Saldo Final em Conta | 2027</t>
  </si>
  <si>
    <t>Jan/2026</t>
  </si>
  <si>
    <t>Resgate da Conta Investimento Invest - Pgto das Tarifas Bancárias</t>
  </si>
  <si>
    <t>Saldo Inical do Resultado do Exercício de 2025</t>
  </si>
  <si>
    <t>NF 358475</t>
  </si>
  <si>
    <t>Refrigeração Amaral</t>
  </si>
  <si>
    <t>Construção da Sede - Materiais para instalação dos Ares Condicionados</t>
  </si>
  <si>
    <t>NF 93740</t>
  </si>
  <si>
    <t>NF 5197</t>
  </si>
  <si>
    <t>2.2.1 – Salários e Pró-Labore</t>
  </si>
  <si>
    <t>Pá Coração + Cadeados + Regador de Jardim</t>
  </si>
  <si>
    <t>NF 175894</t>
  </si>
  <si>
    <t>Recibo 020/2026</t>
  </si>
  <si>
    <t>Ração para Dog</t>
  </si>
  <si>
    <t>Construção da Sede_Obra_Contrato - Execução | MED 05</t>
  </si>
  <si>
    <t>MEDIÇÃO 05</t>
  </si>
  <si>
    <t>2.2.2 – Encargos Sociais (INSS, FGTS)</t>
  </si>
  <si>
    <t>2/6</t>
  </si>
  <si>
    <t>01 Kit Cesta Básica Economia (1 pessoa)</t>
  </si>
  <si>
    <t>01 Kit Cesta Básica Solidária (Casal)</t>
  </si>
  <si>
    <t>Conselho Regional de Medicina Veterinária MS</t>
  </si>
  <si>
    <t>Anuidade de 2026 do CRMV-MS</t>
  </si>
  <si>
    <t>CSLL 4º Trimestre/2025</t>
  </si>
  <si>
    <t>IRPJ-LP 4º Trimestre/2025</t>
  </si>
  <si>
    <t>Venda Soja Safra 24/25</t>
  </si>
  <si>
    <t>NF 8066969</t>
  </si>
  <si>
    <t>Anuidade de 2025 do CRMV-MS</t>
  </si>
  <si>
    <t>Fev/2026</t>
  </si>
  <si>
    <t>Recibo 021/2026</t>
  </si>
  <si>
    <t>Transf. entre contas (Inter) - Taxa de Alvará 2026 Aramburu Part.</t>
  </si>
  <si>
    <t>MEDIÇÃO 06</t>
  </si>
  <si>
    <t>3/6</t>
  </si>
  <si>
    <t>Taxa de Alvará 2026 - Agropecuária Aramburu Ltda</t>
  </si>
  <si>
    <t>Mar/2026</t>
  </si>
  <si>
    <t>Recibo 022/2026</t>
  </si>
  <si>
    <t>4/6</t>
  </si>
  <si>
    <t>NF 8066874</t>
  </si>
  <si>
    <t>NF 8066943</t>
  </si>
  <si>
    <t>Abr/2026</t>
  </si>
  <si>
    <t>Reserva p/ Conta XP (Emergência - Saldo de 2025)</t>
  </si>
  <si>
    <t>Recibo 023/2026</t>
  </si>
  <si>
    <t>5/6</t>
  </si>
  <si>
    <t>CSLL 1º Trimestre/2026</t>
  </si>
  <si>
    <t>IRPJ-LP 1º Trimestre/2026</t>
  </si>
  <si>
    <t>Mai/2026</t>
  </si>
  <si>
    <t>Recibo 024/2026</t>
  </si>
  <si>
    <t>6/6</t>
  </si>
  <si>
    <t>Imposto Anual Distribuição de Lucro</t>
  </si>
  <si>
    <t>Jun/2026</t>
  </si>
  <si>
    <t>Recibo 025/2026</t>
  </si>
  <si>
    <t>Jul/2026</t>
  </si>
  <si>
    <t>CCIR 2026</t>
  </si>
  <si>
    <t>Recibo 026/2026</t>
  </si>
  <si>
    <t>CSLL 2º Trimestre/2026</t>
  </si>
  <si>
    <t>IRPJ-LP 2º Trimestre/2026</t>
  </si>
  <si>
    <t>NF 8082622</t>
  </si>
  <si>
    <t>Ago/2026</t>
  </si>
  <si>
    <t>Detran MS</t>
  </si>
  <si>
    <t>Licenciamento L200 2026</t>
  </si>
  <si>
    <t>Recibo 027/2026</t>
  </si>
  <si>
    <t>Set/2026</t>
  </si>
  <si>
    <t>Recibo 028/2026</t>
  </si>
  <si>
    <t>ITR 2026 Fazenda Aramburu</t>
  </si>
  <si>
    <t>Out/2026</t>
  </si>
  <si>
    <t>Recibo 029/2026</t>
  </si>
  <si>
    <t>Prestador de Serviço (particular)</t>
  </si>
  <si>
    <t>Requerimento INCRA (ratificação das terras)</t>
  </si>
  <si>
    <t>CSLL 3º Trimestre/2026</t>
  </si>
  <si>
    <t>IRPJ-LP 3º Trimestre/2026</t>
  </si>
  <si>
    <t>Nov/2026</t>
  </si>
  <si>
    <t>Out2026</t>
  </si>
  <si>
    <t>Recibo 030/2026</t>
  </si>
  <si>
    <t>Folha de Pgto_1ª Parc. 13/2026 - Administrativo</t>
  </si>
  <si>
    <t>13/2026</t>
  </si>
  <si>
    <t>Dez/2026</t>
  </si>
  <si>
    <t>Recibo 031/2026</t>
  </si>
  <si>
    <t>Folha de Pgto_2ª Parc. 13/2026 - Administrativo</t>
  </si>
  <si>
    <t>INSS 13/2026</t>
  </si>
  <si>
    <t>Manutenção Forest</t>
  </si>
  <si>
    <t>FGTS 13/2025 - Célia Regina de Amorim Apontes</t>
  </si>
  <si>
    <t>Serviços Advocatícios Ação Civil Pública nº 0900021-98.2020.8.12.0014</t>
  </si>
  <si>
    <t>IRPF 2026</t>
  </si>
  <si>
    <t>Férias - Amadeu Fava Junior</t>
  </si>
  <si>
    <t>Férias - Cristiane da Silva Freire</t>
  </si>
  <si>
    <t>Licenciamento 2026 (Placas SLZ-8B58) da Triton Sport</t>
  </si>
  <si>
    <t>Férias (venda por fora) - Amadeu Fava Junior</t>
  </si>
  <si>
    <t>Férias (venda por fora) - Cristiane da Silva Freire</t>
  </si>
  <si>
    <t>Licenciamento 2026 (Placas NRY-0578) da L200</t>
  </si>
  <si>
    <t>ITR 2026 - Estância Ivone</t>
  </si>
  <si>
    <t>Anuidade do Sindicato Rural de Maracaju de 2026</t>
  </si>
  <si>
    <t>Férias - Peres Siqueira</t>
  </si>
  <si>
    <t>Férias (venda por fora) - Peres Siqueira</t>
  </si>
  <si>
    <t>Folha de Pgto_1ª Parc. 13/2026 - Amadeu Fava Junior</t>
  </si>
  <si>
    <t>Folha de Pgto_1ª Parc. 13/2026 - Cristiane da Silva Freire</t>
  </si>
  <si>
    <t>Folha de Pgto_1ª Parc. 13/2026 - Peres Siqueira</t>
  </si>
  <si>
    <t>Folha de Pgto_1ª Parc. 13/2026 - Célia Regina de Amorim Apontes</t>
  </si>
  <si>
    <t>Seguro de Veículo</t>
  </si>
  <si>
    <t>Folha de Pgto_2ª Parc. 13/2026 - Amadeu Fava Junior</t>
  </si>
  <si>
    <t>Folha de Pgto_2ª Parc. 13/2026 - Cristiane da Silva Freire</t>
  </si>
  <si>
    <t>Folha de Pgto_2ª Parc. 13/2026 - Peres Siqueira</t>
  </si>
  <si>
    <t>Folha de Pgto_2ª Parc. 13/2026 - Célia Regina de Amorim Apontes</t>
  </si>
  <si>
    <t>031</t>
  </si>
  <si>
    <t>NF 1331</t>
  </si>
  <si>
    <t>04 agendas (1 Sr. Cládio e 3 Colaboradores da Fazenda)</t>
  </si>
  <si>
    <t>NF 49859</t>
  </si>
  <si>
    <t>Jchagas Alimentos Ltda - Fogo Atacadista</t>
  </si>
  <si>
    <t>Construção da Sede - Produtos alimentícios refeição funcionários LTS</t>
  </si>
  <si>
    <t>NF 17592</t>
  </si>
  <si>
    <t>Saldo 2025</t>
  </si>
  <si>
    <t>NF 280640</t>
  </si>
  <si>
    <t>ORDEM DE COMPRA</t>
  </si>
  <si>
    <t>1.1.6</t>
  </si>
  <si>
    <t>1.1.7</t>
  </si>
  <si>
    <t>1.4.2</t>
  </si>
  <si>
    <t>1.4.4</t>
  </si>
  <si>
    <t>1.2.5</t>
  </si>
  <si>
    <t>IPTU (R. Appa 201)</t>
  </si>
  <si>
    <t>Transferência Entre Contas - Pgto das Tarifas Bancárias</t>
  </si>
  <si>
    <t>FGTS 12/2025 e 13º Folha de Pgto</t>
  </si>
  <si>
    <t>NF 262</t>
  </si>
  <si>
    <t>Provisionado (Medição 05)</t>
  </si>
  <si>
    <t>Provisionado (Medição 06)</t>
  </si>
  <si>
    <t>Provisionado (Retenção)</t>
  </si>
  <si>
    <t>022.3</t>
  </si>
  <si>
    <t>ND-020221</t>
  </si>
  <si>
    <t>003/4</t>
  </si>
  <si>
    <t>ND 3482</t>
  </si>
  <si>
    <t>Outros</t>
  </si>
  <si>
    <t>Ordem de Compra</t>
  </si>
  <si>
    <t>NF 358792</t>
  </si>
  <si>
    <t>13º/2025</t>
  </si>
  <si>
    <t>NF 281269</t>
  </si>
  <si>
    <t>Alencar Silva - Aristeu Basteriais Mju</t>
  </si>
  <si>
    <t>Bateria 90 ah Moura - Caminhonete L200</t>
  </si>
  <si>
    <t>NF 1513</t>
  </si>
  <si>
    <t>NF 1512</t>
  </si>
  <si>
    <t>NF 314917</t>
  </si>
  <si>
    <t>NF 17660</t>
  </si>
  <si>
    <t>Kijacto Policampo 5L + Solupan 5L + Óleo 2T Stihl 500ml</t>
  </si>
  <si>
    <t>NF 16436</t>
  </si>
  <si>
    <t>Soldamaq Comércio de Ferramentas Ltda - Mju</t>
  </si>
  <si>
    <t>NF 40518</t>
  </si>
  <si>
    <t>Apoio Refrigeração - Nei Gochs</t>
  </si>
  <si>
    <t>NF 281464</t>
  </si>
  <si>
    <t>Cimento + Tijolos | Manutenção nos Cochos do Chiqueiro</t>
  </si>
  <si>
    <t>NF 377</t>
  </si>
  <si>
    <t>Agro Amizade Com. De Produtos Veterinário Ltda</t>
  </si>
  <si>
    <t>NF 716</t>
  </si>
  <si>
    <t>60 kg de Ração para Dog</t>
  </si>
  <si>
    <t>Tavares e Soares C. G. A. Ltda - Farturão</t>
  </si>
  <si>
    <t>Reserva p/ Conta XP (Taxa armazenagem_Safrinha Milho 25/25)</t>
  </si>
  <si>
    <t>NF 1000991</t>
  </si>
  <si>
    <t>NF 40606</t>
  </si>
  <si>
    <t>Março</t>
  </si>
  <si>
    <t>Abril</t>
  </si>
  <si>
    <t>Projeto</t>
  </si>
  <si>
    <t>Medição 02</t>
  </si>
  <si>
    <t>Medição 01</t>
  </si>
  <si>
    <t>Medição 03</t>
  </si>
  <si>
    <t>Medição 04</t>
  </si>
  <si>
    <t>Medição 05</t>
  </si>
  <si>
    <t>SICREDI MJU</t>
  </si>
  <si>
    <t>SICREDI CGR</t>
  </si>
  <si>
    <t>Pago 2025</t>
  </si>
  <si>
    <t>Pago 2026</t>
  </si>
  <si>
    <t>Realizado</t>
  </si>
  <si>
    <t>IOF Basico CH PJ</t>
  </si>
  <si>
    <t>IOF Adicional PJ CH Especial</t>
  </si>
  <si>
    <t>IPTU (Forest House) parc. 1/12</t>
  </si>
  <si>
    <t>IPTU (Forest House) parc. 2/12</t>
  </si>
  <si>
    <t>IPTU (Forest House) parc. 3/12</t>
  </si>
  <si>
    <t>IPTU (Forest House) parc. 4/12</t>
  </si>
  <si>
    <t>IPTU (Forest House) parc. 5/12</t>
  </si>
  <si>
    <t>IPTU (Forest House) parc. 6/12</t>
  </si>
  <si>
    <t>IPTU (Forest House) parc. 7/12</t>
  </si>
  <si>
    <t>IPTU (Forest House) parc. 8/12</t>
  </si>
  <si>
    <t>IPTU (Forest House) parc. 9/12</t>
  </si>
  <si>
    <t>IPTU (Forest House) parc. 10/12</t>
  </si>
  <si>
    <t>IPTU (Forest House) parc. 11/12</t>
  </si>
  <si>
    <t>IPTU (Forest House) parc. 12/12</t>
  </si>
  <si>
    <t>IPTU (Atmosphera) parc. 1/6</t>
  </si>
  <si>
    <t>IPTU (Atmosphera) parc. 2/6</t>
  </si>
  <si>
    <t>IPTU (Atmosphera) parc. 3/6</t>
  </si>
  <si>
    <t>IPTU (Atmosphera) parc. 4/6</t>
  </si>
  <si>
    <t>IPTU (Atmosphera) parc. 5/6</t>
  </si>
  <si>
    <t>IPTU (Atmosphera) parc. 6/6</t>
  </si>
  <si>
    <t>IPTU (Casa Vila Inventário) parc. 1/12</t>
  </si>
  <si>
    <t>IPTU (Casa Vila Inventário) parc. 2/12</t>
  </si>
  <si>
    <t>IPTU (Casa Vila Inventário) parc. 3/12</t>
  </si>
  <si>
    <t>IPTU (Casa Vila Inventário) parc. 4/12</t>
  </si>
  <si>
    <t>IPTU (Casa Vila Inventário) parc. 5/12</t>
  </si>
  <si>
    <t>IPTU (Casa Vila Inventário) parc. 6/12</t>
  </si>
  <si>
    <t>IPTU (Casa Vila Inventário) parc. 7/12</t>
  </si>
  <si>
    <t>IPTU (Casa Vila Inventário) parc. 8/12</t>
  </si>
  <si>
    <t>IPTU (Casa Vila Inventário) parc. 9/12</t>
  </si>
  <si>
    <t>IPTU (Casa Vila Inventário) parc. 10/12</t>
  </si>
  <si>
    <t>IPTU (Casa Vila Inventário) parc. 11/12</t>
  </si>
  <si>
    <t>IPTU (Casa Vila Inventário) parc. 12/12</t>
  </si>
  <si>
    <t xml:space="preserve">Pgto Marquinhos (2 batidas de chaves de alta tensão) </t>
  </si>
  <si>
    <t>NF 32</t>
  </si>
  <si>
    <t>Enan Comércio de Gás Ltda - Copagaz Mju</t>
  </si>
  <si>
    <t>Construção da Sede - GLP Botijão 13 kg</t>
  </si>
  <si>
    <t>NF 2467</t>
  </si>
  <si>
    <t>Provisionados</t>
  </si>
  <si>
    <t>NF 211497</t>
  </si>
  <si>
    <t>NF 17850</t>
  </si>
  <si>
    <t>Ludicley Alves Chirata  ME - Pozinho Motores</t>
  </si>
  <si>
    <t>Peças para reparo de urgência  (Husqvarna TS 138L)</t>
  </si>
  <si>
    <t>NF 575</t>
  </si>
  <si>
    <t>Mão de Obra reparo de urgência (Husqvarna TS 138L)</t>
  </si>
  <si>
    <t>NF 1905</t>
  </si>
  <si>
    <t>Fernando Lucas Bressan - JF Oficina Automotiva</t>
  </si>
  <si>
    <t>Mão de Obra da Revisão L200 (Placa NRY0578)</t>
  </si>
  <si>
    <t>Peças da Revisão L200 (Placa NRY0578)</t>
  </si>
  <si>
    <t>RRX Com. De Carnes Eireli</t>
  </si>
  <si>
    <t>Juros Utiliz. CH Especial</t>
  </si>
  <si>
    <t>NF 17797</t>
  </si>
  <si>
    <t>Carrinho de Mão Baleia 110Lt + 3 litros Óleo 2T Stihl</t>
  </si>
  <si>
    <t>NF 16862</t>
  </si>
  <si>
    <t>Comagran Produtos Agro Ind. Ltda - Mju</t>
  </si>
  <si>
    <t>Prensa nos Adaptadores no Pulverizador Jacto 9600</t>
  </si>
  <si>
    <t>NF 97384</t>
  </si>
  <si>
    <t>Tom Mudas Ltda</t>
  </si>
  <si>
    <t>Construção da Sede - Mudas p/ paisagismo</t>
  </si>
  <si>
    <t>NF 2184</t>
  </si>
  <si>
    <t>1/4</t>
  </si>
  <si>
    <t>2/4</t>
  </si>
  <si>
    <t>3/4</t>
  </si>
  <si>
    <t>Ruralshop Campo Grande Ltda Epp</t>
  </si>
  <si>
    <t>Laço de gado 12mt + Mangueira p/ choque (tubo isolador) 50mt 3/8''</t>
  </si>
  <si>
    <t>NF 433</t>
  </si>
  <si>
    <t>NF 5841</t>
  </si>
  <si>
    <t>Rafael Crippa ME - Fênix Containers</t>
  </si>
  <si>
    <t>Construção da Sede_Obra_Contrato - Locação de Equipamento (Container)</t>
  </si>
  <si>
    <t>ND 3538</t>
  </si>
  <si>
    <t>WS Locações de Máquinas Ltda</t>
  </si>
  <si>
    <t>Construção da Sede_Obra_Contrato - Locação de Equipamentos (Andaimes)</t>
  </si>
  <si>
    <t>ND-020548</t>
  </si>
  <si>
    <t>022.4</t>
  </si>
  <si>
    <t>MED 004</t>
  </si>
  <si>
    <t>MED 005</t>
  </si>
  <si>
    <t>Aplicação Financeira - Extra Emergencial p/ Construção da Sede</t>
  </si>
  <si>
    <t>Transferência Entre Contas</t>
  </si>
  <si>
    <t>Gabriel e Cia Ltda - Conquista</t>
  </si>
  <si>
    <t>Construção da Sede - Materiais Elétricos</t>
  </si>
  <si>
    <t>NF 23626</t>
  </si>
  <si>
    <t>02 Pneus da Caminhonete L200 (265/75R16 Xbris Brutus)</t>
  </si>
  <si>
    <t>NF 13962</t>
  </si>
  <si>
    <t>NF 246143</t>
  </si>
  <si>
    <t>NF 246144</t>
  </si>
  <si>
    <t>R. B. Ramalho Serviços em Gesso Ltda</t>
  </si>
  <si>
    <t>NF 180</t>
  </si>
  <si>
    <t>Construção da Sede - Materiais_Molduras de gessoa (portas e janelas)</t>
  </si>
  <si>
    <t>Construção da Sede - Mão de Obra_Molduras de gessoa (portas e janelas)</t>
  </si>
  <si>
    <t>NF 69</t>
  </si>
  <si>
    <t>Restaurante Santa Brasa Ltda</t>
  </si>
  <si>
    <t>Construção da Sede - Refeições aos colaboradores da LTS (9 almoços + 8 jantares)</t>
  </si>
  <si>
    <t>Construção da Sede - Materiais_Molduras de gesso (portas e janelas)</t>
  </si>
  <si>
    <t>NF 283977</t>
  </si>
  <si>
    <t>NF 72</t>
  </si>
  <si>
    <t>Resgate da Conta Investimento Invest - Reserva p/ Construção da Sede</t>
  </si>
  <si>
    <t>NF 12873</t>
  </si>
  <si>
    <t>Marciane Teresinha Wochner  EPP - Produquímica</t>
  </si>
  <si>
    <t>Produtos de Limpeza</t>
  </si>
  <si>
    <t>NF 17981</t>
  </si>
  <si>
    <t>Kit Cesta final de ano do Administrativo - Alma Presentes</t>
  </si>
  <si>
    <t>NF 6477</t>
  </si>
  <si>
    <t>RECIBO</t>
  </si>
  <si>
    <t>NF 373</t>
  </si>
  <si>
    <t>CTJ Presentes Ltda - Alma Presentes</t>
  </si>
  <si>
    <t>NF 456</t>
  </si>
  <si>
    <t>Paulo Roberto Fernandes &amp; Cia Ltda - ShopTudo</t>
  </si>
  <si>
    <t>Construção da Sede - Instalações dos Ar Condicionados</t>
  </si>
  <si>
    <t>Transf. Entre Contas_Resgate  Investimento XP - Extra Emergencial p/ Construção da Sede</t>
  </si>
  <si>
    <t>NF 246807</t>
  </si>
  <si>
    <t>20lt Roundup Original + 20lt Óleo 68 Dunax + 01 Lima com cabo</t>
  </si>
  <si>
    <t>02 Enxadas grandes (tramontina)</t>
  </si>
  <si>
    <t>NF 180169</t>
  </si>
  <si>
    <t>IPTU (Florianópolis)</t>
  </si>
  <si>
    <t>Nubank 0001 C/C 6254033-3</t>
  </si>
  <si>
    <r>
      <t xml:space="preserve">Foram realizadas três operações de resgate na conta da XP e uma operação de empréstimo do Sr. Cláudio Fragelli, consideradas como </t>
    </r>
    <r>
      <rPr>
        <b/>
        <sz val="8"/>
        <color rgb="FF000000"/>
        <rFont val="Arial"/>
        <family val="2"/>
        <scheme val="minor"/>
      </rPr>
      <t>investimentos extras</t>
    </r>
    <r>
      <rPr>
        <sz val="8"/>
        <color rgb="FF000000"/>
        <rFont val="Arial"/>
        <family val="2"/>
        <scheme val="minor"/>
      </rPr>
      <t xml:space="preserve">, no valor </t>
    </r>
    <r>
      <rPr>
        <b/>
        <sz val="8"/>
        <color rgb="FF000000"/>
        <rFont val="Arial"/>
        <family val="2"/>
        <scheme val="minor"/>
      </rPr>
      <t>total de 600 mil</t>
    </r>
    <r>
      <rPr>
        <sz val="8"/>
        <color rgb="FF000000"/>
        <rFont val="Arial"/>
        <family val="2"/>
        <scheme val="minor"/>
      </rPr>
      <t xml:space="preserve">, ocorridas respectivamente nos dias 09 e 17 de dezembro de 2025 e 09 e 19 de janeiro de 2026. Do total, </t>
    </r>
    <r>
      <rPr>
        <b/>
        <sz val="8"/>
        <color rgb="FF000000"/>
        <rFont val="Arial"/>
        <family val="2"/>
        <scheme val="minor"/>
      </rPr>
      <t xml:space="preserve">180 mil </t>
    </r>
    <r>
      <rPr>
        <sz val="8"/>
        <color rgb="FF000000"/>
        <rFont val="Arial"/>
        <family val="2"/>
        <scheme val="minor"/>
      </rPr>
      <t>foram destinados à</t>
    </r>
    <r>
      <rPr>
        <b/>
        <sz val="8"/>
        <color rgb="FF000000"/>
        <rFont val="Arial"/>
        <family val="2"/>
        <scheme val="minor"/>
      </rPr>
      <t xml:space="preserve"> Sicredi MJU</t>
    </r>
    <r>
      <rPr>
        <sz val="8"/>
        <color rgb="FF000000"/>
        <rFont val="Arial"/>
        <family val="2"/>
        <scheme val="minor"/>
      </rPr>
      <t xml:space="preserve"> e </t>
    </r>
    <r>
      <rPr>
        <b/>
        <sz val="8"/>
        <color rgb="FF000000"/>
        <rFont val="Arial"/>
        <family val="2"/>
        <scheme val="minor"/>
      </rPr>
      <t>419 mil</t>
    </r>
    <r>
      <rPr>
        <sz val="8"/>
        <color rgb="FF000000"/>
        <rFont val="Arial"/>
        <family val="2"/>
        <scheme val="minor"/>
      </rPr>
      <t xml:space="preserve"> à </t>
    </r>
    <r>
      <rPr>
        <b/>
        <sz val="8"/>
        <color rgb="FF000000"/>
        <rFont val="Arial"/>
        <family val="2"/>
        <scheme val="minor"/>
      </rPr>
      <t>Sicredi CGR</t>
    </r>
    <r>
      <rPr>
        <sz val="8"/>
        <color rgb="FF000000"/>
        <rFont val="Arial"/>
        <family val="2"/>
        <scheme val="minor"/>
      </rPr>
      <t>.</t>
    </r>
  </si>
  <si>
    <t>MPS Distr. Mercantil - Apoio Refrigeração</t>
  </si>
  <si>
    <t>Construção da Sede - Ar Condicionado (1 de 12 BTU e 2 de 24 BTU)</t>
  </si>
  <si>
    <t>NF 315598</t>
  </si>
  <si>
    <t>NF 623838</t>
  </si>
  <si>
    <t>02 diárias Doralina Ferreira do Vale</t>
  </si>
  <si>
    <t>NF 17875</t>
  </si>
  <si>
    <t>NF 41572</t>
  </si>
  <si>
    <t>NF 41573</t>
  </si>
  <si>
    <t>Concentro Marcas Ltda - Multicasa</t>
  </si>
  <si>
    <t>05 Lâmpadas de Led (Bulbo e Alta)</t>
  </si>
  <si>
    <t>NF 96277</t>
  </si>
  <si>
    <t>NF 996</t>
  </si>
  <si>
    <t>Mão de Obra da troca, alinhamento e balanceamento de 02 pneus da L200 (Placa NRY0578)</t>
  </si>
  <si>
    <t>NF 768</t>
  </si>
  <si>
    <t>Portal Coronel Pneus e Acessórios Ltda - Zizo Pneus</t>
  </si>
  <si>
    <t>F L Bressan Ltda - J. F. Manutenção</t>
  </si>
  <si>
    <t>Cartão de Débito</t>
  </si>
  <si>
    <t>Cartão de Crédito</t>
  </si>
  <si>
    <t>Silvana Silva Lima - Dr. Note Informática</t>
  </si>
  <si>
    <t>NF 28116</t>
  </si>
  <si>
    <t>NF 2572</t>
  </si>
  <si>
    <t>NF 2573</t>
  </si>
  <si>
    <t>Prebase Artefato de Concreto</t>
  </si>
  <si>
    <t>Construção da Sede - Elemento vazado (cobogó flor natural 39x39x7)</t>
  </si>
  <si>
    <t>7/8 e 8/8</t>
  </si>
  <si>
    <t>Rescisão - Célia Regina de Amorim Apontes</t>
  </si>
  <si>
    <t>FGTS Rescisório - Célia Regina de Amorim Apontes</t>
  </si>
  <si>
    <t>202/02</t>
  </si>
  <si>
    <t>NF 6308</t>
  </si>
  <si>
    <t>ND-020780</t>
  </si>
  <si>
    <t>022.5</t>
  </si>
  <si>
    <t>Mangueira de Jardim 50 mt + Adaptadores + Abraçadeiras</t>
  </si>
  <si>
    <t>Construção da Sede_Obra_Contrato - Impermeabilização de Laje com manta asfaltica</t>
  </si>
  <si>
    <t>Mazzucatto Mix Ltda</t>
  </si>
  <si>
    <t>032</t>
  </si>
  <si>
    <t>033</t>
  </si>
  <si>
    <t>BRX</t>
  </si>
  <si>
    <t>0.3</t>
  </si>
  <si>
    <t>ENTRADA 50% + 1X BOLETO</t>
  </si>
  <si>
    <t>MAZZUCATO</t>
  </si>
  <si>
    <t>PIX 10 DIAS APÓS FINALIZAÇÃO</t>
  </si>
  <si>
    <t>NF 362342</t>
  </si>
  <si>
    <t>NF 285910</t>
  </si>
  <si>
    <t>NF 33</t>
  </si>
  <si>
    <t>NF 545</t>
  </si>
  <si>
    <t>T. de O. Felix  - BRX Impermeabilizações</t>
  </si>
  <si>
    <t>NF 508</t>
  </si>
  <si>
    <t>003/5</t>
  </si>
  <si>
    <t>ND 3597</t>
  </si>
  <si>
    <r>
      <t xml:space="preserve">Diferença entre saldo atual da conta investimento x contas a pagar e provisionadas </t>
    </r>
    <r>
      <rPr>
        <b/>
        <sz val="8"/>
        <color rgb="FF000000"/>
        <rFont val="Arial"/>
        <family val="2"/>
        <scheme val="minor"/>
      </rPr>
      <t>(se negativo, é necessário investimento extra IMEDIATO)</t>
    </r>
  </si>
  <si>
    <t>LTS (Ordem de Compra)</t>
  </si>
  <si>
    <t>LTS (Medição)</t>
  </si>
  <si>
    <t>034</t>
  </si>
  <si>
    <t>NF 228417</t>
  </si>
  <si>
    <t>NF 18608</t>
  </si>
  <si>
    <t>NF 23766</t>
  </si>
  <si>
    <t>NF 23767</t>
  </si>
  <si>
    <t>NF 286900</t>
  </si>
  <si>
    <t>Vanderlei Correa Saraiva - Fininho</t>
  </si>
  <si>
    <t>Construção da Sede - Execução muro da lavanderia e da base do balcão da área gourmet</t>
  </si>
  <si>
    <t>CONTRATO</t>
  </si>
  <si>
    <t>F. Carlos da Silva - Madeireira Maracaju</t>
  </si>
  <si>
    <t>Ilmar Barros Dias - Mazão</t>
  </si>
  <si>
    <t>Construção da Sede - Forro Cumaru e Ripas (Forro da área gourmet + sala de jantar)</t>
  </si>
  <si>
    <t>NF 17505</t>
  </si>
  <si>
    <t>CM Marmoraria Ltda - Casa do Mármore</t>
  </si>
  <si>
    <t>NF 4746</t>
  </si>
  <si>
    <t>NF 34</t>
  </si>
  <si>
    <t>NF 1</t>
  </si>
  <si>
    <t>Construção da Sede - Instalação do Forro da área gourmet + sala de jantar</t>
  </si>
  <si>
    <t>K Informática</t>
  </si>
  <si>
    <t>Cloud Gateway Ultra 1GBPS</t>
  </si>
  <si>
    <t>NF 871</t>
  </si>
  <si>
    <t>NF 2</t>
  </si>
  <si>
    <t>Construção da Sede - Instalação das Vigas</t>
  </si>
  <si>
    <t>NF 18040</t>
  </si>
  <si>
    <t>NF 17975</t>
  </si>
  <si>
    <t>NF 18116</t>
  </si>
  <si>
    <t>Materiais hidráulicos + Rastelo Tramontina 120cm</t>
  </si>
  <si>
    <t>NF 18122</t>
  </si>
  <si>
    <t>Casa da Cerca Elétrica MS Ltda</t>
  </si>
  <si>
    <t>Eletrificador de cerca - Zebu (5,8J Modelo K120)</t>
  </si>
  <si>
    <t>NF 4566</t>
  </si>
  <si>
    <t>IPTU (Rua Appa)</t>
  </si>
  <si>
    <t>Biolaqua Ambiental Ltda</t>
  </si>
  <si>
    <t>NF 20315</t>
  </si>
  <si>
    <t>NF 154</t>
  </si>
  <si>
    <t>Serviço de análise de água subterrânea (poço)</t>
  </si>
  <si>
    <t>Girolux Materiais Elétricos</t>
  </si>
  <si>
    <t>Rescisão - Peres Siqueira</t>
  </si>
  <si>
    <t>NF 21163</t>
  </si>
  <si>
    <t>NF 316396</t>
  </si>
  <si>
    <t>NF 184419</t>
  </si>
  <si>
    <t>EPI - Diversos (Colaborador Gabriel Costa)</t>
  </si>
  <si>
    <t>Sementes de Pastagens Sertão Ltda</t>
  </si>
  <si>
    <t>80kg de Semente Urochloa Brizantha cv Marandu</t>
  </si>
  <si>
    <t>NF 18809</t>
  </si>
  <si>
    <t>NF 42468</t>
  </si>
  <si>
    <t>NF 79</t>
  </si>
  <si>
    <t>01 bateria original do notebook Dell Inspiron 5448 + instalação + troca do conector USB</t>
  </si>
  <si>
    <t>Carlos  Henrique da Silva Purcino</t>
  </si>
  <si>
    <t>Frete - mudança do colaborador Peres Siqueira (rescisão) + Gabriel Costa (admissão)</t>
  </si>
  <si>
    <t>Construção da Sede - 5kg Nutrigel + 125kg Gesso + 75kg Calcário Óxido de Cálcio</t>
  </si>
  <si>
    <t>Construção da Sede - Construção da Sede - Remoção de resíduos da obra - 02 cargas</t>
  </si>
  <si>
    <t>Pintura</t>
  </si>
  <si>
    <t xml:space="preserve">    ↳ Material</t>
  </si>
  <si>
    <t xml:space="preserve">    ↳ Mão de Obra</t>
  </si>
  <si>
    <t xml:space="preserve">    ↳ Filetes</t>
  </si>
  <si>
    <t xml:space="preserve">    ↳ Pingadeiras (janelas)</t>
  </si>
  <si>
    <t xml:space="preserve">    ↳ Soleiras (portas)</t>
  </si>
  <si>
    <t xml:space="preserve">    ↳ Bancadas (banheiro, cozinha e área gourmet)</t>
  </si>
  <si>
    <t xml:space="preserve">    ↳ Rodapés de armários e bancadas</t>
  </si>
  <si>
    <t xml:space="preserve">    ↳ Lareira</t>
  </si>
  <si>
    <t xml:space="preserve">    ↳ Churrasqueira</t>
  </si>
  <si>
    <t>Granito</t>
  </si>
  <si>
    <t>Piso</t>
  </si>
  <si>
    <t xml:space="preserve">    ↳ Mão de Obra (Sr. Odílio)</t>
  </si>
  <si>
    <t xml:space="preserve">        ↳ Fiação de ligação da casa (quadro de luz) ao padrão</t>
  </si>
  <si>
    <t>Revestimento</t>
  </si>
  <si>
    <t>PENDÊNCIAS DA OBRA | SEDE</t>
  </si>
  <si>
    <t>Elétrica</t>
  </si>
  <si>
    <t xml:space="preserve">    ↳ Iluminação</t>
  </si>
  <si>
    <t xml:space="preserve">        ↳ Luminárias, interruptores e tomadas</t>
  </si>
  <si>
    <t xml:space="preserve">    ↳ Infraestrutura elétrica</t>
  </si>
  <si>
    <t>Rural Network</t>
  </si>
  <si>
    <t>Rural Business</t>
  </si>
  <si>
    <t>NF 27980</t>
  </si>
  <si>
    <t>NF 28303</t>
  </si>
  <si>
    <t>Ribeiro de Mendonça Baston e Cia Ltda</t>
  </si>
  <si>
    <t>Abastecimento Posto Tereré</t>
  </si>
  <si>
    <t>NF 51148</t>
  </si>
  <si>
    <t>Carregador (Cabo + Fonte)</t>
  </si>
  <si>
    <t>GR Acessórios</t>
  </si>
  <si>
    <t>NF 2677</t>
  </si>
  <si>
    <t>NF 2678</t>
  </si>
  <si>
    <t>Marcio Gnoatto</t>
  </si>
  <si>
    <t>Instalação do ar condicionado - residência de funcionário (Gabriel Costa)</t>
  </si>
  <si>
    <t>NF 214</t>
  </si>
  <si>
    <t>NF 807</t>
  </si>
  <si>
    <t>Construção da Sede - Muro lavanderia</t>
  </si>
  <si>
    <t>NF 287493</t>
  </si>
  <si>
    <t>Folha de Pgto - Gabriel Costa</t>
  </si>
  <si>
    <t>Folha de Pgto_1ª Parc. 13/2026 - Gabriel Costa</t>
  </si>
  <si>
    <t>Folha de Pgto_2ª Parc. 13/2026 - Gabriel Costa</t>
  </si>
  <si>
    <t>Pluxee Multibenefícios - Gabriel Costa</t>
  </si>
  <si>
    <t>Férias - Gabriel Costa</t>
  </si>
  <si>
    <t>Férias (venda por fora) - Gabriel Costa</t>
  </si>
  <si>
    <t>NF 21412</t>
  </si>
  <si>
    <t>Pgto de Diária (2 dias) - Gabriel Costa</t>
  </si>
  <si>
    <t>NF 25</t>
  </si>
  <si>
    <t>Borracharia Polaco Ltda</t>
  </si>
  <si>
    <t>01 câmara e montagem do pneu dianteiro (Massey Fergunson 290)</t>
  </si>
  <si>
    <t>NF 6597</t>
  </si>
  <si>
    <t>ND-021072</t>
  </si>
  <si>
    <t>ND 3648</t>
  </si>
  <si>
    <t>Madepar Acessórios Para Móveis Ltda</t>
  </si>
  <si>
    <t>Construção da Sede - Materiais_Ganchos de rede</t>
  </si>
  <si>
    <t>NF 160943</t>
  </si>
  <si>
    <t>Pracasa Utilidades e Aceessórios Ltda</t>
  </si>
  <si>
    <t>Construção da Sede - Materiais_Ganchos para pendurar os lustres</t>
  </si>
  <si>
    <t>NF 2395</t>
  </si>
  <si>
    <t>FGTS - Zilmar Umbelino de Oliveira</t>
  </si>
  <si>
    <t>Folha de Pgto - Zilmar Umbelino de Oliveira</t>
  </si>
  <si>
    <t>Folha de Pgto_1ª Parc. 13/2026 - Zilmar Umbelino de Oliveira</t>
  </si>
  <si>
    <t>Folha de Pgto_2ª Parc. 13/2026 - Zilmar Umbelino de Oliveira</t>
  </si>
  <si>
    <t>Exames Clínica SAAMET - Zilmar (Admissão)</t>
  </si>
  <si>
    <t>Pgto de Diária (X dias) - Zilmar Umbelino de Oliveira</t>
  </si>
  <si>
    <t>NF 2695</t>
  </si>
  <si>
    <t>NF 296923</t>
  </si>
  <si>
    <t>022.6</t>
  </si>
  <si>
    <t>035</t>
  </si>
  <si>
    <t>Conserto do Eletrificador de cerca - Zebu (5,8J Modelo K120)</t>
  </si>
  <si>
    <t>NF 877</t>
  </si>
  <si>
    <t>NF 245191</t>
  </si>
  <si>
    <t>NF 19288</t>
  </si>
  <si>
    <t>Bomba p/ Graxa 7kg Manual Yamaguti 5mt mangueira + 20lt graxa + catracas +  1,5lt Óleo 2T Stihl + tela mosquito</t>
  </si>
  <si>
    <t>NF 18472</t>
  </si>
  <si>
    <t>NF 18198</t>
  </si>
  <si>
    <t>NF 216</t>
  </si>
  <si>
    <t>Resgate da Conta Investimento Invest</t>
  </si>
  <si>
    <t>Resgate RDC Distribuição de Resultados</t>
  </si>
  <si>
    <t>Resgate da Conta Investimento Invest Evolutivo</t>
  </si>
  <si>
    <t>Transferência Entre Contas - Encerramento de conta (Sicredi Ag. 0902)</t>
  </si>
  <si>
    <t>Aplicação Financeira - Saldos - Encerramento de conta (Sicredi Ag. 0902)</t>
  </si>
  <si>
    <t>Bradesco 3489 C/C 2890-8</t>
  </si>
  <si>
    <t>Pgto Marquinhos (Emenda de cabo de alta tensão)</t>
  </si>
  <si>
    <t>Auxílio Combustível - Zilmar Umbelino de Oliveira</t>
  </si>
  <si>
    <t>Construção da Sede - Mão de Obra_Molduras de gesso (portas e janelas)</t>
  </si>
  <si>
    <t>01 Ar Condicionado Sprinter 12 mil BTUs + Instalação na residência de funcionário (Amadeu)</t>
  </si>
  <si>
    <t>NF 2895</t>
  </si>
  <si>
    <t>A R Tauffer - Madeireira Guarantã</t>
  </si>
  <si>
    <t>Pgto Marquinhos (Troca de disjuntor, transformador, conectores e manutenção de baixa tensão)</t>
  </si>
  <si>
    <t>NF 186519</t>
  </si>
  <si>
    <t>Eixo frontal LT131/LT151/TS138 (Husqvarna TS 138L)</t>
  </si>
  <si>
    <t>Assinatura Anual do MD Commodities (reembolso cobrança indevida)</t>
  </si>
  <si>
    <t>Assinatura Anual do MD Commodities (cobrança indevida)</t>
  </si>
  <si>
    <t>NF 3323435</t>
  </si>
  <si>
    <t>NF 4350945</t>
  </si>
  <si>
    <t>Abastecimentos TRR Copasul (2.000 litros de S10)</t>
  </si>
  <si>
    <t>NF 51420</t>
  </si>
  <si>
    <t>NF 43246</t>
  </si>
  <si>
    <t>NF 43230</t>
  </si>
  <si>
    <t>Lineagro Produtos Agropecuários S.A.</t>
  </si>
  <si>
    <t>Tenente 20 2kg</t>
  </si>
  <si>
    <t>NF 83000</t>
  </si>
  <si>
    <t>NF 291810</t>
  </si>
  <si>
    <t>Construção da Sede - Limpeza do rejunte do piso</t>
  </si>
  <si>
    <t>NF 387</t>
  </si>
  <si>
    <t>1/8</t>
  </si>
  <si>
    <t>2/8</t>
  </si>
  <si>
    <t>3/8</t>
  </si>
  <si>
    <t>4/8</t>
  </si>
  <si>
    <t>5/8</t>
  </si>
  <si>
    <t>6/8</t>
  </si>
  <si>
    <t>7/8</t>
  </si>
  <si>
    <t>8/8</t>
  </si>
  <si>
    <t>EMPRESA</t>
  </si>
  <si>
    <t>VALOR</t>
  </si>
  <si>
    <t>Marmoaria Fênix</t>
  </si>
  <si>
    <t>Parcelado em 8x no cartão de crédito</t>
  </si>
  <si>
    <t>OBSERVAÇÃO</t>
  </si>
  <si>
    <t>Odílio Duarte Fretes</t>
  </si>
  <si>
    <t>Renato | RP Pinturas</t>
  </si>
  <si>
    <t>6.000 quinzenal (2-3 homens)</t>
  </si>
  <si>
    <t>NF 9893</t>
  </si>
  <si>
    <t>NF 24670</t>
  </si>
  <si>
    <t>NF 14</t>
  </si>
  <si>
    <t>Total Tintas</t>
  </si>
  <si>
    <t>Entrada + 30/60d</t>
  </si>
  <si>
    <t>Maracaju</t>
  </si>
  <si>
    <t>Total Tintas Comércio de Tintas e Materiais</t>
  </si>
  <si>
    <t>Construção da Sede - Material de Pintura</t>
  </si>
  <si>
    <t>Custos Cartório Habit-se Casa Barão</t>
  </si>
  <si>
    <t>Exames Clínica CMT - Peres (Demissional) e Gabriel (Admissional)</t>
  </si>
  <si>
    <t>Todimo Construção e Acabamento</t>
  </si>
  <si>
    <t>Construção da Sede - Materiais hidráulicos</t>
  </si>
  <si>
    <t>1/6</t>
  </si>
  <si>
    <t>Referência</t>
  </si>
  <si>
    <t>Valor de notas emitidas</t>
  </si>
  <si>
    <t>Valor de notas a emitir</t>
  </si>
  <si>
    <t xml:space="preserve">NF 201122 </t>
  </si>
  <si>
    <t>Orçamento 003M6G</t>
  </si>
  <si>
    <t>O valor total foi parcelado em 6 vezes, por meio do cartão de crédito do Sicredi (agência 0913).</t>
  </si>
  <si>
    <t>Gold Tambores - Afael</t>
  </si>
  <si>
    <t>Fio Nylon, Sifões, Silicone Preto + Aplicador, Abraçadeiras e Mangueira de Sucção</t>
  </si>
  <si>
    <t>NF 18935</t>
  </si>
  <si>
    <t>NF 619</t>
  </si>
  <si>
    <t>45 kg de Ração para Dog</t>
  </si>
  <si>
    <t>45 kg de Ração para Dog, 2 Coleiras, 2 Guias e  6 Shampoo Matt 6x1</t>
  </si>
  <si>
    <t>NF 62</t>
  </si>
  <si>
    <t>Agromang Conexões e Mangueiras Ltda</t>
  </si>
  <si>
    <t>01 filtro lubrificante de tanque de combustível (Man Filter Código H12111)</t>
  </si>
  <si>
    <t>Chama Azul Com. Utilidades Domésticas</t>
  </si>
  <si>
    <t>Construção da Sede - Tubulações e conexões para gás</t>
  </si>
  <si>
    <t>NF 23959</t>
  </si>
  <si>
    <t>R$ 1.900,10 de INSS Patronal</t>
  </si>
  <si>
    <t>R$ 9.000,00 de INSS Patronal</t>
  </si>
  <si>
    <t>Construção da Sede -  Mão de obra da pintura</t>
  </si>
  <si>
    <t>Construção da Sede - Acabamento e assentamento de pisos | INSS Patronal</t>
  </si>
  <si>
    <t>Construção da Sede -  Mão de obra da pintura | INSS Patronal</t>
  </si>
  <si>
    <t>NF 18441</t>
  </si>
  <si>
    <t>CONDIÇÃO DE PGTO</t>
  </si>
  <si>
    <t>Aplicação Financeira - Capital Social - Encerramento de conta (Sicredi Ag. 0902)</t>
  </si>
  <si>
    <t>Capital Social - Encerramento de conta (Sicredi Ag. 0902)</t>
  </si>
  <si>
    <t>Cimento | Construção de Fogão a lenha na residência do funcionário</t>
  </si>
  <si>
    <t>NF 293152</t>
  </si>
  <si>
    <t>Gilson Freitas de Souza ME</t>
  </si>
  <si>
    <t>Construção da Sede - Luminárias</t>
  </si>
  <si>
    <t>NF 46405</t>
  </si>
  <si>
    <t>DouraLuz</t>
  </si>
  <si>
    <t>Parcelado em 2x no cartão de crédito</t>
  </si>
  <si>
    <t>Dourados</t>
  </si>
  <si>
    <t>Materiais Elétricos Diversos (Marquinhos, Nedes e reparos na fazenda)</t>
  </si>
  <si>
    <t>NF 865</t>
  </si>
  <si>
    <t>Ferragem Alvorada Ltda</t>
  </si>
  <si>
    <t>Construção da Sede - Tijolos de Revestimentos</t>
  </si>
  <si>
    <t>Graciele Gonçalves Tolentino - Marmoaria Fênix</t>
  </si>
  <si>
    <t>NF 28492</t>
  </si>
  <si>
    <t>Ping Tecnologia e Segurança Ltda</t>
  </si>
  <si>
    <t>Construção da Sede - Peças (passagem de cabo de rede e troca das lâmpadas)</t>
  </si>
  <si>
    <t>NF 7634</t>
  </si>
  <si>
    <t>NF 51</t>
  </si>
  <si>
    <t>Construção da Sede - Mão de Obra (passagem de cabo de rede e troca das lâmpadas)</t>
  </si>
  <si>
    <r>
      <rPr>
        <b/>
        <sz val="9"/>
        <color rgb="FF000000"/>
        <rFont val="Arial"/>
        <family val="2"/>
        <scheme val="minor"/>
      </rPr>
      <t xml:space="preserve">Saldo da conta investimento </t>
    </r>
    <r>
      <rPr>
        <sz val="8"/>
        <color rgb="FF000000"/>
        <rFont val="Arial"/>
        <family val="2"/>
        <scheme val="minor"/>
      </rPr>
      <t>(conta encerrada)</t>
    </r>
  </si>
  <si>
    <t>NF 9298</t>
  </si>
  <si>
    <t>VACV Tecnologia Ltda - Ping Tecnologia</t>
  </si>
  <si>
    <t>NF 2785</t>
  </si>
  <si>
    <t>Construção da Sede - Acabamento e assentamento de pisos (158,3421 m²)</t>
  </si>
  <si>
    <t>Construção da Sede - Acabamento e assentamento de pisos (218,24 mt²)</t>
  </si>
  <si>
    <t>1º Medição (158,3421 m²)</t>
  </si>
  <si>
    <t>2º Medição (218,24 mt²)</t>
  </si>
  <si>
    <t>3º Medição (111 mt² previsto)</t>
  </si>
  <si>
    <t>R$ 2.618,88 de INSS Patronal</t>
  </si>
  <si>
    <t>R$ 1.332,00 de INSS Patronal</t>
  </si>
  <si>
    <t>Container de Combustível de 1.000 litros</t>
  </si>
  <si>
    <t>Construção da Sede - Forro Cumaru e Ripas (Porta Frontal + Cadeiras de Mesa)</t>
  </si>
  <si>
    <t>Maio</t>
  </si>
  <si>
    <t>Junho</t>
  </si>
  <si>
    <t>Julho</t>
  </si>
  <si>
    <t>Agosto</t>
  </si>
  <si>
    <t>Setembro</t>
  </si>
  <si>
    <t>Outubro</t>
  </si>
  <si>
    <t>Novembro</t>
  </si>
  <si>
    <t>Porta Frontal</t>
  </si>
  <si>
    <t xml:space="preserve">    ↳ Material/Confecção</t>
  </si>
  <si>
    <t>Madeireira Guarantã</t>
  </si>
  <si>
    <t>Parcelado em 6x no boleto</t>
  </si>
  <si>
    <t>Box Banheiros</t>
  </si>
  <si>
    <t>Vidro Box</t>
  </si>
  <si>
    <t>Revisão Veículo (peças)</t>
  </si>
  <si>
    <t>Revisão Veículo (serviços)</t>
  </si>
  <si>
    <t>Seguro Veículo parc. 1/8</t>
  </si>
  <si>
    <t>Seguro Veículo parc. 2/8</t>
  </si>
  <si>
    <t>Seguro Veículo parc. 3/8</t>
  </si>
  <si>
    <t>Seguro Veículo parc. 4/8</t>
  </si>
  <si>
    <t>Seguro Veículo parc. 5/8</t>
  </si>
  <si>
    <t>Seguro Veículo parc. 6/8</t>
  </si>
  <si>
    <t>Seguro Veículo parc. 7/8</t>
  </si>
  <si>
    <t>Seguro Veículo parc. 8/8</t>
  </si>
  <si>
    <t>Transf. Entre Contas_Saldo DV 2025 - Extra Emergencial p/ Construção da Sede</t>
  </si>
  <si>
    <t>Aplicação Financeira - Extra Emergencial p/ Construção da Sede (Saldo DV 2025)</t>
  </si>
  <si>
    <t>Construção da Sede - Refeições aos colaboradores da LTS (3 almoços)</t>
  </si>
  <si>
    <t>NF 159</t>
  </si>
  <si>
    <t>Mentoria e desenvolvimento do Projeto Financeiro</t>
  </si>
  <si>
    <t>NF 6</t>
  </si>
  <si>
    <t>NF 15</t>
  </si>
  <si>
    <t>Construção da Sede - Boxes Banheiros</t>
  </si>
  <si>
    <t>NF 542</t>
  </si>
  <si>
    <t>50% entrada + 50% finalização</t>
  </si>
  <si>
    <t>NF 743</t>
  </si>
  <si>
    <t>NF 368738</t>
  </si>
  <si>
    <t>Construção da Sede - Granito para filetes, pingadeiras (janelas), etc</t>
  </si>
  <si>
    <t>NF 12682</t>
  </si>
  <si>
    <t>NF 19790</t>
  </si>
  <si>
    <t>NF 101496</t>
  </si>
  <si>
    <t>NF 368738 e 101496</t>
  </si>
  <si>
    <t>Talaveira, Avila Souza Ltda ME - Multipeças</t>
  </si>
  <si>
    <t>Cabeçote da Bomba Pulverizador Jacto 9600</t>
  </si>
  <si>
    <t>NF 63198</t>
  </si>
  <si>
    <t>Mata bicheira cidental, texvet e umbicura</t>
  </si>
  <si>
    <t>NF 84770</t>
  </si>
  <si>
    <t>NF 368986</t>
  </si>
  <si>
    <t>NF 19413</t>
  </si>
  <si>
    <t>Corda 8mm 15 metros + Óleo Lubri Dexron 1 litro Massey + Tinta Spray Preto 350 ml</t>
  </si>
  <si>
    <t>NF 100452</t>
  </si>
  <si>
    <t>Mangueira + Prensa p/ trator Massey Fergunson 290</t>
  </si>
  <si>
    <t>Bateria 100 ah Moura - Massey Fergunson 290</t>
  </si>
  <si>
    <t>NF 18560</t>
  </si>
  <si>
    <t>Construção da Sede - Grelha</t>
  </si>
  <si>
    <t>NF 369044</t>
  </si>
  <si>
    <t>Construção da Sede - Nivela Piso e Base Branca Slim</t>
  </si>
  <si>
    <t>Dezembro</t>
  </si>
  <si>
    <t>Peças de reparo de urgência - ignição (Husqvarna TS 138L)</t>
  </si>
  <si>
    <t>Mão de Obra reparo de urgência - ignição + troca do eixo frontal  (Husqvarna TS 138L)</t>
  </si>
  <si>
    <t>NF 2012</t>
  </si>
  <si>
    <t>Total Concert Ltda - Humberley</t>
  </si>
  <si>
    <t>DESPESAS A MAIS</t>
  </si>
  <si>
    <t>2.3.11 – Compra de Animais (Ativo Biológico)</t>
  </si>
  <si>
    <t>Sandro Iudice Pagliuso - Fazenda Caacupe</t>
  </si>
  <si>
    <t>Compra de 01 animal bovino macho (touro)</t>
  </si>
  <si>
    <t>NF 8857631</t>
  </si>
  <si>
    <t>Pgto Celso José Bazana (Transporte de 01 animal bovino macho_touro)</t>
  </si>
  <si>
    <t>Anuidade do cartão de crédito</t>
  </si>
  <si>
    <t>Gabriel Fernandes Zarate - Renato Pintor</t>
  </si>
  <si>
    <t>NF 10</t>
  </si>
  <si>
    <t>AGURANDO NF</t>
  </si>
  <si>
    <t>NF 5473232</t>
  </si>
  <si>
    <t>Bica D'Agua</t>
  </si>
  <si>
    <t>NF 295931</t>
  </si>
  <si>
    <t>NF 29494</t>
  </si>
  <si>
    <t>NF 18699</t>
  </si>
  <si>
    <t>NF 296401</t>
  </si>
  <si>
    <t>Registro | Uso na residência do funcionário</t>
  </si>
  <si>
    <t>NF 296402</t>
  </si>
  <si>
    <t>Construção da Sede - Cimento + Espaçador p/ Sr. Odílio</t>
  </si>
  <si>
    <t>Construção da Sede - Argamassa p/ Sr. Odílio</t>
  </si>
  <si>
    <t>NF 296518</t>
  </si>
  <si>
    <t>Agro Esteio Armazéns Gerais Ltda</t>
  </si>
  <si>
    <t>250kg Milho em grãos</t>
  </si>
  <si>
    <t>2.5.4 – Anuidade de Cartão de Crédito</t>
  </si>
  <si>
    <t>Toldo da garagem do CER</t>
  </si>
  <si>
    <t>Troca de bateria veicular</t>
  </si>
  <si>
    <t>NF 318200</t>
  </si>
  <si>
    <t>Peças de reparo de urgência - conjunto de levante (Husqvarna TS 138L)</t>
  </si>
  <si>
    <t>NF 721</t>
  </si>
  <si>
    <t>NF 2873</t>
  </si>
  <si>
    <t>NF 2874</t>
  </si>
  <si>
    <t>XP 0001 C/C 817380-1</t>
  </si>
  <si>
    <t>Magazine Luiza S/A</t>
  </si>
  <si>
    <t xml:space="preserve">Construção da Sede - Fogão Electrolux + Cooktop Brastemp </t>
  </si>
  <si>
    <t>NF 261435</t>
  </si>
  <si>
    <t>Ferragens Alvorada Ltda</t>
  </si>
  <si>
    <t>Construção da Sede - Tijolinhos para revestir a lareira</t>
  </si>
  <si>
    <t>Construção da Sede - Acabamento e assentamento de pisos (50,00 mt²)</t>
  </si>
  <si>
    <t>Construção da Sede - Acabamento e assentamento de pisos (137,13 mt²) + Refratário</t>
  </si>
  <si>
    <t>NF 440047</t>
  </si>
  <si>
    <t>Construção da Sede - Cimento p/ Sr. Odílio</t>
  </si>
  <si>
    <t>NF 297149</t>
  </si>
  <si>
    <t>Janeiro</t>
  </si>
  <si>
    <t>Fevereiro</t>
  </si>
  <si>
    <t>2.3.11</t>
  </si>
  <si>
    <t>Compra de Animais (Ativo Biológico)</t>
  </si>
  <si>
    <t>2.5.4</t>
  </si>
  <si>
    <t>Anuidade de Cartão de Crédito</t>
  </si>
  <si>
    <t>Conta Contábil + Centro de Custo</t>
  </si>
  <si>
    <t>Classificações Financeiras - Agropecuária Aramburu Ltda</t>
  </si>
  <si>
    <t>NF 16</t>
  </si>
  <si>
    <t>NF 550</t>
  </si>
  <si>
    <t>NF 950</t>
  </si>
  <si>
    <t>NF 440048</t>
  </si>
  <si>
    <t>Construção da Sede - Tijolinhos para a lareira</t>
  </si>
  <si>
    <t>NF 28689</t>
  </si>
  <si>
    <t>NF 127</t>
  </si>
  <si>
    <t>NF 28</t>
  </si>
  <si>
    <t>NF 51939</t>
  </si>
  <si>
    <t>NF 922</t>
  </si>
  <si>
    <t>(Vários itens)</t>
  </si>
  <si>
    <t>NF 18740</t>
  </si>
  <si>
    <r>
      <rPr>
        <b/>
        <sz val="9"/>
        <color rgb="FF000000"/>
        <rFont val="Arial"/>
        <family val="2"/>
        <scheme val="minor"/>
      </rPr>
      <t xml:space="preserve">Saldo da conta investimento </t>
    </r>
    <r>
      <rPr>
        <sz val="8"/>
        <color rgb="FF000000"/>
        <rFont val="Arial"/>
        <family val="2"/>
        <scheme val="minor"/>
      </rPr>
      <t>em 30/04/2026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</si>
</sst>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mmmm\,\ yyyy;@"/>
    <numFmt numFmtId="165" formatCode="[$-416]d;@"/>
    <numFmt numFmtId="166" formatCode="&quot;R$&quot;\ #,##0.00"/>
    <numFmt numFmtId="167" formatCode="dd/mm/yy;@"/>
    <numFmt numFmtId="168" formatCode="[$-416]d\-mmm;@"/>
    <numFmt numFmtId="169" formatCode="_-&quot;R$&quot;\ * #,##0.000000000000000000000000000000_-;\-&quot;R$&quot;\ * #,##0.000000000000000000000000000000_-;_-&quot;R$&quot;\ * &quot;-&quot;??_-;_-@_-"/>
  </numFmts>
  <fonts count="113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color rgb="FF000000"/>
      <name val="Arial"/>
      <family val="2"/>
      <scheme val="minor"/>
    </font>
    <font>
      <b/>
      <sz val="10"/>
      <color theme="1"/>
      <name val="Aptos"/>
      <family val="2"/>
    </font>
    <font>
      <b/>
      <sz val="10"/>
      <color rgb="FF000000"/>
      <name val="Aptos"/>
      <family val="2"/>
    </font>
    <font>
      <sz val="10"/>
      <color rgb="FF000000"/>
      <name val="Arial"/>
      <family val="2"/>
      <scheme val="minor"/>
    </font>
    <font>
      <sz val="10"/>
      <color theme="0"/>
      <name val="Aptos"/>
      <family val="2"/>
    </font>
    <font>
      <sz val="10"/>
      <color rgb="FF000000"/>
      <name val="Arial"/>
      <family val="2"/>
      <scheme val="minor"/>
    </font>
    <font>
      <b/>
      <sz val="22"/>
      <color rgb="FF002060"/>
      <name val="Aptos"/>
      <family val="2"/>
    </font>
    <font>
      <sz val="11"/>
      <color theme="0"/>
      <name val="Aptos"/>
      <family val="2"/>
    </font>
    <font>
      <b/>
      <sz val="10"/>
      <color theme="0"/>
      <name val="Aptos"/>
      <family val="2"/>
    </font>
    <font>
      <sz val="10"/>
      <name val="Aptos"/>
      <family val="2"/>
    </font>
    <font>
      <sz val="25"/>
      <color rgb="FF006600"/>
      <name val="Arial Black"/>
      <family val="2"/>
    </font>
    <font>
      <sz val="25"/>
      <color theme="7" tint="-0.249977111117893"/>
      <name val="Arial Black"/>
      <family val="2"/>
    </font>
    <font>
      <sz val="25"/>
      <color theme="8" tint="-0.249977111117893"/>
      <name val="Arial Black"/>
      <family val="2"/>
    </font>
    <font>
      <b/>
      <sz val="25"/>
      <color theme="5" tint="-0.249977111117893"/>
      <name val="Arial Black"/>
      <family val="2"/>
    </font>
    <font>
      <b/>
      <sz val="11"/>
      <color theme="0"/>
      <name val="Arial"/>
      <family val="2"/>
      <scheme val="minor"/>
    </font>
    <font>
      <b/>
      <sz val="25"/>
      <color rgb="FF006600"/>
      <name val="Arial Black"/>
      <family val="2"/>
    </font>
    <font>
      <b/>
      <sz val="25"/>
      <color theme="7" tint="-0.249977111117893"/>
      <name val="Arial Black"/>
      <family val="2"/>
    </font>
    <font>
      <b/>
      <sz val="25"/>
      <color theme="8" tint="-0.249977111117893"/>
      <name val="Arial Black"/>
      <family val="2"/>
    </font>
    <font>
      <sz val="11"/>
      <color rgb="FF000000"/>
      <name val="Aptos"/>
      <family val="2"/>
    </font>
    <font>
      <b/>
      <sz val="12"/>
      <color theme="1" tint="0.499984740745262"/>
      <name val="Aptos"/>
      <family val="2"/>
    </font>
    <font>
      <sz val="10"/>
      <color rgb="FFFF0000"/>
      <name val="Aptos"/>
      <family val="2"/>
    </font>
    <font>
      <sz val="10"/>
      <color theme="0" tint="-4.9989318521683403E-2"/>
      <name val="Aptos"/>
      <family val="2"/>
    </font>
    <font>
      <sz val="25"/>
      <color rgb="FF666633"/>
      <name val="Arial Black"/>
      <family val="2"/>
    </font>
    <font>
      <b/>
      <sz val="10"/>
      <color theme="0" tint="-4.9989318521683403E-2"/>
      <name val="Aptos"/>
      <family val="2"/>
    </font>
    <font>
      <b/>
      <sz val="11"/>
      <color theme="1" tint="4.9989318521683403E-2"/>
      <name val="Aptos"/>
      <family val="2"/>
    </font>
    <font>
      <b/>
      <sz val="22"/>
      <color theme="1" tint="0.249977111117893"/>
      <name val="Aptos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color rgb="FF00B050"/>
      <name val="Arial"/>
      <family val="2"/>
      <scheme val="minor"/>
    </font>
    <font>
      <b/>
      <sz val="10"/>
      <color theme="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b/>
      <sz val="8"/>
      <color theme="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8"/>
      <name val="Arial"/>
      <family val="2"/>
      <scheme val="minor"/>
    </font>
    <font>
      <b/>
      <sz val="9"/>
      <color theme="0"/>
      <name val="Arial"/>
      <family val="2"/>
      <scheme val="minor"/>
    </font>
    <font>
      <b/>
      <sz val="9"/>
      <name val="Arial"/>
      <family val="2"/>
      <scheme val="minor"/>
    </font>
    <font>
      <sz val="9"/>
      <name val="Arial"/>
      <family val="2"/>
      <scheme val="minor"/>
    </font>
    <font>
      <b/>
      <sz val="10"/>
      <color rgb="FFFF0000"/>
      <name val="Aptos"/>
      <family val="2"/>
    </font>
    <font>
      <b/>
      <sz val="12"/>
      <color rgb="FFFF0000"/>
      <name val="Aptos"/>
      <family val="2"/>
    </font>
    <font>
      <i/>
      <sz val="10"/>
      <color rgb="FFFF0000"/>
      <name val="Aptos"/>
      <family val="2"/>
    </font>
    <font>
      <sz val="25"/>
      <color theme="1" tint="0.34998626667073579"/>
      <name val="Arial Black"/>
      <family val="2"/>
    </font>
    <font>
      <b/>
      <sz val="22"/>
      <color rgb="FF565F73"/>
      <name val="Arial Rounded MT Bold"/>
      <family val="2"/>
    </font>
    <font>
      <b/>
      <sz val="22"/>
      <color rgb="FF002060"/>
      <name val="Arial Rounded MT Bold"/>
      <family val="2"/>
    </font>
    <font>
      <b/>
      <sz val="11"/>
      <color theme="0"/>
      <name val="Aptos"/>
      <family val="2"/>
    </font>
    <font>
      <b/>
      <sz val="12"/>
      <color theme="0"/>
      <name val="Aptos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i/>
      <sz val="10"/>
      <color theme="0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4"/>
      <color rgb="FFFF0000"/>
      <name val="Atkinson Hyperlegible Bold"/>
    </font>
    <font>
      <sz val="8"/>
      <name val="Arial"/>
      <family val="2"/>
      <scheme val="minor"/>
    </font>
    <font>
      <sz val="8"/>
      <name val="Arial"/>
      <family val="2"/>
      <scheme val="minor"/>
    </font>
    <font>
      <sz val="12"/>
      <color theme="0"/>
      <name val="Arial"/>
      <family val="2"/>
      <scheme val="minor"/>
    </font>
    <font>
      <b/>
      <sz val="9"/>
      <color rgb="FF00B050"/>
      <name val="Arial"/>
      <family val="2"/>
      <scheme val="minor"/>
    </font>
    <font>
      <b/>
      <sz val="9"/>
      <color rgb="FFFF0000"/>
      <name val="Arial"/>
      <family val="2"/>
      <scheme val="minor"/>
    </font>
    <font>
      <b/>
      <sz val="12"/>
      <color rgb="FF002060"/>
      <name val="Franklin Gothic Demi"/>
      <family val="2"/>
    </font>
    <font>
      <b/>
      <sz val="10"/>
      <color rgb="FFFF0066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20"/>
      <color theme="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000000"/>
      <name val="Arial"/>
      <family val="2"/>
      <scheme val="major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  <font>
      <b/>
      <sz val="10"/>
      <color rgb="FFC00000"/>
      <name val="Arial"/>
      <family val="2"/>
      <scheme val="minor"/>
    </font>
    <font>
      <i/>
      <sz val="10"/>
      <color theme="6" tint="0.59999389629810485"/>
      <name val="Arial"/>
      <family val="2"/>
      <scheme val="minor"/>
    </font>
    <font>
      <i/>
      <sz val="10"/>
      <color theme="5" tint="0.59999389629810485"/>
      <name val="Arial"/>
      <family val="2"/>
      <scheme val="minor"/>
    </font>
    <font>
      <b/>
      <i/>
      <sz val="10"/>
      <color theme="0"/>
      <name val="Arial"/>
      <family val="2"/>
      <scheme val="minor"/>
    </font>
    <font>
      <sz val="10"/>
      <color rgb="FF000000"/>
      <name val="Times New Roman"/>
      <family val="1"/>
    </font>
    <font>
      <b/>
      <sz val="9"/>
      <color rgb="FFFFFFFF"/>
      <name val="Trebuchet MS"/>
      <family val="2"/>
    </font>
    <font>
      <sz val="9"/>
      <color rgb="FF000000"/>
      <name val="Trebuchet MS"/>
      <family val="2"/>
    </font>
    <font>
      <sz val="9"/>
      <name val="Trebuchet MS"/>
      <family val="2"/>
    </font>
    <font>
      <b/>
      <sz val="9"/>
      <name val="Trebuchet MS"/>
      <family val="2"/>
    </font>
    <font>
      <sz val="10"/>
      <color rgb="FF000000"/>
      <name val="Trebuchet MS"/>
      <family val="2"/>
    </font>
    <font>
      <b/>
      <sz val="12"/>
      <color rgb="FFC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b/>
      <sz val="10"/>
      <color theme="0"/>
      <name val="Arial Black"/>
      <family val="2"/>
    </font>
    <font>
      <b/>
      <sz val="9"/>
      <color rgb="FFFF0000"/>
      <name val="Trebuchet MS"/>
      <family val="2"/>
    </font>
    <font>
      <b/>
      <sz val="9"/>
      <color rgb="FF00194C"/>
      <name val="Trebuchet MS"/>
      <family val="2"/>
    </font>
    <font>
      <b/>
      <u/>
      <sz val="9"/>
      <color rgb="FF000000"/>
      <name val="Trebuchet MS"/>
      <family val="2"/>
    </font>
    <font>
      <sz val="10"/>
      <color rgb="FF000000"/>
      <name val="Arial"/>
      <family val="2"/>
      <scheme val="minor"/>
    </font>
    <font>
      <b/>
      <u/>
      <sz val="10"/>
      <color rgb="FF000000"/>
      <name val="Arial"/>
      <family val="2"/>
      <scheme val="minor"/>
    </font>
    <font>
      <sz val="9"/>
      <color theme="0"/>
      <name val="Trebuchet MS"/>
      <family val="2"/>
    </font>
    <font>
      <sz val="9"/>
      <color theme="0" tint="-0.249977111117893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8"/>
      <color rgb="FF000000"/>
      <name val="Arial"/>
      <family val="2"/>
      <scheme val="minor"/>
    </font>
    <font>
      <b/>
      <sz val="8"/>
      <color theme="0" tint="-4.9989318521683403E-2"/>
      <name val="Arial"/>
      <family val="2"/>
      <scheme val="minor"/>
    </font>
    <font>
      <sz val="9"/>
      <color theme="1"/>
      <name val="Aptos"/>
      <family val="2"/>
    </font>
    <font>
      <b/>
      <sz val="11"/>
      <color theme="1"/>
      <name val="Aptos"/>
      <family val="2"/>
    </font>
    <font>
      <i/>
      <sz val="8"/>
      <color rgb="FF000000"/>
      <name val="Arial"/>
      <family val="2"/>
      <scheme val="minor"/>
    </font>
    <font>
      <b/>
      <sz val="22"/>
      <color theme="0"/>
      <name val="Aptos"/>
      <family val="2"/>
    </font>
    <font>
      <sz val="10"/>
      <color rgb="FF00B050"/>
      <name val="Arial"/>
      <family val="2"/>
      <scheme val="minor"/>
    </font>
    <font>
      <sz val="10"/>
      <color rgb="FF002060"/>
      <name val="Arial"/>
      <family val="2"/>
      <scheme val="minor"/>
    </font>
    <font>
      <sz val="10"/>
      <color rgb="FF002060"/>
      <name val="Aptos"/>
      <family val="2"/>
    </font>
    <font>
      <i/>
      <sz val="10"/>
      <color theme="0"/>
      <name val="Aptos"/>
      <family val="2"/>
    </font>
    <font>
      <b/>
      <sz val="10"/>
      <color rgb="FFFF0000"/>
      <name val="Arial"/>
      <family val="2"/>
      <scheme val="minor"/>
    </font>
    <font>
      <sz val="11"/>
      <color rgb="FFFF0000"/>
      <name val="Arial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E9E8D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194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FFEF"/>
        <bgColor indexed="64"/>
      </patternFill>
    </fill>
    <fill>
      <patternFill patternType="solid">
        <fgColor rgb="FFFFF2E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1F60"/>
      </patternFill>
    </fill>
    <fill>
      <patternFill patternType="solid">
        <fgColor theme="3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BF3F3"/>
        <bgColor indexed="64"/>
      </patternFill>
    </fill>
    <fill>
      <patternFill patternType="solid">
        <fgColor rgb="FFE8EBF0"/>
        <bgColor indexed="64"/>
      </patternFill>
    </fill>
    <fill>
      <patternFill patternType="solid">
        <fgColor rgb="FFC0C9D6"/>
        <bgColor indexed="64"/>
      </patternFill>
    </fill>
    <fill>
      <patternFill patternType="solid">
        <fgColor rgb="FFFEF2E8"/>
        <bgColor indexed="64"/>
      </patternFill>
    </fill>
    <fill>
      <patternFill patternType="solid">
        <fgColor rgb="FFEAB200"/>
        <bgColor indexed="64"/>
      </patternFill>
    </fill>
    <fill>
      <patternFill patternType="solid">
        <fgColor rgb="FFFFF1C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7FF"/>
        <bgColor indexed="64"/>
      </patternFill>
    </fill>
    <fill>
      <patternFill patternType="solid">
        <fgColor rgb="FFF8FAF4"/>
        <bgColor indexed="64"/>
      </patternFill>
    </fill>
    <fill>
      <patternFill patternType="solid">
        <fgColor rgb="FFF3FAFF"/>
        <bgColor indexed="64"/>
      </patternFill>
    </fill>
    <fill>
      <patternFill patternType="solid">
        <fgColor rgb="FFF4F2F8"/>
        <bgColor indexed="64"/>
      </patternFill>
    </fill>
    <fill>
      <patternFill patternType="solid">
        <fgColor rgb="FFEFF9FF"/>
        <bgColor indexed="64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ck">
        <color rgb="FF00194C"/>
      </left>
      <right style="thick">
        <color rgb="FF00194C"/>
      </right>
      <top style="thick">
        <color rgb="FF00194C"/>
      </top>
      <bottom style="thick">
        <color rgb="FF00194C"/>
      </bottom>
      <diagonal/>
    </border>
    <border>
      <left/>
      <right/>
      <top style="thick">
        <color rgb="FF00194C"/>
      </top>
      <bottom/>
      <diagonal/>
    </border>
    <border>
      <left/>
      <right style="thick">
        <color rgb="FF00194C"/>
      </right>
      <top style="thick">
        <color rgb="FF00194C"/>
      </top>
      <bottom/>
      <diagonal/>
    </border>
    <border>
      <left style="thick">
        <color rgb="FF00194C"/>
      </left>
      <right/>
      <top/>
      <bottom/>
      <diagonal/>
    </border>
    <border>
      <left/>
      <right style="thick">
        <color rgb="FF00194C"/>
      </right>
      <top/>
      <bottom/>
      <diagonal/>
    </border>
    <border>
      <left style="thick">
        <color rgb="FF00194C"/>
      </left>
      <right/>
      <top/>
      <bottom style="thick">
        <color rgb="FF00194C"/>
      </bottom>
      <diagonal/>
    </border>
    <border>
      <left/>
      <right/>
      <top/>
      <bottom style="thick">
        <color rgb="FF00194C"/>
      </bottom>
      <diagonal/>
    </border>
    <border>
      <left/>
      <right style="thick">
        <color rgb="FF00194C"/>
      </right>
      <top/>
      <bottom style="thick">
        <color rgb="FF00194C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medium">
        <color theme="0" tint="-4.9989318521683403E-2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ck">
        <color rgb="FF00194C"/>
      </left>
      <right/>
      <top style="thick">
        <color rgb="FF00194C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dotted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rgb="FFC00000"/>
      </bottom>
      <diagonal/>
    </border>
  </borders>
  <cellStyleXfs count="12">
    <xf numFmtId="0" fontId="0" fillId="0" borderId="0"/>
    <xf numFmtId="0" fontId="13" fillId="0" borderId="1"/>
    <xf numFmtId="43" fontId="10" fillId="0" borderId="1" applyFont="0" applyFill="0" applyBorder="0" applyAlignment="0" applyProtection="0"/>
    <xf numFmtId="0" fontId="10" fillId="0" borderId="1"/>
    <xf numFmtId="0" fontId="15" fillId="0" borderId="1"/>
    <xf numFmtId="43" fontId="37" fillId="0" borderId="0" applyFont="0" applyFill="0" applyBorder="0" applyAlignment="0" applyProtection="0"/>
    <xf numFmtId="0" fontId="7" fillId="0" borderId="1"/>
    <xf numFmtId="0" fontId="83" fillId="0" borderId="1"/>
    <xf numFmtId="0" fontId="1" fillId="0" borderId="1"/>
    <xf numFmtId="0" fontId="10" fillId="0" borderId="1"/>
    <xf numFmtId="44" fontId="95" fillId="0" borderId="0" applyFont="0" applyFill="0" applyBorder="0" applyAlignment="0" applyProtection="0"/>
    <xf numFmtId="9" fontId="10" fillId="0" borderId="1" applyFont="0" applyFill="0" applyBorder="0" applyAlignment="0" applyProtection="0"/>
  </cellStyleXfs>
  <cellXfs count="635">
    <xf numFmtId="0" fontId="0" fillId="0" borderId="0" xfId="0"/>
    <xf numFmtId="43" fontId="9" fillId="0" borderId="1" xfId="2" applyFont="1"/>
    <xf numFmtId="43" fontId="0" fillId="0" borderId="1" xfId="2" applyFont="1"/>
    <xf numFmtId="0" fontId="8" fillId="0" borderId="1" xfId="4" applyFont="1" applyAlignment="1">
      <alignment horizontal="center"/>
    </xf>
    <xf numFmtId="0" fontId="8" fillId="0" borderId="1" xfId="4" applyFont="1" applyAlignment="1">
      <alignment horizontal="left"/>
    </xf>
    <xf numFmtId="0" fontId="8" fillId="0" borderId="1" xfId="4" applyFont="1"/>
    <xf numFmtId="44" fontId="8" fillId="0" borderId="1" xfId="4" applyNumberFormat="1" applyFont="1" applyAlignment="1">
      <alignment horizontal="center"/>
    </xf>
    <xf numFmtId="0" fontId="9" fillId="0" borderId="1" xfId="4" applyFont="1"/>
    <xf numFmtId="0" fontId="15" fillId="0" borderId="1" xfId="4"/>
    <xf numFmtId="0" fontId="15" fillId="0" borderId="1" xfId="4" applyAlignment="1">
      <alignment horizontal="left"/>
    </xf>
    <xf numFmtId="44" fontId="15" fillId="0" borderId="1" xfId="4" applyNumberFormat="1"/>
    <xf numFmtId="0" fontId="17" fillId="6" borderId="1" xfId="4" applyFont="1" applyFill="1" applyAlignment="1">
      <alignment horizontal="center"/>
    </xf>
    <xf numFmtId="44" fontId="17" fillId="6" borderId="1" xfId="4" applyNumberFormat="1" applyFont="1" applyFill="1" applyAlignment="1">
      <alignment horizontal="center"/>
    </xf>
    <xf numFmtId="43" fontId="9" fillId="0" borderId="1" xfId="4" applyNumberFormat="1" applyFont="1"/>
    <xf numFmtId="0" fontId="18" fillId="7" borderId="1" xfId="4" applyFont="1" applyFill="1" applyAlignment="1">
      <alignment horizontal="center" vertical="center"/>
    </xf>
    <xf numFmtId="0" fontId="8" fillId="0" borderId="1" xfId="4" applyFont="1" applyAlignment="1">
      <alignment horizontal="left" vertical="center"/>
    </xf>
    <xf numFmtId="0" fontId="9" fillId="0" borderId="1" xfId="4" applyFont="1" applyAlignment="1">
      <alignment vertical="center"/>
    </xf>
    <xf numFmtId="165" fontId="8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6" fontId="8" fillId="0" borderId="2" xfId="0" quotePrefix="1" applyNumberFormat="1" applyFont="1" applyBorder="1" applyAlignment="1">
      <alignment horizontal="center" vertical="center"/>
    </xf>
    <xf numFmtId="44" fontId="8" fillId="0" borderId="2" xfId="0" applyNumberFormat="1" applyFont="1" applyBorder="1" applyAlignment="1">
      <alignment vertical="center"/>
    </xf>
    <xf numFmtId="0" fontId="8" fillId="0" borderId="4" xfId="0" applyFont="1" applyBorder="1" applyAlignment="1" applyProtection="1">
      <alignment horizontal="center" vertical="center"/>
      <protection locked="0"/>
    </xf>
    <xf numFmtId="0" fontId="19" fillId="0" borderId="2" xfId="0" applyFont="1" applyBorder="1" applyAlignment="1">
      <alignment horizontal="left" vertical="center"/>
    </xf>
    <xf numFmtId="44" fontId="19" fillId="0" borderId="2" xfId="0" applyNumberFormat="1" applyFont="1" applyBorder="1" applyAlignment="1">
      <alignment vertical="center"/>
    </xf>
    <xf numFmtId="44" fontId="8" fillId="0" borderId="2" xfId="0" quotePrefix="1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pivotButton="1" applyFont="1" applyAlignment="1">
      <alignment vertical="center"/>
    </xf>
    <xf numFmtId="0" fontId="12" fillId="0" borderId="0" xfId="0" applyFont="1" applyAlignment="1">
      <alignment vertical="center"/>
    </xf>
    <xf numFmtId="0" fontId="14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14" fillId="8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44" fontId="9" fillId="0" borderId="0" xfId="0" applyNumberFormat="1" applyFont="1" applyAlignment="1">
      <alignment vertical="center"/>
    </xf>
    <xf numFmtId="0" fontId="14" fillId="8" borderId="0" xfId="0" applyFont="1" applyFill="1" applyAlignment="1">
      <alignment horizontal="left" vertical="center"/>
    </xf>
    <xf numFmtId="44" fontId="14" fillId="8" borderId="0" xfId="0" applyNumberFormat="1" applyFont="1" applyFill="1" applyAlignment="1">
      <alignment vertical="center"/>
    </xf>
    <xf numFmtId="44" fontId="9" fillId="2" borderId="0" xfId="0" applyNumberFormat="1" applyFont="1" applyFill="1" applyAlignment="1">
      <alignment vertical="center"/>
    </xf>
    <xf numFmtId="44" fontId="18" fillId="8" borderId="0" xfId="0" applyNumberFormat="1" applyFont="1" applyFill="1" applyAlignment="1">
      <alignment vertical="center"/>
    </xf>
    <xf numFmtId="0" fontId="9" fillId="0" borderId="0" xfId="0" applyFont="1"/>
    <xf numFmtId="0" fontId="9" fillId="11" borderId="0" xfId="0" applyFont="1" applyFill="1" applyAlignment="1">
      <alignment horizontal="left" vertical="center"/>
    </xf>
    <xf numFmtId="44" fontId="9" fillId="11" borderId="0" xfId="0" applyNumberFormat="1" applyFont="1" applyFill="1" applyAlignment="1">
      <alignment vertical="center"/>
    </xf>
    <xf numFmtId="44" fontId="12" fillId="11" borderId="0" xfId="0" applyNumberFormat="1" applyFont="1" applyFill="1" applyAlignment="1">
      <alignment vertical="center"/>
    </xf>
    <xf numFmtId="0" fontId="2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7" fillId="8" borderId="0" xfId="0" applyFont="1" applyFill="1" applyAlignment="1">
      <alignment horizontal="center" vertical="center"/>
    </xf>
    <xf numFmtId="0" fontId="11" fillId="9" borderId="5" xfId="0" applyFont="1" applyFill="1" applyBorder="1" applyAlignment="1">
      <alignment horizontal="left" vertical="center"/>
    </xf>
    <xf numFmtId="0" fontId="11" fillId="9" borderId="5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6" fillId="0" borderId="0" xfId="0" applyFont="1" applyAlignment="1">
      <alignment horizontal="left" vertical="center"/>
    </xf>
    <xf numFmtId="0" fontId="11" fillId="10" borderId="5" xfId="0" applyFont="1" applyFill="1" applyBorder="1" applyAlignment="1">
      <alignment horizontal="left" vertical="center"/>
    </xf>
    <xf numFmtId="0" fontId="11" fillId="10" borderId="5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11" fillId="11" borderId="5" xfId="0" applyFont="1" applyFill="1" applyBorder="1" applyAlignment="1">
      <alignment horizontal="left" vertical="center"/>
    </xf>
    <xf numFmtId="0" fontId="11" fillId="11" borderId="5" xfId="0" applyFont="1" applyFill="1" applyBorder="1" applyAlignment="1">
      <alignment horizontal="center" vertical="center"/>
    </xf>
    <xf numFmtId="14" fontId="29" fillId="0" borderId="1" xfId="4" applyNumberFormat="1" applyFont="1" applyAlignment="1">
      <alignment horizontal="center" vertical="center"/>
    </xf>
    <xf numFmtId="165" fontId="8" fillId="0" borderId="2" xfId="4" applyNumberFormat="1" applyFont="1" applyBorder="1" applyAlignment="1">
      <alignment horizontal="center" vertical="center"/>
    </xf>
    <xf numFmtId="164" fontId="8" fillId="0" borderId="2" xfId="4" applyNumberFormat="1" applyFont="1" applyBorder="1" applyAlignment="1">
      <alignment horizontal="center" vertical="center"/>
    </xf>
    <xf numFmtId="0" fontId="9" fillId="0" borderId="3" xfId="4" applyFont="1" applyBorder="1" applyAlignment="1">
      <alignment horizontal="center" vertical="center"/>
    </xf>
    <xf numFmtId="0" fontId="8" fillId="0" borderId="2" xfId="4" applyFont="1" applyBorder="1" applyAlignment="1">
      <alignment horizontal="center" vertical="center"/>
    </xf>
    <xf numFmtId="0" fontId="8" fillId="0" borderId="2" xfId="4" applyFont="1" applyBorder="1" applyAlignment="1">
      <alignment horizontal="left" vertical="center"/>
    </xf>
    <xf numFmtId="16" fontId="8" fillId="0" borderId="2" xfId="4" quotePrefix="1" applyNumberFormat="1" applyFont="1" applyBorder="1" applyAlignment="1">
      <alignment horizontal="center" vertical="center"/>
    </xf>
    <xf numFmtId="44" fontId="8" fillId="0" borderId="2" xfId="4" applyNumberFormat="1" applyFont="1" applyBorder="1" applyAlignment="1">
      <alignment vertical="center"/>
    </xf>
    <xf numFmtId="44" fontId="8" fillId="0" borderId="1" xfId="4" applyNumberFormat="1" applyFont="1" applyAlignment="1">
      <alignment vertical="center"/>
    </xf>
    <xf numFmtId="0" fontId="9" fillId="0" borderId="2" xfId="4" applyFont="1" applyBorder="1" applyAlignment="1">
      <alignment horizontal="center" vertical="center"/>
    </xf>
    <xf numFmtId="0" fontId="8" fillId="0" borderId="2" xfId="4" applyFont="1" applyBorder="1" applyAlignment="1">
      <alignment vertical="center"/>
    </xf>
    <xf numFmtId="0" fontId="8" fillId="0" borderId="2" xfId="4" quotePrefix="1" applyFont="1" applyBorder="1" applyAlignment="1">
      <alignment horizontal="center" vertical="center"/>
    </xf>
    <xf numFmtId="0" fontId="15" fillId="0" borderId="1" xfId="4" applyAlignment="1">
      <alignment vertical="center"/>
    </xf>
    <xf numFmtId="0" fontId="14" fillId="0" borderId="4" xfId="4" applyFont="1" applyBorder="1" applyAlignment="1" applyProtection="1">
      <alignment horizontal="center" vertical="center"/>
      <protection locked="0"/>
    </xf>
    <xf numFmtId="43" fontId="9" fillId="0" borderId="1" xfId="2" applyFont="1" applyAlignment="1">
      <alignment vertical="center"/>
    </xf>
    <xf numFmtId="44" fontId="9" fillId="0" borderId="2" xfId="4" applyNumberFormat="1" applyFont="1" applyBorder="1" applyAlignment="1">
      <alignment vertical="center"/>
    </xf>
    <xf numFmtId="165" fontId="30" fillId="0" borderId="2" xfId="4" applyNumberFormat="1" applyFont="1" applyBorder="1" applyAlignment="1">
      <alignment horizontal="center" vertical="center"/>
    </xf>
    <xf numFmtId="16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30" fillId="0" borderId="2" xfId="4" applyFont="1" applyBorder="1" applyAlignment="1">
      <alignment horizontal="left" vertical="center"/>
    </xf>
    <xf numFmtId="16" fontId="30" fillId="0" borderId="2" xfId="4" quotePrefix="1" applyNumberFormat="1" applyFont="1" applyBorder="1" applyAlignment="1">
      <alignment horizontal="center" vertical="center"/>
    </xf>
    <xf numFmtId="44" fontId="0" fillId="0" borderId="0" xfId="0" applyNumberFormat="1"/>
    <xf numFmtId="0" fontId="31" fillId="13" borderId="0" xfId="0" applyFont="1" applyFill="1" applyAlignment="1">
      <alignment horizontal="center" vertical="center"/>
    </xf>
    <xf numFmtId="0" fontId="31" fillId="13" borderId="0" xfId="0" applyFont="1" applyFill="1" applyAlignment="1">
      <alignment horizontal="left" vertical="center"/>
    </xf>
    <xf numFmtId="44" fontId="31" fillId="13" borderId="0" xfId="0" applyNumberFormat="1" applyFont="1" applyFill="1" applyAlignment="1">
      <alignment vertical="center"/>
    </xf>
    <xf numFmtId="0" fontId="10" fillId="0" borderId="0" xfId="0" applyFont="1"/>
    <xf numFmtId="0" fontId="18" fillId="3" borderId="1" xfId="0" applyFont="1" applyFill="1" applyBorder="1" applyAlignment="1">
      <alignment vertical="center"/>
    </xf>
    <xf numFmtId="0" fontId="8" fillId="18" borderId="1" xfId="0" applyFont="1" applyFill="1" applyBorder="1" applyAlignment="1">
      <alignment horizontal="left" vertical="center"/>
    </xf>
    <xf numFmtId="44" fontId="8" fillId="18" borderId="1" xfId="0" applyNumberFormat="1" applyFont="1" applyFill="1" applyBorder="1" applyAlignment="1">
      <alignment vertical="center"/>
    </xf>
    <xf numFmtId="0" fontId="8" fillId="19" borderId="1" xfId="0" applyFont="1" applyFill="1" applyBorder="1" applyAlignment="1">
      <alignment horizontal="left" vertical="center"/>
    </xf>
    <xf numFmtId="44" fontId="8" fillId="19" borderId="1" xfId="0" applyNumberFormat="1" applyFont="1" applyFill="1" applyBorder="1" applyAlignment="1">
      <alignment vertical="center"/>
    </xf>
    <xf numFmtId="0" fontId="33" fillId="17" borderId="7" xfId="0" applyFont="1" applyFill="1" applyBorder="1" applyAlignment="1">
      <alignment horizontal="left" vertical="center"/>
    </xf>
    <xf numFmtId="44" fontId="33" fillId="17" borderId="9" xfId="0" applyNumberFormat="1" applyFont="1" applyFill="1" applyBorder="1" applyAlignment="1">
      <alignment vertical="center"/>
    </xf>
    <xf numFmtId="0" fontId="33" fillId="17" borderId="7" xfId="0" applyFont="1" applyFill="1" applyBorder="1" applyAlignment="1">
      <alignment horizontal="center" vertical="center"/>
    </xf>
    <xf numFmtId="0" fontId="33" fillId="17" borderId="9" xfId="0" applyFont="1" applyFill="1" applyBorder="1" applyAlignment="1">
      <alignment horizontal="center" vertical="center"/>
    </xf>
    <xf numFmtId="0" fontId="33" fillId="17" borderId="8" xfId="0" applyFont="1" applyFill="1" applyBorder="1" applyAlignment="1">
      <alignment horizontal="center" vertical="center"/>
    </xf>
    <xf numFmtId="44" fontId="11" fillId="18" borderId="1" xfId="0" applyNumberFormat="1" applyFont="1" applyFill="1" applyBorder="1" applyAlignment="1">
      <alignment vertical="center"/>
    </xf>
    <xf numFmtId="167" fontId="8" fillId="0" borderId="2" xfId="0" applyNumberFormat="1" applyFont="1" applyBorder="1" applyAlignment="1">
      <alignment horizontal="center" vertical="center"/>
    </xf>
    <xf numFmtId="0" fontId="10" fillId="0" borderId="1" xfId="4" applyFont="1" applyAlignment="1">
      <alignment vertical="center"/>
    </xf>
    <xf numFmtId="17" fontId="8" fillId="0" borderId="2" xfId="4" quotePrefix="1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44" fillId="21" borderId="1" xfId="0" applyFont="1" applyFill="1" applyBorder="1" applyAlignment="1">
      <alignment horizontal="right" vertical="center"/>
    </xf>
    <xf numFmtId="0" fontId="38" fillId="21" borderId="1" xfId="0" applyFont="1" applyFill="1" applyBorder="1" applyAlignment="1">
      <alignment vertical="center"/>
    </xf>
    <xf numFmtId="44" fontId="40" fillId="21" borderId="1" xfId="0" applyNumberFormat="1" applyFont="1" applyFill="1" applyBorder="1" applyAlignment="1">
      <alignment vertical="center"/>
    </xf>
    <xf numFmtId="0" fontId="43" fillId="0" borderId="1" xfId="0" applyFont="1" applyBorder="1" applyAlignment="1">
      <alignment vertical="center"/>
    </xf>
    <xf numFmtId="0" fontId="8" fillId="0" borderId="2" xfId="0" quotePrefix="1" applyFont="1" applyBorder="1" applyAlignment="1">
      <alignment horizontal="center" vertical="center"/>
    </xf>
    <xf numFmtId="43" fontId="0" fillId="0" borderId="0" xfId="0" applyNumberFormat="1" applyAlignment="1">
      <alignment vertical="center"/>
    </xf>
    <xf numFmtId="0" fontId="47" fillId="0" borderId="14" xfId="0" applyFont="1" applyBorder="1" applyAlignment="1">
      <alignment horizontal="right" vertical="center"/>
    </xf>
    <xf numFmtId="0" fontId="47" fillId="0" borderId="16" xfId="0" applyFont="1" applyBorder="1" applyAlignment="1">
      <alignment horizontal="right" vertical="center"/>
    </xf>
    <xf numFmtId="0" fontId="43" fillId="0" borderId="17" xfId="0" applyFont="1" applyBorder="1" applyAlignment="1">
      <alignment vertical="center"/>
    </xf>
    <xf numFmtId="44" fontId="42" fillId="0" borderId="17" xfId="0" applyNumberFormat="1" applyFont="1" applyBorder="1" applyAlignment="1">
      <alignment vertical="center"/>
    </xf>
    <xf numFmtId="44" fontId="43" fillId="0" borderId="1" xfId="0" applyNumberFormat="1" applyFont="1" applyBorder="1" applyAlignment="1">
      <alignment vertical="center"/>
    </xf>
    <xf numFmtId="44" fontId="50" fillId="0" borderId="1" xfId="0" applyNumberFormat="1" applyFont="1" applyBorder="1" applyAlignment="1">
      <alignment vertical="center"/>
    </xf>
    <xf numFmtId="0" fontId="50" fillId="0" borderId="1" xfId="0" applyFont="1" applyBorder="1" applyAlignment="1">
      <alignment vertical="center"/>
    </xf>
    <xf numFmtId="0" fontId="50" fillId="0" borderId="15" xfId="0" applyFont="1" applyBorder="1" applyAlignment="1">
      <alignment vertical="center"/>
    </xf>
    <xf numFmtId="44" fontId="49" fillId="0" borderId="12" xfId="0" applyNumberFormat="1" applyFont="1" applyBorder="1" applyAlignment="1">
      <alignment vertical="center"/>
    </xf>
    <xf numFmtId="0" fontId="42" fillId="0" borderId="12" xfId="0" applyFont="1" applyBorder="1" applyAlignment="1">
      <alignment vertical="center"/>
    </xf>
    <xf numFmtId="44" fontId="42" fillId="0" borderId="12" xfId="0" applyNumberFormat="1" applyFont="1" applyBorder="1" applyAlignment="1">
      <alignment vertical="center"/>
    </xf>
    <xf numFmtId="0" fontId="49" fillId="0" borderId="12" xfId="0" applyFont="1" applyBorder="1" applyAlignment="1">
      <alignment vertical="center"/>
    </xf>
    <xf numFmtId="0" fontId="49" fillId="0" borderId="13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43" fillId="0" borderId="18" xfId="0" applyFont="1" applyBorder="1" applyAlignment="1">
      <alignment vertical="center"/>
    </xf>
    <xf numFmtId="44" fontId="8" fillId="0" borderId="1" xfId="4" quotePrefix="1" applyNumberFormat="1" applyFont="1" applyAlignment="1">
      <alignment horizontal="center"/>
    </xf>
    <xf numFmtId="0" fontId="52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1" fillId="24" borderId="6" xfId="0" applyFont="1" applyFill="1" applyBorder="1" applyAlignment="1">
      <alignment horizontal="center" vertical="center"/>
    </xf>
    <xf numFmtId="0" fontId="11" fillId="24" borderId="6" xfId="0" applyFont="1" applyFill="1" applyBorder="1" applyAlignment="1">
      <alignment horizontal="left" vertical="center"/>
    </xf>
    <xf numFmtId="44" fontId="11" fillId="24" borderId="6" xfId="0" applyNumberFormat="1" applyFont="1" applyFill="1" applyBorder="1" applyAlignment="1">
      <alignment vertical="center"/>
    </xf>
    <xf numFmtId="0" fontId="18" fillId="25" borderId="19" xfId="0" applyFont="1" applyFill="1" applyBorder="1" applyAlignment="1">
      <alignment horizontal="left" vertical="center"/>
    </xf>
    <xf numFmtId="44" fontId="18" fillId="25" borderId="19" xfId="0" applyNumberFormat="1" applyFont="1" applyFill="1" applyBorder="1" applyAlignment="1">
      <alignment vertical="center"/>
    </xf>
    <xf numFmtId="0" fontId="9" fillId="26" borderId="0" xfId="0" applyFont="1" applyFill="1" applyAlignment="1">
      <alignment horizontal="center" vertical="center"/>
    </xf>
    <xf numFmtId="0" fontId="9" fillId="26" borderId="0" xfId="0" applyFont="1" applyFill="1" applyAlignment="1">
      <alignment vertical="center"/>
    </xf>
    <xf numFmtId="0" fontId="0" fillId="26" borderId="0" xfId="0" applyFill="1"/>
    <xf numFmtId="0" fontId="54" fillId="0" borderId="1" xfId="0" applyFont="1" applyBorder="1" applyAlignment="1">
      <alignment vertical="center"/>
    </xf>
    <xf numFmtId="0" fontId="54" fillId="0" borderId="5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36" fillId="0" borderId="1" xfId="0" applyFont="1" applyBorder="1" applyAlignment="1">
      <alignment horizontal="center" vertical="center"/>
    </xf>
    <xf numFmtId="0" fontId="40" fillId="21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vertical="center"/>
    </xf>
    <xf numFmtId="0" fontId="45" fillId="0" borderId="1" xfId="0" applyFont="1" applyBorder="1" applyAlignment="1">
      <alignment vertical="center"/>
    </xf>
    <xf numFmtId="0" fontId="41" fillId="20" borderId="1" xfId="0" applyFont="1" applyFill="1" applyBorder="1" applyAlignment="1">
      <alignment vertical="center"/>
    </xf>
    <xf numFmtId="44" fontId="45" fillId="20" borderId="1" xfId="0" applyNumberFormat="1" applyFont="1" applyFill="1" applyBorder="1" applyAlignment="1">
      <alignment vertical="center"/>
    </xf>
    <xf numFmtId="0" fontId="45" fillId="20" borderId="1" xfId="0" applyFont="1" applyFill="1" applyBorder="1" applyAlignment="1">
      <alignment vertical="center"/>
    </xf>
    <xf numFmtId="44" fontId="45" fillId="0" borderId="1" xfId="0" applyNumberFormat="1" applyFont="1" applyBorder="1" applyAlignment="1">
      <alignment vertical="center"/>
    </xf>
    <xf numFmtId="0" fontId="45" fillId="0" borderId="1" xfId="0" applyFont="1" applyBorder="1" applyAlignment="1">
      <alignment horizontal="right" vertical="center"/>
    </xf>
    <xf numFmtId="44" fontId="0" fillId="0" borderId="1" xfId="0" applyNumberFormat="1" applyBorder="1" applyAlignment="1">
      <alignment vertical="center"/>
    </xf>
    <xf numFmtId="0" fontId="0" fillId="26" borderId="0" xfId="0" applyFill="1" applyAlignment="1">
      <alignment vertical="center"/>
    </xf>
    <xf numFmtId="0" fontId="10" fillId="26" borderId="0" xfId="0" applyFont="1" applyFill="1" applyAlignment="1">
      <alignment vertical="center"/>
    </xf>
    <xf numFmtId="0" fontId="46" fillId="26" borderId="0" xfId="0" applyFont="1" applyFill="1" applyAlignment="1">
      <alignment vertical="center"/>
    </xf>
    <xf numFmtId="0" fontId="36" fillId="26" borderId="0" xfId="0" applyFont="1" applyFill="1" applyAlignment="1">
      <alignment vertical="center"/>
    </xf>
    <xf numFmtId="44" fontId="36" fillId="26" borderId="0" xfId="0" applyNumberFormat="1" applyFont="1" applyFill="1" applyAlignment="1">
      <alignment vertical="center"/>
    </xf>
    <xf numFmtId="0" fontId="41" fillId="26" borderId="0" xfId="0" applyFont="1" applyFill="1" applyAlignment="1">
      <alignment vertical="center"/>
    </xf>
    <xf numFmtId="43" fontId="0" fillId="26" borderId="0" xfId="5" applyFont="1" applyFill="1" applyAlignment="1">
      <alignment vertical="center"/>
    </xf>
    <xf numFmtId="0" fontId="48" fillId="26" borderId="11" xfId="0" applyFont="1" applyFill="1" applyBorder="1" applyAlignment="1">
      <alignment horizontal="right" vertical="center"/>
    </xf>
    <xf numFmtId="44" fontId="57" fillId="26" borderId="0" xfId="0" applyNumberFormat="1" applyFont="1" applyFill="1" applyAlignment="1">
      <alignment vertical="center"/>
    </xf>
    <xf numFmtId="44" fontId="17" fillId="26" borderId="0" xfId="0" applyNumberFormat="1" applyFont="1" applyFill="1" applyAlignment="1">
      <alignment vertical="center"/>
    </xf>
    <xf numFmtId="43" fontId="0" fillId="0" borderId="0" xfId="5" applyFont="1" applyFill="1" applyAlignment="1">
      <alignment vertical="center"/>
    </xf>
    <xf numFmtId="43" fontId="0" fillId="0" borderId="0" xfId="5" applyFont="1" applyAlignment="1">
      <alignment vertical="center"/>
    </xf>
    <xf numFmtId="44" fontId="34" fillId="27" borderId="10" xfId="0" applyNumberFormat="1" applyFont="1" applyFill="1" applyBorder="1" applyAlignment="1">
      <alignment vertical="center"/>
    </xf>
    <xf numFmtId="44" fontId="12" fillId="0" borderId="0" xfId="0" applyNumberFormat="1" applyFont="1" applyAlignment="1">
      <alignment vertical="center"/>
    </xf>
    <xf numFmtId="0" fontId="46" fillId="0" borderId="1" xfId="0" applyFont="1" applyBorder="1" applyAlignment="1">
      <alignment horizontal="right" vertical="center"/>
    </xf>
    <xf numFmtId="44" fontId="58" fillId="26" borderId="21" xfId="0" applyNumberFormat="1" applyFont="1" applyFill="1" applyBorder="1" applyAlignment="1">
      <alignment vertical="center"/>
    </xf>
    <xf numFmtId="0" fontId="8" fillId="0" borderId="1" xfId="4" applyFont="1" applyAlignment="1">
      <alignment horizontal="center" vertical="center"/>
    </xf>
    <xf numFmtId="0" fontId="8" fillId="0" borderId="1" xfId="4" applyFont="1" applyAlignment="1">
      <alignment vertical="center"/>
    </xf>
    <xf numFmtId="0" fontId="9" fillId="0" borderId="1" xfId="4" applyFont="1" applyAlignment="1">
      <alignment horizontal="center" vertical="center"/>
    </xf>
    <xf numFmtId="43" fontId="0" fillId="0" borderId="1" xfId="2" applyFont="1" applyAlignment="1">
      <alignment vertical="center"/>
    </xf>
    <xf numFmtId="0" fontId="15" fillId="0" borderId="1" xfId="4" applyAlignment="1">
      <alignment horizontal="center" vertical="center"/>
    </xf>
    <xf numFmtId="0" fontId="14" fillId="6" borderId="1" xfId="4" applyFont="1" applyFill="1" applyAlignment="1">
      <alignment horizontal="center" vertical="center"/>
    </xf>
    <xf numFmtId="0" fontId="51" fillId="0" borderId="2" xfId="0" quotePrefix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61" fillId="26" borderId="1" xfId="0" applyFont="1" applyFill="1" applyBorder="1" applyAlignment="1">
      <alignment horizontal="right" vertical="center"/>
    </xf>
    <xf numFmtId="168" fontId="62" fillId="26" borderId="1" xfId="0" applyNumberFormat="1" applyFont="1" applyFill="1" applyBorder="1" applyAlignment="1">
      <alignment horizontal="center" vertical="center"/>
    </xf>
    <xf numFmtId="0" fontId="0" fillId="26" borderId="20" xfId="0" applyFill="1" applyBorder="1" applyAlignment="1">
      <alignment vertical="center"/>
    </xf>
    <xf numFmtId="0" fontId="24" fillId="26" borderId="0" xfId="0" applyFont="1" applyFill="1" applyAlignment="1">
      <alignment horizontal="center" vertical="center"/>
    </xf>
    <xf numFmtId="0" fontId="24" fillId="26" borderId="0" xfId="0" applyFont="1" applyFill="1" applyAlignment="1">
      <alignment vertical="center"/>
    </xf>
    <xf numFmtId="0" fontId="0" fillId="16" borderId="1" xfId="0" applyFill="1" applyBorder="1" applyAlignment="1">
      <alignment vertical="center"/>
    </xf>
    <xf numFmtId="43" fontId="0" fillId="16" borderId="1" xfId="5" applyFont="1" applyFill="1" applyBorder="1" applyAlignment="1">
      <alignment vertical="center"/>
    </xf>
    <xf numFmtId="0" fontId="46" fillId="0" borderId="1" xfId="0" applyFont="1" applyBorder="1" applyAlignment="1">
      <alignment vertical="center"/>
    </xf>
    <xf numFmtId="0" fontId="0" fillId="26" borderId="1" xfId="0" applyFill="1" applyBorder="1" applyAlignment="1">
      <alignment vertical="center"/>
    </xf>
    <xf numFmtId="0" fontId="36" fillId="0" borderId="1" xfId="0" applyFont="1" applyBorder="1" applyAlignment="1">
      <alignment vertical="center"/>
    </xf>
    <xf numFmtId="0" fontId="10" fillId="26" borderId="1" xfId="0" applyFont="1" applyFill="1" applyBorder="1" applyAlignment="1">
      <alignment vertical="center"/>
    </xf>
    <xf numFmtId="0" fontId="67" fillId="0" borderId="1" xfId="0" applyFont="1" applyBorder="1" applyAlignment="1">
      <alignment horizontal="center" vertical="center"/>
    </xf>
    <xf numFmtId="44" fontId="46" fillId="0" borderId="1" xfId="0" applyNumberFormat="1" applyFont="1" applyBorder="1" applyAlignment="1">
      <alignment vertical="center"/>
    </xf>
    <xf numFmtId="44" fontId="41" fillId="0" borderId="1" xfId="0" applyNumberFormat="1" applyFont="1" applyBorder="1" applyAlignment="1">
      <alignment vertical="center"/>
    </xf>
    <xf numFmtId="0" fontId="68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44" fontId="41" fillId="20" borderId="1" xfId="0" applyNumberFormat="1" applyFont="1" applyFill="1" applyBorder="1" applyAlignment="1">
      <alignment vertical="center"/>
    </xf>
    <xf numFmtId="0" fontId="47" fillId="0" borderId="22" xfId="0" applyFont="1" applyBorder="1" applyAlignment="1">
      <alignment horizontal="right" vertical="center"/>
    </xf>
    <xf numFmtId="44" fontId="46" fillId="32" borderId="1" xfId="0" applyNumberFormat="1" applyFont="1" applyFill="1" applyBorder="1" applyAlignment="1">
      <alignment vertical="center"/>
    </xf>
    <xf numFmtId="0" fontId="41" fillId="32" borderId="1" xfId="0" applyFont="1" applyFill="1" applyBorder="1" applyAlignment="1">
      <alignment vertical="center"/>
    </xf>
    <xf numFmtId="44" fontId="41" fillId="32" borderId="1" xfId="0" applyNumberFormat="1" applyFont="1" applyFill="1" applyBorder="1" applyAlignment="1">
      <alignment vertical="center"/>
    </xf>
    <xf numFmtId="44" fontId="46" fillId="33" borderId="1" xfId="0" applyNumberFormat="1" applyFont="1" applyFill="1" applyBorder="1" applyAlignment="1">
      <alignment vertical="center"/>
    </xf>
    <xf numFmtId="0" fontId="41" fillId="33" borderId="1" xfId="0" applyFont="1" applyFill="1" applyBorder="1" applyAlignment="1">
      <alignment vertical="center"/>
    </xf>
    <xf numFmtId="44" fontId="41" fillId="33" borderId="1" xfId="0" applyNumberFormat="1" applyFont="1" applyFill="1" applyBorder="1" applyAlignment="1">
      <alignment vertical="center"/>
    </xf>
    <xf numFmtId="44" fontId="46" fillId="34" borderId="1" xfId="0" applyNumberFormat="1" applyFont="1" applyFill="1" applyBorder="1" applyAlignment="1">
      <alignment vertical="center"/>
    </xf>
    <xf numFmtId="44" fontId="41" fillId="34" borderId="1" xfId="0" applyNumberFormat="1" applyFont="1" applyFill="1" applyBorder="1" applyAlignment="1">
      <alignment vertical="center"/>
    </xf>
    <xf numFmtId="0" fontId="41" fillId="34" borderId="1" xfId="0" applyFont="1" applyFill="1" applyBorder="1" applyAlignment="1">
      <alignment vertical="center"/>
    </xf>
    <xf numFmtId="44" fontId="42" fillId="18" borderId="1" xfId="0" applyNumberFormat="1" applyFont="1" applyFill="1" applyBorder="1" applyAlignment="1">
      <alignment vertical="center"/>
    </xf>
    <xf numFmtId="0" fontId="43" fillId="18" borderId="1" xfId="0" applyFont="1" applyFill="1" applyBorder="1" applyAlignment="1">
      <alignment vertical="center"/>
    </xf>
    <xf numFmtId="44" fontId="45" fillId="18" borderId="1" xfId="0" applyNumberFormat="1" applyFont="1" applyFill="1" applyBorder="1" applyAlignment="1">
      <alignment vertical="center"/>
    </xf>
    <xf numFmtId="14" fontId="29" fillId="0" borderId="1" xfId="4" applyNumberFormat="1" applyFont="1" applyAlignment="1">
      <alignment horizontal="left" vertical="center"/>
    </xf>
    <xf numFmtId="0" fontId="15" fillId="0" borderId="1" xfId="4" applyAlignment="1">
      <alignment horizontal="left" vertical="center"/>
    </xf>
    <xf numFmtId="0" fontId="9" fillId="0" borderId="1" xfId="4" applyFont="1" applyAlignment="1">
      <alignment horizontal="left" vertical="center"/>
    </xf>
    <xf numFmtId="0" fontId="7" fillId="0" borderId="1" xfId="6" applyAlignment="1">
      <alignment vertical="center"/>
    </xf>
    <xf numFmtId="0" fontId="7" fillId="37" borderId="1" xfId="6" applyFill="1" applyAlignment="1">
      <alignment vertical="center"/>
    </xf>
    <xf numFmtId="0" fontId="7" fillId="35" borderId="1" xfId="6" applyFill="1" applyAlignment="1">
      <alignment vertical="center"/>
    </xf>
    <xf numFmtId="0" fontId="7" fillId="35" borderId="1" xfId="6" applyFill="1"/>
    <xf numFmtId="0" fontId="24" fillId="4" borderId="1" xfId="6" applyFont="1" applyFill="1" applyAlignment="1">
      <alignment vertical="center"/>
    </xf>
    <xf numFmtId="0" fontId="7" fillId="2" borderId="1" xfId="6" applyFill="1" applyAlignment="1">
      <alignment vertical="center"/>
    </xf>
    <xf numFmtId="0" fontId="7" fillId="0" borderId="1" xfId="6"/>
    <xf numFmtId="0" fontId="7" fillId="36" borderId="1" xfId="6" applyFill="1" applyAlignment="1">
      <alignment vertical="center"/>
    </xf>
    <xf numFmtId="0" fontId="24" fillId="28" borderId="1" xfId="6" applyFont="1" applyFill="1" applyAlignment="1">
      <alignment vertical="center"/>
    </xf>
    <xf numFmtId="0" fontId="71" fillId="0" borderId="1" xfId="6" applyFont="1" applyAlignment="1">
      <alignment horizontal="left" vertical="center"/>
    </xf>
    <xf numFmtId="0" fontId="71" fillId="0" borderId="25" xfId="6" applyFont="1" applyBorder="1" applyAlignment="1">
      <alignment horizontal="left" vertical="center"/>
    </xf>
    <xf numFmtId="0" fontId="71" fillId="0" borderId="27" xfId="6" applyFont="1" applyBorder="1" applyAlignment="1">
      <alignment horizontal="center" vertical="center"/>
    </xf>
    <xf numFmtId="0" fontId="28" fillId="0" borderId="1" xfId="4" applyFont="1" applyAlignment="1">
      <alignment vertical="center"/>
    </xf>
    <xf numFmtId="0" fontId="75" fillId="0" borderId="0" xfId="0" applyFont="1" applyAlignment="1">
      <alignment vertical="center"/>
    </xf>
    <xf numFmtId="0" fontId="75" fillId="0" borderId="1" xfId="4" applyFont="1" applyAlignment="1">
      <alignment vertical="center"/>
    </xf>
    <xf numFmtId="0" fontId="76" fillId="0" borderId="1" xfId="4" applyFont="1" applyAlignment="1">
      <alignment vertical="center"/>
    </xf>
    <xf numFmtId="0" fontId="76" fillId="0" borderId="0" xfId="0" applyFont="1" applyAlignment="1">
      <alignment vertical="center"/>
    </xf>
    <xf numFmtId="14" fontId="29" fillId="0" borderId="1" xfId="4" applyNumberFormat="1" applyFont="1" applyAlignment="1">
      <alignment vertical="center"/>
    </xf>
    <xf numFmtId="0" fontId="77" fillId="0" borderId="1" xfId="6" applyFont="1" applyAlignment="1">
      <alignment horizontal="center" vertical="center"/>
    </xf>
    <xf numFmtId="0" fontId="40" fillId="28" borderId="1" xfId="6" applyFont="1" applyFill="1" applyAlignment="1">
      <alignment vertical="center"/>
    </xf>
    <xf numFmtId="0" fontId="40" fillId="28" borderId="1" xfId="6" applyFont="1" applyFill="1" applyAlignment="1">
      <alignment horizontal="center" vertical="center"/>
    </xf>
    <xf numFmtId="0" fontId="72" fillId="2" borderId="1" xfId="6" applyFont="1" applyFill="1" applyAlignment="1">
      <alignment vertical="center"/>
    </xf>
    <xf numFmtId="0" fontId="72" fillId="0" borderId="1" xfId="6" applyFont="1"/>
    <xf numFmtId="0" fontId="72" fillId="36" borderId="1" xfId="6" applyFont="1" applyFill="1" applyAlignment="1">
      <alignment vertical="center"/>
    </xf>
    <xf numFmtId="0" fontId="72" fillId="0" borderId="1" xfId="6" applyFont="1" applyAlignment="1">
      <alignment vertical="center"/>
    </xf>
    <xf numFmtId="0" fontId="40" fillId="4" borderId="1" xfId="6" applyFont="1" applyFill="1" applyAlignment="1">
      <alignment vertical="center"/>
    </xf>
    <xf numFmtId="0" fontId="72" fillId="35" borderId="1" xfId="6" applyFont="1" applyFill="1" applyAlignment="1">
      <alignment vertical="center"/>
    </xf>
    <xf numFmtId="0" fontId="72" fillId="37" borderId="1" xfId="6" applyFont="1" applyFill="1" applyAlignment="1">
      <alignment vertical="center"/>
    </xf>
    <xf numFmtId="0" fontId="72" fillId="35" borderId="1" xfId="6" applyFont="1" applyFill="1"/>
    <xf numFmtId="0" fontId="71" fillId="2" borderId="1" xfId="6" applyFont="1" applyFill="1" applyAlignment="1">
      <alignment vertical="center"/>
    </xf>
    <xf numFmtId="0" fontId="71" fillId="35" borderId="1" xfId="6" applyFont="1" applyFill="1" applyAlignment="1">
      <alignment vertical="center"/>
    </xf>
    <xf numFmtId="0" fontId="6" fillId="37" borderId="1" xfId="6" applyFont="1" applyFill="1" applyAlignment="1">
      <alignment vertical="center"/>
    </xf>
    <xf numFmtId="0" fontId="6" fillId="35" borderId="1" xfId="6" applyFont="1" applyFill="1"/>
    <xf numFmtId="0" fontId="5" fillId="37" borderId="1" xfId="6" applyFont="1" applyFill="1" applyAlignment="1">
      <alignment vertical="center"/>
    </xf>
    <xf numFmtId="0" fontId="4" fillId="37" borderId="1" xfId="6" applyFont="1" applyFill="1" applyAlignment="1">
      <alignment vertical="center"/>
    </xf>
    <xf numFmtId="0" fontId="3" fillId="36" borderId="1" xfId="6" applyFont="1" applyFill="1" applyAlignment="1">
      <alignment vertical="center"/>
    </xf>
    <xf numFmtId="44" fontId="15" fillId="0" borderId="1" xfId="4" applyNumberFormat="1" applyAlignment="1">
      <alignment vertical="center"/>
    </xf>
    <xf numFmtId="0" fontId="42" fillId="0" borderId="1" xfId="0" applyFont="1" applyBorder="1" applyAlignment="1">
      <alignment horizontal="right" vertical="center"/>
    </xf>
    <xf numFmtId="43" fontId="38" fillId="26" borderId="0" xfId="5" applyFont="1" applyFill="1" applyAlignment="1">
      <alignment vertical="center"/>
    </xf>
    <xf numFmtId="43" fontId="38" fillId="26" borderId="0" xfId="0" applyNumberFormat="1" applyFont="1" applyFill="1" applyAlignment="1">
      <alignment vertical="center"/>
    </xf>
    <xf numFmtId="44" fontId="0" fillId="0" borderId="0" xfId="0" applyNumberFormat="1" applyAlignment="1">
      <alignment vertical="center"/>
    </xf>
    <xf numFmtId="0" fontId="0" fillId="16" borderId="0" xfId="0" applyFill="1" applyAlignment="1">
      <alignment vertical="center"/>
    </xf>
    <xf numFmtId="0" fontId="0" fillId="16" borderId="0" xfId="0" applyFill="1"/>
    <xf numFmtId="44" fontId="79" fillId="0" borderId="1" xfId="0" applyNumberFormat="1" applyFont="1" applyBorder="1" applyAlignment="1">
      <alignment vertical="center"/>
    </xf>
    <xf numFmtId="0" fontId="9" fillId="30" borderId="6" xfId="0" applyFont="1" applyFill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9" fillId="0" borderId="0" xfId="0" pivotButton="1" applyFont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80" fillId="26" borderId="0" xfId="0" applyFont="1" applyFill="1" applyAlignment="1">
      <alignment vertical="center"/>
    </xf>
    <xf numFmtId="0" fontId="81" fillId="26" borderId="0" xfId="0" applyFont="1" applyFill="1" applyAlignment="1">
      <alignment vertical="center"/>
    </xf>
    <xf numFmtId="0" fontId="82" fillId="26" borderId="0" xfId="0" applyFont="1" applyFill="1" applyAlignment="1">
      <alignment vertical="center"/>
    </xf>
    <xf numFmtId="0" fontId="2" fillId="37" borderId="1" xfId="6" applyFont="1" applyFill="1" applyAlignment="1">
      <alignment vertical="center"/>
    </xf>
    <xf numFmtId="0" fontId="87" fillId="40" borderId="29" xfId="7" applyFont="1" applyFill="1" applyBorder="1" applyAlignment="1">
      <alignment horizontal="center" vertical="center" wrapText="1"/>
    </xf>
    <xf numFmtId="0" fontId="88" fillId="0" borderId="1" xfId="7" applyFont="1" applyAlignment="1">
      <alignment horizontal="center" vertical="center"/>
    </xf>
    <xf numFmtId="0" fontId="14" fillId="41" borderId="4" xfId="4" applyFont="1" applyFill="1" applyBorder="1" applyAlignment="1" applyProtection="1">
      <alignment horizontal="center" vertical="center"/>
      <protection locked="0"/>
    </xf>
    <xf numFmtId="0" fontId="14" fillId="28" borderId="4" xfId="4" applyFont="1" applyFill="1" applyBorder="1" applyAlignment="1" applyProtection="1">
      <alignment horizontal="center" vertical="center"/>
      <protection locked="0"/>
    </xf>
    <xf numFmtId="0" fontId="14" fillId="28" borderId="1" xfId="4" applyFont="1" applyFill="1" applyAlignment="1" applyProtection="1">
      <alignment horizontal="center" vertical="center"/>
      <protection locked="0"/>
    </xf>
    <xf numFmtId="0" fontId="14" fillId="7" borderId="0" xfId="0" applyFont="1" applyFill="1" applyAlignment="1">
      <alignment horizontal="center" vertical="center"/>
    </xf>
    <xf numFmtId="0" fontId="14" fillId="29" borderId="0" xfId="0" applyFont="1" applyFill="1" applyAlignment="1">
      <alignment horizontal="center" vertical="center"/>
    </xf>
    <xf numFmtId="0" fontId="8" fillId="27" borderId="0" xfId="0" applyFont="1" applyFill="1" applyAlignment="1">
      <alignment horizontal="center" vertical="center"/>
    </xf>
    <xf numFmtId="0" fontId="9" fillId="36" borderId="0" xfId="0" applyFont="1" applyFill="1" applyAlignment="1">
      <alignment horizontal="left" vertical="center"/>
    </xf>
    <xf numFmtId="44" fontId="9" fillId="36" borderId="0" xfId="0" applyNumberFormat="1" applyFont="1" applyFill="1" applyAlignment="1">
      <alignment vertical="center"/>
    </xf>
    <xf numFmtId="43" fontId="9" fillId="0" borderId="0" xfId="5" applyFont="1" applyAlignment="1">
      <alignment vertical="center"/>
    </xf>
    <xf numFmtId="0" fontId="9" fillId="0" borderId="1" xfId="4" quotePrefix="1" applyFont="1" applyAlignment="1">
      <alignment vertical="center"/>
    </xf>
    <xf numFmtId="0" fontId="40" fillId="0" borderId="0" xfId="0" applyFont="1" applyAlignment="1">
      <alignment vertical="center"/>
    </xf>
    <xf numFmtId="44" fontId="36" fillId="42" borderId="0" xfId="0" applyNumberFormat="1" applyFont="1" applyFill="1" applyAlignment="1">
      <alignment vertical="center"/>
    </xf>
    <xf numFmtId="44" fontId="36" fillId="0" borderId="0" xfId="0" applyNumberFormat="1" applyFont="1" applyAlignment="1">
      <alignment vertical="center"/>
    </xf>
    <xf numFmtId="0" fontId="10" fillId="0" borderId="38" xfId="0" applyFont="1" applyBorder="1" applyAlignment="1">
      <alignment vertical="center"/>
    </xf>
    <xf numFmtId="0" fontId="0" fillId="0" borderId="38" xfId="0" applyBorder="1" applyAlignment="1">
      <alignment vertical="center"/>
    </xf>
    <xf numFmtId="44" fontId="90" fillId="0" borderId="0" xfId="0" applyNumberFormat="1" applyFont="1" applyAlignment="1">
      <alignment horizontal="center" vertical="center"/>
    </xf>
    <xf numFmtId="0" fontId="10" fillId="36" borderId="38" xfId="0" applyFont="1" applyFill="1" applyBorder="1" applyAlignment="1">
      <alignment vertical="center"/>
    </xf>
    <xf numFmtId="0" fontId="0" fillId="36" borderId="38" xfId="0" applyFill="1" applyBorder="1" applyAlignment="1">
      <alignment vertical="center"/>
    </xf>
    <xf numFmtId="0" fontId="10" fillId="37" borderId="39" xfId="0" applyFont="1" applyFill="1" applyBorder="1" applyAlignment="1">
      <alignment vertical="center"/>
    </xf>
    <xf numFmtId="0" fontId="0" fillId="37" borderId="39" xfId="0" applyFill="1" applyBorder="1" applyAlignment="1">
      <alignment vertical="center"/>
    </xf>
    <xf numFmtId="44" fontId="0" fillId="37" borderId="0" xfId="0" applyNumberFormat="1" applyFill="1" applyAlignment="1">
      <alignment vertical="center"/>
    </xf>
    <xf numFmtId="44" fontId="0" fillId="36" borderId="0" xfId="0" applyNumberFormat="1" applyFill="1" applyAlignment="1">
      <alignment vertical="center"/>
    </xf>
    <xf numFmtId="0" fontId="10" fillId="11" borderId="38" xfId="0" applyFont="1" applyFill="1" applyBorder="1" applyAlignment="1">
      <alignment vertical="center"/>
    </xf>
    <xf numFmtId="44" fontId="0" fillId="11" borderId="0" xfId="0" applyNumberFormat="1" applyFill="1" applyAlignment="1">
      <alignment vertical="center"/>
    </xf>
    <xf numFmtId="0" fontId="10" fillId="20" borderId="38" xfId="0" applyFont="1" applyFill="1" applyBorder="1" applyAlignment="1">
      <alignment vertical="center"/>
    </xf>
    <xf numFmtId="44" fontId="0" fillId="20" borderId="0" xfId="0" applyNumberFormat="1" applyFill="1" applyAlignment="1">
      <alignment vertical="center"/>
    </xf>
    <xf numFmtId="44" fontId="40" fillId="12" borderId="0" xfId="0" applyNumberFormat="1" applyFont="1" applyFill="1" applyAlignment="1">
      <alignment vertical="center"/>
    </xf>
    <xf numFmtId="44" fontId="40" fillId="38" borderId="0" xfId="0" applyNumberFormat="1" applyFont="1" applyFill="1" applyAlignment="1">
      <alignment vertical="center"/>
    </xf>
    <xf numFmtId="44" fontId="40" fillId="17" borderId="0" xfId="0" applyNumberFormat="1" applyFont="1" applyFill="1" applyAlignment="1">
      <alignment vertical="center"/>
    </xf>
    <xf numFmtId="165" fontId="14" fillId="21" borderId="2" xfId="9" applyNumberFormat="1" applyFont="1" applyFill="1" applyBorder="1" applyAlignment="1">
      <alignment horizontal="center" vertical="center"/>
    </xf>
    <xf numFmtId="44" fontId="8" fillId="0" borderId="2" xfId="9" applyNumberFormat="1" applyFont="1" applyBorder="1" applyAlignment="1">
      <alignment vertical="center"/>
    </xf>
    <xf numFmtId="44" fontId="8" fillId="0" borderId="1" xfId="9" applyNumberFormat="1" applyFont="1" applyAlignment="1">
      <alignment vertical="center"/>
    </xf>
    <xf numFmtId="44" fontId="40" fillId="0" borderId="0" xfId="0" applyNumberFormat="1" applyFont="1" applyAlignment="1">
      <alignment vertical="center"/>
    </xf>
    <xf numFmtId="0" fontId="85" fillId="0" borderId="1" xfId="7" applyFont="1" applyAlignment="1">
      <alignment horizontal="center" vertical="center"/>
    </xf>
    <xf numFmtId="0" fontId="94" fillId="16" borderId="1" xfId="7" applyFont="1" applyFill="1" applyAlignment="1">
      <alignment horizontal="left" vertical="center" wrapText="1"/>
    </xf>
    <xf numFmtId="0" fontId="85" fillId="16" borderId="1" xfId="7" applyFont="1" applyFill="1" applyAlignment="1">
      <alignment horizontal="left" vertical="center" wrapText="1"/>
    </xf>
    <xf numFmtId="44" fontId="85" fillId="0" borderId="1" xfId="7" applyNumberFormat="1" applyFont="1" applyAlignment="1">
      <alignment horizontal="center" vertical="center"/>
    </xf>
    <xf numFmtId="44" fontId="92" fillId="0" borderId="1" xfId="7" applyNumberFormat="1" applyFont="1" applyAlignment="1">
      <alignment horizontal="center" vertical="center"/>
    </xf>
    <xf numFmtId="44" fontId="86" fillId="0" borderId="36" xfId="7" applyNumberFormat="1" applyFont="1" applyBorder="1" applyAlignment="1">
      <alignment horizontal="center" vertical="center" wrapText="1"/>
    </xf>
    <xf numFmtId="44" fontId="86" fillId="0" borderId="37" xfId="7" applyNumberFormat="1" applyFont="1" applyBorder="1" applyAlignment="1">
      <alignment horizontal="center" vertical="center" wrapText="1"/>
    </xf>
    <xf numFmtId="0" fontId="85" fillId="0" borderId="1" xfId="7" applyFont="1" applyAlignment="1">
      <alignment horizontal="left" vertical="center"/>
    </xf>
    <xf numFmtId="0" fontId="85" fillId="0" borderId="1" xfId="3" applyFont="1" applyAlignment="1">
      <alignment horizontal="left" vertical="center"/>
    </xf>
    <xf numFmtId="44" fontId="85" fillId="0" borderId="1" xfId="2" applyNumberFormat="1" applyFont="1" applyFill="1" applyBorder="1" applyAlignment="1">
      <alignment horizontal="center" vertical="center"/>
    </xf>
    <xf numFmtId="43" fontId="0" fillId="0" borderId="0" xfId="0" applyNumberFormat="1"/>
    <xf numFmtId="0" fontId="0" fillId="0" borderId="27" xfId="0" quotePrefix="1" applyBorder="1" applyAlignment="1">
      <alignment horizontal="center" vertical="center"/>
    </xf>
    <xf numFmtId="14" fontId="0" fillId="0" borderId="27" xfId="0" quotePrefix="1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4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44" fontId="0" fillId="0" borderId="27" xfId="0" applyNumberFormat="1" applyBorder="1" applyAlignment="1">
      <alignment horizontal="center" vertical="center"/>
    </xf>
    <xf numFmtId="0" fontId="0" fillId="0" borderId="27" xfId="0" quotePrefix="1" applyBorder="1" applyAlignment="1">
      <alignment horizontal="center"/>
    </xf>
    <xf numFmtId="44" fontId="0" fillId="0" borderId="27" xfId="0" applyNumberFormat="1" applyBorder="1" applyAlignment="1">
      <alignment horizontal="center"/>
    </xf>
    <xf numFmtId="14" fontId="0" fillId="0" borderId="27" xfId="0" applyNumberFormat="1" applyBorder="1" applyAlignment="1">
      <alignment horizontal="center" vertical="center"/>
    </xf>
    <xf numFmtId="14" fontId="10" fillId="0" borderId="27" xfId="0" applyNumberFormat="1" applyFont="1" applyBorder="1" applyAlignment="1">
      <alignment horizontal="center"/>
    </xf>
    <xf numFmtId="0" fontId="96" fillId="0" borderId="1" xfId="0" applyFont="1" applyBorder="1" applyAlignment="1">
      <alignment vertical="center"/>
    </xf>
    <xf numFmtId="0" fontId="96" fillId="0" borderId="0" xfId="0" applyFont="1" applyAlignment="1">
      <alignment vertical="center"/>
    </xf>
    <xf numFmtId="0" fontId="10" fillId="0" borderId="42" xfId="0" applyFont="1" applyBorder="1" applyAlignment="1">
      <alignment vertical="center"/>
    </xf>
    <xf numFmtId="0" fontId="0" fillId="0" borderId="42" xfId="0" applyBorder="1" applyAlignment="1">
      <alignment vertical="center"/>
    </xf>
    <xf numFmtId="0" fontId="10" fillId="0" borderId="43" xfId="0" applyFont="1" applyBorder="1" applyAlignment="1">
      <alignment vertical="center"/>
    </xf>
    <xf numFmtId="0" fontId="0" fillId="0" borderId="43" xfId="0" applyBorder="1" applyAlignment="1">
      <alignment vertical="center"/>
    </xf>
    <xf numFmtId="0" fontId="45" fillId="0" borderId="0" xfId="0" applyFont="1" applyAlignment="1">
      <alignment vertical="center"/>
    </xf>
    <xf numFmtId="44" fontId="30" fillId="0" borderId="2" xfId="4" applyNumberFormat="1" applyFont="1" applyBorder="1" applyAlignment="1">
      <alignment vertical="center"/>
    </xf>
    <xf numFmtId="43" fontId="9" fillId="0" borderId="1" xfId="5" applyFont="1" applyFill="1" applyBorder="1" applyAlignment="1">
      <alignment vertical="center"/>
    </xf>
    <xf numFmtId="44" fontId="40" fillId="43" borderId="0" xfId="0" applyNumberFormat="1" applyFont="1" applyFill="1" applyAlignment="1">
      <alignment vertical="center"/>
    </xf>
    <xf numFmtId="0" fontId="76" fillId="0" borderId="1" xfId="9" applyFont="1" applyAlignment="1">
      <alignment vertical="center"/>
    </xf>
    <xf numFmtId="14" fontId="43" fillId="0" borderId="27" xfId="0" applyNumberFormat="1" applyFont="1" applyBorder="1" applyAlignment="1">
      <alignment horizontal="center"/>
    </xf>
    <xf numFmtId="0" fontId="43" fillId="0" borderId="27" xfId="0" quotePrefix="1" applyFont="1" applyBorder="1" applyAlignment="1">
      <alignment horizontal="center" vertical="center"/>
    </xf>
    <xf numFmtId="14" fontId="43" fillId="0" borderId="27" xfId="0" applyNumberFormat="1" applyFont="1" applyBorder="1" applyAlignment="1">
      <alignment horizontal="center" vertical="center"/>
    </xf>
    <xf numFmtId="0" fontId="43" fillId="0" borderId="27" xfId="0" applyFont="1" applyBorder="1" applyAlignment="1">
      <alignment horizontal="center" vertical="center"/>
    </xf>
    <xf numFmtId="44" fontId="43" fillId="0" borderId="27" xfId="0" applyNumberFormat="1" applyFont="1" applyBorder="1" applyAlignment="1">
      <alignment horizontal="center" vertical="center"/>
    </xf>
    <xf numFmtId="14" fontId="97" fillId="0" borderId="1" xfId="7" applyNumberFormat="1" applyFont="1" applyAlignment="1">
      <alignment horizontal="center" vertical="center"/>
    </xf>
    <xf numFmtId="0" fontId="97" fillId="0" borderId="1" xfId="7" applyFont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87" fillId="40" borderId="45" xfId="7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/>
    </xf>
    <xf numFmtId="0" fontId="10" fillId="31" borderId="27" xfId="0" applyFont="1" applyFill="1" applyBorder="1" applyAlignment="1">
      <alignment horizontal="center"/>
    </xf>
    <xf numFmtId="0" fontId="9" fillId="0" borderId="1" xfId="9" applyFont="1" applyAlignment="1">
      <alignment vertical="center"/>
    </xf>
    <xf numFmtId="0" fontId="8" fillId="0" borderId="2" xfId="9" applyFont="1" applyBorder="1" applyAlignment="1">
      <alignment horizontal="center" vertical="center"/>
    </xf>
    <xf numFmtId="0" fontId="8" fillId="0" borderId="2" xfId="9" quotePrefix="1" applyFont="1" applyBorder="1" applyAlignment="1">
      <alignment horizontal="center" vertical="center"/>
    </xf>
    <xf numFmtId="0" fontId="10" fillId="0" borderId="27" xfId="0" quotePrefix="1" applyFont="1" applyBorder="1" applyAlignment="1">
      <alignment horizontal="center" vertical="center"/>
    </xf>
    <xf numFmtId="0" fontId="0" fillId="0" borderId="0" xfId="0" quotePrefix="1"/>
    <xf numFmtId="0" fontId="89" fillId="0" borderId="0" xfId="0" quotePrefix="1" applyFont="1" applyAlignment="1">
      <alignment horizontal="center" vertical="center"/>
    </xf>
    <xf numFmtId="44" fontId="85" fillId="0" borderId="1" xfId="7" applyNumberFormat="1" applyFont="1" applyAlignment="1">
      <alignment vertical="center"/>
    </xf>
    <xf numFmtId="44" fontId="87" fillId="40" borderId="29" xfId="7" applyNumberFormat="1" applyFont="1" applyFill="1" applyBorder="1" applyAlignment="1">
      <alignment vertical="center" wrapText="1"/>
    </xf>
    <xf numFmtId="44" fontId="0" fillId="0" borderId="27" xfId="10" applyFont="1" applyBorder="1" applyAlignment="1"/>
    <xf numFmtId="44" fontId="0" fillId="0" borderId="27" xfId="10" applyFont="1" applyFill="1" applyBorder="1" applyAlignment="1"/>
    <xf numFmtId="44" fontId="43" fillId="0" borderId="27" xfId="10" applyFont="1" applyFill="1" applyBorder="1" applyAlignment="1"/>
    <xf numFmtId="0" fontId="10" fillId="0" borderId="1" xfId="9"/>
    <xf numFmtId="44" fontId="98" fillId="0" borderId="1" xfId="0" applyNumberFormat="1" applyFont="1" applyBorder="1" applyAlignment="1">
      <alignment vertical="center"/>
    </xf>
    <xf numFmtId="0" fontId="10" fillId="0" borderId="27" xfId="0" quotePrefix="1" applyFont="1" applyBorder="1" applyAlignment="1">
      <alignment horizontal="center"/>
    </xf>
    <xf numFmtId="44" fontId="93" fillId="30" borderId="35" xfId="7" applyNumberFormat="1" applyFont="1" applyFill="1" applyBorder="1" applyAlignment="1">
      <alignment horizontal="center" vertical="center" wrapText="1"/>
    </xf>
    <xf numFmtId="44" fontId="99" fillId="26" borderId="0" xfId="0" applyNumberFormat="1" applyFont="1" applyFill="1" applyAlignment="1">
      <alignment vertical="center"/>
    </xf>
    <xf numFmtId="0" fontId="41" fillId="0" borderId="0" xfId="0" applyFont="1" applyAlignment="1">
      <alignment vertical="center"/>
    </xf>
    <xf numFmtId="44" fontId="41" fillId="36" borderId="0" xfId="0" applyNumberFormat="1" applyFont="1" applyFill="1" applyAlignment="1">
      <alignment vertical="center"/>
    </xf>
    <xf numFmtId="0" fontId="41" fillId="36" borderId="0" xfId="0" applyFont="1" applyFill="1" applyAlignment="1">
      <alignment horizontal="left" vertical="center"/>
    </xf>
    <xf numFmtId="0" fontId="101" fillId="0" borderId="38" xfId="0" applyFont="1" applyBorder="1" applyAlignment="1">
      <alignment vertical="center"/>
    </xf>
    <xf numFmtId="44" fontId="36" fillId="0" borderId="38" xfId="0" applyNumberFormat="1" applyFont="1" applyBorder="1" applyAlignment="1">
      <alignment vertical="center"/>
    </xf>
    <xf numFmtId="44" fontId="45" fillId="0" borderId="47" xfId="0" applyNumberFormat="1" applyFont="1" applyBorder="1" applyAlignment="1">
      <alignment vertical="center"/>
    </xf>
    <xf numFmtId="44" fontId="45" fillId="0" borderId="0" xfId="0" applyNumberFormat="1" applyFont="1" applyAlignment="1">
      <alignment vertical="center"/>
    </xf>
    <xf numFmtId="0" fontId="10" fillId="0" borderId="27" xfId="0" applyFont="1" applyBorder="1" applyAlignment="1">
      <alignment horizontal="center" vertical="center"/>
    </xf>
    <xf numFmtId="44" fontId="86" fillId="0" borderId="48" xfId="7" applyNumberFormat="1" applyFont="1" applyBorder="1" applyAlignment="1">
      <alignment horizontal="center" vertical="center" wrapText="1"/>
    </xf>
    <xf numFmtId="0" fontId="19" fillId="0" borderId="2" xfId="9" applyFont="1" applyBorder="1" applyAlignment="1">
      <alignment horizontal="center" vertical="center"/>
    </xf>
    <xf numFmtId="0" fontId="51" fillId="0" borderId="2" xfId="9" applyFont="1" applyBorder="1" applyAlignment="1">
      <alignment horizontal="center" vertical="center"/>
    </xf>
    <xf numFmtId="43" fontId="10" fillId="0" borderId="0" xfId="5" applyFont="1"/>
    <xf numFmtId="0" fontId="8" fillId="0" borderId="2" xfId="0" applyFont="1" applyBorder="1" applyAlignment="1">
      <alignment vertical="center"/>
    </xf>
    <xf numFmtId="0" fontId="8" fillId="0" borderId="2" xfId="4" applyFont="1" applyBorder="1" applyAlignment="1">
      <alignment vertical="center" wrapText="1"/>
    </xf>
    <xf numFmtId="0" fontId="19" fillId="0" borderId="2" xfId="4" applyFont="1" applyBorder="1" applyAlignment="1">
      <alignment horizontal="center" vertical="center"/>
    </xf>
    <xf numFmtId="3" fontId="19" fillId="0" borderId="2" xfId="0" quotePrefix="1" applyNumberFormat="1" applyFont="1" applyBorder="1" applyAlignment="1">
      <alignment horizontal="center" vertical="center"/>
    </xf>
    <xf numFmtId="0" fontId="8" fillId="0" borderId="4" xfId="4" applyFont="1" applyBorder="1" applyAlignment="1" applyProtection="1">
      <alignment horizontal="center" vertical="center"/>
      <protection locked="0"/>
    </xf>
    <xf numFmtId="0" fontId="51" fillId="0" borderId="2" xfId="4" applyFont="1" applyBorder="1" applyAlignment="1">
      <alignment horizontal="center" vertical="center"/>
    </xf>
    <xf numFmtId="44" fontId="19" fillId="0" borderId="2" xfId="4" applyNumberFormat="1" applyFont="1" applyBorder="1" applyAlignment="1">
      <alignment vertical="center"/>
    </xf>
    <xf numFmtId="165" fontId="8" fillId="0" borderId="2" xfId="9" applyNumberFormat="1" applyFont="1" applyBorder="1" applyAlignment="1">
      <alignment horizontal="center" vertical="center"/>
    </xf>
    <xf numFmtId="164" fontId="8" fillId="0" borderId="2" xfId="9" applyNumberFormat="1" applyFont="1" applyBorder="1" applyAlignment="1">
      <alignment horizontal="center" vertical="center"/>
    </xf>
    <xf numFmtId="0" fontId="8" fillId="0" borderId="2" xfId="9" applyFont="1" applyBorder="1" applyAlignment="1">
      <alignment vertical="center"/>
    </xf>
    <xf numFmtId="0" fontId="8" fillId="0" borderId="2" xfId="9" applyFont="1" applyBorder="1" applyAlignment="1">
      <alignment horizontal="left" vertical="center"/>
    </xf>
    <xf numFmtId="0" fontId="9" fillId="0" borderId="3" xfId="9" applyFont="1" applyBorder="1" applyAlignment="1">
      <alignment horizontal="center" vertical="center"/>
    </xf>
    <xf numFmtId="0" fontId="14" fillId="0" borderId="4" xfId="9" applyFont="1" applyBorder="1" applyAlignment="1" applyProtection="1">
      <alignment horizontal="center" vertical="center"/>
      <protection locked="0"/>
    </xf>
    <xf numFmtId="165" fontId="19" fillId="0" borderId="2" xfId="4" applyNumberFormat="1" applyFont="1" applyBorder="1" applyAlignment="1">
      <alignment horizontal="center" vertical="center"/>
    </xf>
    <xf numFmtId="0" fontId="51" fillId="0" borderId="2" xfId="4" quotePrefix="1" applyFont="1" applyBorder="1" applyAlignment="1">
      <alignment horizontal="center" vertical="center"/>
    </xf>
    <xf numFmtId="16" fontId="8" fillId="0" borderId="2" xfId="9" quotePrefix="1" applyNumberFormat="1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8" fillId="0" borderId="4" xfId="9" applyFont="1" applyBorder="1" applyAlignment="1" applyProtection="1">
      <alignment horizontal="center" vertical="center"/>
      <protection locked="0"/>
    </xf>
    <xf numFmtId="16" fontId="8" fillId="0" borderId="2" xfId="0" quotePrefix="1" applyNumberFormat="1" applyFont="1" applyBorder="1" applyAlignment="1">
      <alignment horizontal="center" vertical="center" wrapText="1"/>
    </xf>
    <xf numFmtId="0" fontId="19" fillId="0" borderId="4" xfId="9" applyFont="1" applyBorder="1" applyAlignment="1" applyProtection="1">
      <alignment horizontal="center" vertical="center"/>
      <protection locked="0"/>
    </xf>
    <xf numFmtId="17" fontId="8" fillId="0" borderId="2" xfId="9" quotePrefix="1" applyNumberFormat="1" applyFont="1" applyBorder="1" applyAlignment="1">
      <alignment horizontal="center" vertical="center"/>
    </xf>
    <xf numFmtId="44" fontId="19" fillId="0" borderId="2" xfId="9" applyNumberFormat="1" applyFont="1" applyBorder="1" applyAlignment="1">
      <alignment vertical="center"/>
    </xf>
    <xf numFmtId="0" fontId="51" fillId="0" borderId="2" xfId="9" quotePrefix="1" applyFont="1" applyBorder="1" applyAlignment="1">
      <alignment horizontal="center" vertical="center"/>
    </xf>
    <xf numFmtId="3" fontId="51" fillId="16" borderId="2" xfId="0" quotePrefix="1" applyNumberFormat="1" applyFont="1" applyFill="1" applyBorder="1" applyAlignment="1">
      <alignment horizontal="center" vertical="center"/>
    </xf>
    <xf numFmtId="0" fontId="19" fillId="0" borderId="2" xfId="0" quotePrefix="1" applyFont="1" applyBorder="1" applyAlignment="1">
      <alignment horizontal="center" vertical="center"/>
    </xf>
    <xf numFmtId="0" fontId="38" fillId="26" borderId="0" xfId="0" applyFont="1" applyFill="1" applyAlignment="1">
      <alignment vertical="center"/>
    </xf>
    <xf numFmtId="44" fontId="12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44" fontId="9" fillId="10" borderId="0" xfId="0" applyNumberFormat="1" applyFont="1" applyFill="1" applyAlignment="1">
      <alignment vertical="center"/>
    </xf>
    <xf numFmtId="44" fontId="12" fillId="10" borderId="0" xfId="0" applyNumberFormat="1" applyFont="1" applyFill="1" applyAlignment="1">
      <alignment vertical="center"/>
    </xf>
    <xf numFmtId="0" fontId="9" fillId="0" borderId="0" xfId="0" quotePrefix="1" applyFont="1" applyAlignment="1">
      <alignment vertical="center"/>
    </xf>
    <xf numFmtId="43" fontId="85" fillId="0" borderId="1" xfId="2" applyFont="1" applyBorder="1" applyAlignment="1">
      <alignment horizontal="center" vertical="center"/>
    </xf>
    <xf numFmtId="3" fontId="19" fillId="16" borderId="2" xfId="0" quotePrefix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8" fillId="16" borderId="5" xfId="0" applyFont="1" applyFill="1" applyBorder="1" applyAlignment="1">
      <alignment horizontal="left" vertical="center"/>
    </xf>
    <xf numFmtId="0" fontId="104" fillId="50" borderId="5" xfId="0" applyFont="1" applyFill="1" applyBorder="1" applyAlignment="1">
      <alignment horizontal="left" vertical="center"/>
    </xf>
    <xf numFmtId="44" fontId="11" fillId="50" borderId="5" xfId="0" applyNumberFormat="1" applyFont="1" applyFill="1" applyBorder="1" applyAlignment="1">
      <alignment vertical="center"/>
    </xf>
    <xf numFmtId="0" fontId="104" fillId="2" borderId="5" xfId="0" applyFont="1" applyFill="1" applyBorder="1" applyAlignment="1">
      <alignment horizontal="left" vertical="center"/>
    </xf>
    <xf numFmtId="44" fontId="11" fillId="2" borderId="5" xfId="0" applyNumberFormat="1" applyFont="1" applyFill="1" applyBorder="1" applyAlignment="1">
      <alignment vertical="center"/>
    </xf>
    <xf numFmtId="0" fontId="104" fillId="22" borderId="5" xfId="0" applyFont="1" applyFill="1" applyBorder="1" applyAlignment="1">
      <alignment horizontal="left" vertical="center"/>
    </xf>
    <xf numFmtId="44" fontId="11" fillId="22" borderId="5" xfId="0" applyNumberFormat="1" applyFont="1" applyFill="1" applyBorder="1" applyAlignment="1">
      <alignment vertical="center"/>
    </xf>
    <xf numFmtId="0" fontId="104" fillId="23" borderId="5" xfId="0" applyFont="1" applyFill="1" applyBorder="1" applyAlignment="1">
      <alignment horizontal="left" vertical="center"/>
    </xf>
    <xf numFmtId="44" fontId="11" fillId="23" borderId="5" xfId="0" applyNumberFormat="1" applyFont="1" applyFill="1" applyBorder="1" applyAlignment="1">
      <alignment vertical="center"/>
    </xf>
    <xf numFmtId="0" fontId="11" fillId="51" borderId="0" xfId="0" applyFont="1" applyFill="1" applyAlignment="1">
      <alignment horizontal="left" vertical="center"/>
    </xf>
    <xf numFmtId="44" fontId="11" fillId="51" borderId="0" xfId="0" applyNumberFormat="1" applyFont="1" applyFill="1" applyAlignment="1">
      <alignment vertical="center"/>
    </xf>
    <xf numFmtId="0" fontId="11" fillId="52" borderId="0" xfId="0" applyFont="1" applyFill="1" applyAlignment="1">
      <alignment horizontal="left" vertical="center"/>
    </xf>
    <xf numFmtId="44" fontId="11" fillId="52" borderId="0" xfId="0" applyNumberFormat="1" applyFont="1" applyFill="1" applyAlignment="1">
      <alignment vertical="center"/>
    </xf>
    <xf numFmtId="0" fontId="11" fillId="53" borderId="0" xfId="0" applyFont="1" applyFill="1" applyAlignment="1">
      <alignment horizontal="left" vertical="center"/>
    </xf>
    <xf numFmtId="44" fontId="11" fillId="53" borderId="0" xfId="0" applyNumberFormat="1" applyFont="1" applyFill="1" applyAlignment="1">
      <alignment vertical="center"/>
    </xf>
    <xf numFmtId="0" fontId="11" fillId="54" borderId="0" xfId="0" applyFont="1" applyFill="1" applyAlignment="1">
      <alignment horizontal="left" vertical="center"/>
    </xf>
    <xf numFmtId="44" fontId="11" fillId="54" borderId="0" xfId="0" applyNumberFormat="1" applyFont="1" applyFill="1" applyAlignment="1">
      <alignment vertical="center"/>
    </xf>
    <xf numFmtId="0" fontId="10" fillId="0" borderId="1" xfId="3" applyAlignment="1">
      <alignment vertical="center"/>
    </xf>
    <xf numFmtId="9" fontId="36" fillId="0" borderId="1" xfId="11" applyFont="1" applyAlignment="1">
      <alignment horizontal="left" vertical="center"/>
    </xf>
    <xf numFmtId="0" fontId="41" fillId="36" borderId="1" xfId="3" applyFont="1" applyFill="1" applyAlignment="1">
      <alignment vertical="center"/>
    </xf>
    <xf numFmtId="44" fontId="41" fillId="36" borderId="1" xfId="3" applyNumberFormat="1" applyFont="1" applyFill="1" applyAlignment="1">
      <alignment vertical="center"/>
    </xf>
    <xf numFmtId="0" fontId="41" fillId="0" borderId="1" xfId="3" applyFont="1" applyAlignment="1">
      <alignment vertical="center"/>
    </xf>
    <xf numFmtId="0" fontId="46" fillId="46" borderId="1" xfId="3" applyFont="1" applyFill="1" applyAlignment="1">
      <alignment horizontal="right" vertical="center"/>
    </xf>
    <xf numFmtId="44" fontId="36" fillId="46" borderId="1" xfId="3" applyNumberFormat="1" applyFont="1" applyFill="1" applyAlignment="1">
      <alignment vertical="center"/>
    </xf>
    <xf numFmtId="0" fontId="10" fillId="0" borderId="1" xfId="3"/>
    <xf numFmtId="0" fontId="45" fillId="18" borderId="1" xfId="3" applyFont="1" applyFill="1" applyAlignment="1">
      <alignment horizontal="right" vertical="center"/>
    </xf>
    <xf numFmtId="44" fontId="41" fillId="18" borderId="1" xfId="3" applyNumberFormat="1" applyFont="1" applyFill="1" applyAlignment="1">
      <alignment vertical="center"/>
    </xf>
    <xf numFmtId="44" fontId="10" fillId="0" borderId="1" xfId="3" applyNumberFormat="1" applyAlignment="1">
      <alignment vertical="center"/>
    </xf>
    <xf numFmtId="0" fontId="101" fillId="45" borderId="1" xfId="3" applyFont="1" applyFill="1" applyAlignment="1">
      <alignment horizontal="right" vertical="center"/>
    </xf>
    <xf numFmtId="44" fontId="101" fillId="45" borderId="1" xfId="3" applyNumberFormat="1" applyFont="1" applyFill="1" applyAlignment="1">
      <alignment vertical="center"/>
    </xf>
    <xf numFmtId="44" fontId="45" fillId="18" borderId="1" xfId="3" applyNumberFormat="1" applyFont="1" applyFill="1" applyAlignment="1">
      <alignment vertical="center"/>
    </xf>
    <xf numFmtId="0" fontId="48" fillId="26" borderId="1" xfId="3" applyFont="1" applyFill="1" applyAlignment="1">
      <alignment horizontal="right" vertical="center"/>
    </xf>
    <xf numFmtId="44" fontId="24" fillId="26" borderId="1" xfId="3" applyNumberFormat="1" applyFont="1" applyFill="1" applyAlignment="1">
      <alignment vertical="center"/>
    </xf>
    <xf numFmtId="10" fontId="100" fillId="0" borderId="1" xfId="11" applyNumberFormat="1" applyFont="1" applyAlignment="1">
      <alignment horizontal="right" vertical="center"/>
    </xf>
    <xf numFmtId="4" fontId="10" fillId="0" borderId="1" xfId="3" applyNumberFormat="1" applyAlignment="1">
      <alignment vertical="center"/>
    </xf>
    <xf numFmtId="0" fontId="45" fillId="47" borderId="1" xfId="3" applyFont="1" applyFill="1" applyAlignment="1">
      <alignment horizontal="right" vertical="center" wrapText="1"/>
    </xf>
    <xf numFmtId="44" fontId="46" fillId="47" borderId="1" xfId="3" applyNumberFormat="1" applyFont="1" applyFill="1" applyAlignment="1">
      <alignment horizontal="center" vertical="center"/>
    </xf>
    <xf numFmtId="0" fontId="101" fillId="0" borderId="1" xfId="3" applyFont="1" applyAlignment="1">
      <alignment vertical="center"/>
    </xf>
    <xf numFmtId="44" fontId="45" fillId="0" borderId="1" xfId="3" applyNumberFormat="1" applyFont="1" applyAlignment="1">
      <alignment vertical="center"/>
    </xf>
    <xf numFmtId="44" fontId="90" fillId="0" borderId="1" xfId="3" applyNumberFormat="1" applyFont="1" applyAlignment="1">
      <alignment horizontal="center" vertical="center"/>
    </xf>
    <xf numFmtId="0" fontId="45" fillId="44" borderId="1" xfId="3" applyFont="1" applyFill="1" applyAlignment="1">
      <alignment horizontal="right" vertical="center" wrapText="1"/>
    </xf>
    <xf numFmtId="44" fontId="46" fillId="44" borderId="1" xfId="3" applyNumberFormat="1" applyFont="1" applyFill="1" applyAlignment="1">
      <alignment horizontal="center" vertical="center"/>
    </xf>
    <xf numFmtId="43" fontId="41" fillId="0" borderId="1" xfId="2" applyFont="1" applyAlignment="1">
      <alignment vertical="center"/>
    </xf>
    <xf numFmtId="0" fontId="105" fillId="9" borderId="49" xfId="3" applyFont="1" applyFill="1" applyBorder="1" applyAlignment="1">
      <alignment vertical="center"/>
    </xf>
    <xf numFmtId="43" fontId="41" fillId="0" borderId="1" xfId="3" applyNumberFormat="1" applyFont="1" applyAlignment="1">
      <alignment vertical="center"/>
    </xf>
    <xf numFmtId="44" fontId="41" fillId="0" borderId="1" xfId="3" applyNumberFormat="1" applyFont="1" applyAlignment="1">
      <alignment vertical="center"/>
    </xf>
    <xf numFmtId="0" fontId="105" fillId="49" borderId="49" xfId="3" applyFont="1" applyFill="1" applyBorder="1" applyAlignment="1">
      <alignment vertical="center"/>
    </xf>
    <xf numFmtId="0" fontId="36" fillId="46" borderId="1" xfId="3" applyFont="1" applyFill="1" applyAlignment="1">
      <alignment horizontal="right" vertical="center"/>
    </xf>
    <xf numFmtId="43" fontId="10" fillId="0" borderId="1" xfId="5" applyFont="1" applyBorder="1" applyAlignment="1">
      <alignment vertical="center"/>
    </xf>
    <xf numFmtId="44" fontId="103" fillId="0" borderId="50" xfId="3" applyNumberFormat="1" applyFont="1" applyBorder="1" applyAlignment="1">
      <alignment vertical="center"/>
    </xf>
    <xf numFmtId="44" fontId="103" fillId="16" borderId="50" xfId="3" applyNumberFormat="1" applyFont="1" applyFill="1" applyBorder="1" applyAlignment="1">
      <alignment vertical="center"/>
    </xf>
    <xf numFmtId="0" fontId="10" fillId="43" borderId="52" xfId="3" applyFill="1" applyBorder="1" applyAlignment="1">
      <alignment vertical="center"/>
    </xf>
    <xf numFmtId="0" fontId="10" fillId="43" borderId="53" xfId="3" applyFill="1" applyBorder="1" applyAlignment="1">
      <alignment vertical="center"/>
    </xf>
    <xf numFmtId="0" fontId="41" fillId="43" borderId="54" xfId="3" applyFont="1" applyFill="1" applyBorder="1" applyAlignment="1">
      <alignment vertical="center"/>
    </xf>
    <xf numFmtId="0" fontId="41" fillId="43" borderId="55" xfId="3" applyFont="1" applyFill="1" applyBorder="1" applyAlignment="1">
      <alignment vertical="center"/>
    </xf>
    <xf numFmtId="0" fontId="10" fillId="43" borderId="56" xfId="3" applyFill="1" applyBorder="1" applyAlignment="1">
      <alignment vertical="center"/>
    </xf>
    <xf numFmtId="0" fontId="10" fillId="43" borderId="57" xfId="3" applyFill="1" applyBorder="1" applyAlignment="1">
      <alignment vertical="center"/>
    </xf>
    <xf numFmtId="0" fontId="10" fillId="43" borderId="58" xfId="3" applyFill="1" applyBorder="1" applyAlignment="1">
      <alignment vertical="center"/>
    </xf>
    <xf numFmtId="0" fontId="10" fillId="43" borderId="54" xfId="3" applyFill="1" applyBorder="1"/>
    <xf numFmtId="0" fontId="10" fillId="25" borderId="1" xfId="3" applyFill="1"/>
    <xf numFmtId="0" fontId="10" fillId="43" borderId="55" xfId="3" applyFill="1" applyBorder="1"/>
    <xf numFmtId="0" fontId="10" fillId="0" borderId="1" xfId="9" applyAlignment="1">
      <alignment vertical="center"/>
    </xf>
    <xf numFmtId="165" fontId="8" fillId="16" borderId="2" xfId="9" applyNumberFormat="1" applyFont="1" applyFill="1" applyBorder="1" applyAlignment="1">
      <alignment horizontal="center" vertical="center"/>
    </xf>
    <xf numFmtId="0" fontId="10" fillId="0" borderId="1" xfId="4" applyFont="1" applyAlignment="1">
      <alignment horizontal="left"/>
    </xf>
    <xf numFmtId="0" fontId="46" fillId="0" borderId="1" xfId="3" applyFont="1" applyAlignment="1">
      <alignment vertical="center"/>
    </xf>
    <xf numFmtId="44" fontId="9" fillId="0" borderId="2" xfId="9" applyNumberFormat="1" applyFont="1" applyBorder="1" applyAlignment="1">
      <alignment vertical="center"/>
    </xf>
    <xf numFmtId="44" fontId="8" fillId="16" borderId="2" xfId="9" applyNumberFormat="1" applyFont="1" applyFill="1" applyBorder="1" applyAlignment="1">
      <alignment vertical="center"/>
    </xf>
    <xf numFmtId="43" fontId="0" fillId="0" borderId="0" xfId="5" applyFont="1"/>
    <xf numFmtId="43" fontId="100" fillId="0" borderId="1" xfId="5" applyFont="1" applyBorder="1" applyAlignment="1">
      <alignment horizontal="right" vertical="center"/>
    </xf>
    <xf numFmtId="44" fontId="9" fillId="9" borderId="0" xfId="0" applyNumberFormat="1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44" fontId="36" fillId="0" borderId="1" xfId="11" applyNumberFormat="1" applyFont="1" applyAlignment="1">
      <alignment horizontal="left" vertical="center"/>
    </xf>
    <xf numFmtId="44" fontId="10" fillId="0" borderId="1" xfId="3" applyNumberFormat="1"/>
    <xf numFmtId="0" fontId="45" fillId="0" borderId="0" xfId="0" applyFont="1"/>
    <xf numFmtId="0" fontId="45" fillId="0" borderId="1" xfId="3" applyFont="1" applyAlignment="1">
      <alignment vertical="center"/>
    </xf>
    <xf numFmtId="0" fontId="45" fillId="0" borderId="1" xfId="3" applyFont="1"/>
    <xf numFmtId="0" fontId="40" fillId="0" borderId="0" xfId="0" applyFont="1"/>
    <xf numFmtId="0" fontId="40" fillId="0" borderId="1" xfId="3" applyFont="1" applyAlignment="1">
      <alignment vertical="center"/>
    </xf>
    <xf numFmtId="0" fontId="41" fillId="18" borderId="1" xfId="3" applyFont="1" applyFill="1" applyAlignment="1">
      <alignment vertical="center"/>
    </xf>
    <xf numFmtId="0" fontId="45" fillId="18" borderId="0" xfId="0" applyFont="1" applyFill="1"/>
    <xf numFmtId="44" fontId="19" fillId="16" borderId="2" xfId="9" applyNumberFormat="1" applyFont="1" applyFill="1" applyBorder="1" applyAlignment="1">
      <alignment vertical="center"/>
    </xf>
    <xf numFmtId="3" fontId="51" fillId="0" borderId="2" xfId="0" quotePrefix="1" applyNumberFormat="1" applyFont="1" applyBorder="1" applyAlignment="1">
      <alignment horizontal="center" vertical="center"/>
    </xf>
    <xf numFmtId="169" fontId="42" fillId="18" borderId="1" xfId="0" applyNumberFormat="1" applyFont="1" applyFill="1" applyBorder="1" applyAlignment="1">
      <alignment vertical="center"/>
    </xf>
    <xf numFmtId="0" fontId="10" fillId="0" borderId="1" xfId="3" applyAlignment="1">
      <alignment horizontal="center" vertical="center"/>
    </xf>
    <xf numFmtId="0" fontId="45" fillId="0" borderId="0" xfId="0" applyFont="1" applyAlignment="1">
      <alignment horizontal="center"/>
    </xf>
    <xf numFmtId="0" fontId="40" fillId="43" borderId="0" xfId="0" applyFont="1" applyFill="1" applyAlignment="1">
      <alignment horizontal="center" vertical="center"/>
    </xf>
    <xf numFmtId="0" fontId="40" fillId="43" borderId="60" xfId="3" applyFont="1" applyFill="1" applyBorder="1" applyAlignment="1">
      <alignment vertical="center"/>
    </xf>
    <xf numFmtId="0" fontId="45" fillId="18" borderId="1" xfId="0" applyFont="1" applyFill="1" applyBorder="1"/>
    <xf numFmtId="0" fontId="41" fillId="18" borderId="0" xfId="0" applyFont="1" applyFill="1" applyAlignment="1">
      <alignment horizontal="center"/>
    </xf>
    <xf numFmtId="166" fontId="41" fillId="18" borderId="0" xfId="0" applyNumberFormat="1" applyFont="1" applyFill="1" applyAlignment="1">
      <alignment horizontal="center"/>
    </xf>
    <xf numFmtId="0" fontId="41" fillId="18" borderId="0" xfId="0" applyFont="1" applyFill="1"/>
    <xf numFmtId="0" fontId="41" fillId="0" borderId="0" xfId="0" applyFont="1"/>
    <xf numFmtId="0" fontId="41" fillId="0" borderId="0" xfId="0" applyFont="1" applyAlignment="1">
      <alignment horizontal="center"/>
    </xf>
    <xf numFmtId="165" fontId="8" fillId="0" borderId="2" xfId="9" quotePrefix="1" applyNumberFormat="1" applyFont="1" applyBorder="1" applyAlignment="1">
      <alignment horizontal="center" vertical="center"/>
    </xf>
    <xf numFmtId="165" fontId="8" fillId="36" borderId="1" xfId="4" applyNumberFormat="1" applyFont="1" applyFill="1" applyAlignment="1">
      <alignment horizontal="center" vertical="center"/>
    </xf>
    <xf numFmtId="164" fontId="8" fillId="36" borderId="1" xfId="4" applyNumberFormat="1" applyFont="1" applyFill="1" applyAlignment="1">
      <alignment horizontal="center" vertical="center"/>
    </xf>
    <xf numFmtId="0" fontId="8" fillId="0" borderId="1" xfId="9" applyFont="1" applyAlignment="1" applyProtection="1">
      <alignment horizontal="center" vertical="center"/>
      <protection locked="0"/>
    </xf>
    <xf numFmtId="0" fontId="8" fillId="0" borderId="1" xfId="8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36" borderId="1" xfId="0" applyFont="1" applyFill="1" applyBorder="1" applyAlignment="1">
      <alignment horizontal="center" vertical="center"/>
    </xf>
    <xf numFmtId="44" fontId="8" fillId="0" borderId="1" xfId="8" applyNumberFormat="1" applyFont="1" applyAlignment="1">
      <alignment horizontal="center" vertical="center"/>
    </xf>
    <xf numFmtId="44" fontId="107" fillId="36" borderId="1" xfId="0" applyNumberFormat="1" applyFont="1" applyFill="1" applyBorder="1" applyAlignment="1">
      <alignment horizontal="center" vertical="center"/>
    </xf>
    <xf numFmtId="165" fontId="8" fillId="9" borderId="1" xfId="4" applyNumberFormat="1" applyFont="1" applyFill="1" applyAlignment="1">
      <alignment horizontal="center" vertical="center"/>
    </xf>
    <xf numFmtId="164" fontId="8" fillId="9" borderId="1" xfId="4" applyNumberFormat="1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44" fontId="108" fillId="9" borderId="1" xfId="0" applyNumberFormat="1" applyFont="1" applyFill="1" applyBorder="1" applyAlignment="1">
      <alignment horizontal="center" vertical="center"/>
    </xf>
    <xf numFmtId="44" fontId="109" fillId="0" borderId="1" xfId="9" applyNumberFormat="1" applyFont="1" applyAlignment="1">
      <alignment horizontal="center" vertical="center"/>
    </xf>
    <xf numFmtId="44" fontId="30" fillId="0" borderId="1" xfId="9" applyNumberFormat="1" applyFont="1" applyAlignment="1">
      <alignment horizontal="center" vertical="center"/>
    </xf>
    <xf numFmtId="166" fontId="45" fillId="0" borderId="0" xfId="0" applyNumberFormat="1" applyFont="1"/>
    <xf numFmtId="43" fontId="45" fillId="0" borderId="0" xfId="5" applyFont="1"/>
    <xf numFmtId="43" fontId="45" fillId="0" borderId="0" xfId="0" applyNumberFormat="1" applyFont="1"/>
    <xf numFmtId="43" fontId="111" fillId="0" borderId="1" xfId="3" applyNumberFormat="1" applyFont="1" applyAlignment="1">
      <alignment vertical="center"/>
    </xf>
    <xf numFmtId="44" fontId="36" fillId="0" borderId="1" xfId="3" applyNumberFormat="1" applyFont="1" applyAlignment="1">
      <alignment vertical="center"/>
    </xf>
    <xf numFmtId="0" fontId="41" fillId="9" borderId="1" xfId="3" applyFont="1" applyFill="1" applyAlignment="1">
      <alignment vertical="center"/>
    </xf>
    <xf numFmtId="0" fontId="41" fillId="9" borderId="0" xfId="0" applyFont="1" applyFill="1"/>
    <xf numFmtId="0" fontId="41" fillId="9" borderId="1" xfId="0" applyFont="1" applyFill="1" applyBorder="1"/>
    <xf numFmtId="0" fontId="40" fillId="29" borderId="62" xfId="3" applyFont="1" applyFill="1" applyBorder="1" applyAlignment="1">
      <alignment vertical="center"/>
    </xf>
    <xf numFmtId="0" fontId="19" fillId="0" borderId="2" xfId="4" quotePrefix="1" applyFont="1" applyBorder="1" applyAlignment="1">
      <alignment horizontal="center" vertical="center"/>
    </xf>
    <xf numFmtId="44" fontId="36" fillId="30" borderId="1" xfId="3" applyNumberFormat="1" applyFont="1" applyFill="1" applyAlignment="1">
      <alignment vertical="center"/>
    </xf>
    <xf numFmtId="0" fontId="41" fillId="9" borderId="0" xfId="0" applyFont="1" applyFill="1" applyAlignment="1">
      <alignment horizontal="center" vertical="center"/>
    </xf>
    <xf numFmtId="166" fontId="41" fillId="9" borderId="0" xfId="0" applyNumberFormat="1" applyFont="1" applyFill="1" applyAlignment="1">
      <alignment horizontal="center" vertical="center"/>
    </xf>
    <xf numFmtId="0" fontId="41" fillId="20" borderId="1" xfId="3" applyFont="1" applyFill="1" applyAlignment="1">
      <alignment vertical="center"/>
    </xf>
    <xf numFmtId="0" fontId="41" fillId="20" borderId="0" xfId="0" applyFont="1" applyFill="1"/>
    <xf numFmtId="0" fontId="41" fillId="20" borderId="0" xfId="0" applyFont="1" applyFill="1" applyAlignment="1">
      <alignment horizontal="center"/>
    </xf>
    <xf numFmtId="17" fontId="19" fillId="0" borderId="2" xfId="9" quotePrefix="1" applyNumberFormat="1" applyFont="1" applyBorder="1" applyAlignment="1">
      <alignment horizontal="center" vertical="center"/>
    </xf>
    <xf numFmtId="0" fontId="9" fillId="55" borderId="0" xfId="0" applyFont="1" applyFill="1" applyAlignment="1">
      <alignment horizontal="left" vertical="center"/>
    </xf>
    <xf numFmtId="44" fontId="9" fillId="55" borderId="0" xfId="0" applyNumberFormat="1" applyFont="1" applyFill="1" applyAlignment="1">
      <alignment vertical="center"/>
    </xf>
    <xf numFmtId="0" fontId="112" fillId="37" borderId="1" xfId="6" applyFont="1" applyFill="1" applyAlignment="1">
      <alignment vertical="center"/>
    </xf>
    <xf numFmtId="0" fontId="99" fillId="37" borderId="1" xfId="6" applyFont="1" applyFill="1" applyAlignment="1">
      <alignment vertical="center"/>
    </xf>
    <xf numFmtId="0" fontId="35" fillId="20" borderId="0" xfId="0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24" fillId="15" borderId="0" xfId="0" applyFont="1" applyFill="1" applyAlignment="1">
      <alignment horizontal="center" vertical="center"/>
    </xf>
    <xf numFmtId="0" fontId="24" fillId="12" borderId="0" xfId="0" applyFont="1" applyFill="1" applyAlignment="1">
      <alignment horizontal="center" vertical="center"/>
    </xf>
    <xf numFmtId="0" fontId="24" fillId="13" borderId="0" xfId="0" applyFont="1" applyFill="1" applyAlignment="1">
      <alignment horizontal="center" vertical="center"/>
    </xf>
    <xf numFmtId="0" fontId="74" fillId="38" borderId="1" xfId="6" applyFont="1" applyFill="1" applyAlignment="1">
      <alignment horizontal="center" vertical="center"/>
    </xf>
    <xf numFmtId="0" fontId="77" fillId="0" borderId="28" xfId="6" applyFont="1" applyBorder="1" applyAlignment="1">
      <alignment horizontal="center" vertical="center"/>
    </xf>
    <xf numFmtId="0" fontId="77" fillId="0" borderId="26" xfId="6" applyFont="1" applyBorder="1" applyAlignment="1">
      <alignment horizontal="center" vertical="center"/>
    </xf>
    <xf numFmtId="0" fontId="73" fillId="0" borderId="24" xfId="6" applyFont="1" applyBorder="1" applyAlignment="1">
      <alignment horizontal="center" vertical="center" wrapText="1"/>
    </xf>
    <xf numFmtId="0" fontId="73" fillId="0" borderId="23" xfId="6" applyFont="1" applyBorder="1" applyAlignment="1">
      <alignment horizontal="center" vertical="center" wrapText="1"/>
    </xf>
    <xf numFmtId="0" fontId="69" fillId="31" borderId="0" xfId="0" applyFont="1" applyFill="1" applyAlignment="1">
      <alignment horizontal="center" vertical="center"/>
    </xf>
    <xf numFmtId="166" fontId="62" fillId="26" borderId="0" xfId="0" applyNumberFormat="1" applyFont="1" applyFill="1" applyAlignment="1">
      <alignment horizontal="center" vertical="center"/>
    </xf>
    <xf numFmtId="0" fontId="66" fillId="26" borderId="1" xfId="0" applyFont="1" applyFill="1" applyBorder="1" applyAlignment="1">
      <alignment horizontal="left" vertical="center"/>
    </xf>
    <xf numFmtId="0" fontId="24" fillId="26" borderId="0" xfId="0" applyFont="1" applyFill="1" applyAlignment="1">
      <alignment horizontal="center" vertical="center"/>
    </xf>
    <xf numFmtId="0" fontId="106" fillId="38" borderId="1" xfId="4" applyFont="1" applyFill="1" applyAlignment="1">
      <alignment horizontal="center" vertical="center"/>
    </xf>
    <xf numFmtId="0" fontId="106" fillId="38" borderId="1" xfId="4" applyFont="1" applyFill="1" applyAlignment="1">
      <alignment vertical="center"/>
    </xf>
    <xf numFmtId="0" fontId="16" fillId="5" borderId="1" xfId="4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14" fontId="43" fillId="0" borderId="28" xfId="0" applyNumberFormat="1" applyFont="1" applyBorder="1" applyAlignment="1">
      <alignment horizontal="center" vertical="center"/>
    </xf>
    <xf numFmtId="14" fontId="43" fillId="0" borderId="26" xfId="0" applyNumberFormat="1" applyFont="1" applyBorder="1" applyAlignment="1">
      <alignment horizontal="center" vertical="center"/>
    </xf>
    <xf numFmtId="0" fontId="85" fillId="39" borderId="30" xfId="7" applyFont="1" applyFill="1" applyBorder="1" applyAlignment="1">
      <alignment horizontal="center" vertical="center" wrapText="1"/>
    </xf>
    <xf numFmtId="0" fontId="85" fillId="39" borderId="31" xfId="7" applyFont="1" applyFill="1" applyBorder="1" applyAlignment="1">
      <alignment horizontal="center" vertical="center" wrapText="1"/>
    </xf>
    <xf numFmtId="0" fontId="85" fillId="39" borderId="40" xfId="7" applyFont="1" applyFill="1" applyBorder="1" applyAlignment="1">
      <alignment horizontal="center" vertical="center" wrapText="1"/>
    </xf>
    <xf numFmtId="0" fontId="85" fillId="39" borderId="32" xfId="7" applyFont="1" applyFill="1" applyBorder="1" applyAlignment="1">
      <alignment horizontal="center" vertical="center" wrapText="1"/>
    </xf>
    <xf numFmtId="0" fontId="85" fillId="39" borderId="1" xfId="7" applyFont="1" applyFill="1" applyAlignment="1">
      <alignment horizontal="center" vertical="center" wrapText="1"/>
    </xf>
    <xf numFmtId="0" fontId="85" fillId="39" borderId="33" xfId="7" applyFont="1" applyFill="1" applyBorder="1" applyAlignment="1">
      <alignment horizontal="center" vertical="center" wrapText="1"/>
    </xf>
    <xf numFmtId="0" fontId="85" fillId="39" borderId="34" xfId="7" applyFont="1" applyFill="1" applyBorder="1" applyAlignment="1">
      <alignment horizontal="center" vertical="center" wrapText="1"/>
    </xf>
    <xf numFmtId="0" fontId="85" fillId="39" borderId="41" xfId="7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43" fillId="0" borderId="28" xfId="0" quotePrefix="1" applyFont="1" applyBorder="1" applyAlignment="1">
      <alignment horizontal="center" vertical="center"/>
    </xf>
    <xf numFmtId="0" fontId="43" fillId="0" borderId="44" xfId="0" quotePrefix="1" applyFont="1" applyBorder="1" applyAlignment="1">
      <alignment horizontal="center" vertical="center"/>
    </xf>
    <xf numFmtId="0" fontId="43" fillId="0" borderId="46" xfId="0" quotePrefix="1" applyFont="1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14" fontId="0" fillId="0" borderId="44" xfId="0" applyNumberFormat="1" applyBorder="1" applyAlignment="1">
      <alignment horizontal="center" vertical="center"/>
    </xf>
    <xf numFmtId="14" fontId="0" fillId="0" borderId="46" xfId="0" applyNumberFormat="1" applyBorder="1" applyAlignment="1">
      <alignment horizontal="center" vertical="center"/>
    </xf>
    <xf numFmtId="0" fontId="43" fillId="0" borderId="26" xfId="0" quotePrefix="1" applyFont="1" applyBorder="1" applyAlignment="1">
      <alignment horizontal="center" vertical="center"/>
    </xf>
    <xf numFmtId="0" fontId="43" fillId="0" borderId="28" xfId="0" applyFont="1" applyBorder="1" applyAlignment="1">
      <alignment horizontal="center" vertical="center"/>
    </xf>
    <xf numFmtId="0" fontId="43" fillId="0" borderId="26" xfId="0" applyFont="1" applyBorder="1" applyAlignment="1">
      <alignment horizontal="center" vertical="center"/>
    </xf>
    <xf numFmtId="44" fontId="0" fillId="0" borderId="28" xfId="0" applyNumberFormat="1" applyBorder="1" applyAlignment="1">
      <alignment horizontal="center" vertical="center"/>
    </xf>
    <xf numFmtId="44" fontId="0" fillId="0" borderId="44" xfId="0" applyNumberFormat="1" applyBorder="1" applyAlignment="1">
      <alignment horizontal="center" vertical="center"/>
    </xf>
    <xf numFmtId="44" fontId="0" fillId="0" borderId="26" xfId="0" applyNumberFormat="1" applyBorder="1" applyAlignment="1">
      <alignment horizontal="center" vertical="center"/>
    </xf>
    <xf numFmtId="14" fontId="43" fillId="0" borderId="44" xfId="0" applyNumberFormat="1" applyFont="1" applyBorder="1" applyAlignment="1">
      <alignment horizontal="center" vertical="center"/>
    </xf>
    <xf numFmtId="14" fontId="43" fillId="0" borderId="46" xfId="0" applyNumberFormat="1" applyFont="1" applyBorder="1" applyAlignment="1">
      <alignment horizontal="center" vertical="center"/>
    </xf>
    <xf numFmtId="0" fontId="43" fillId="0" borderId="44" xfId="0" applyFont="1" applyBorder="1" applyAlignment="1">
      <alignment horizontal="center" vertical="center"/>
    </xf>
    <xf numFmtId="0" fontId="43" fillId="0" borderId="46" xfId="0" applyFont="1" applyBorder="1" applyAlignment="1">
      <alignment horizontal="center" vertical="center"/>
    </xf>
    <xf numFmtId="44" fontId="43" fillId="0" borderId="28" xfId="0" applyNumberFormat="1" applyFont="1" applyBorder="1" applyAlignment="1">
      <alignment horizontal="center" vertical="center"/>
    </xf>
    <xf numFmtId="44" fontId="43" fillId="0" borderId="44" xfId="0" applyNumberFormat="1" applyFont="1" applyBorder="1" applyAlignment="1">
      <alignment horizontal="center" vertical="center"/>
    </xf>
    <xf numFmtId="44" fontId="43" fillId="0" borderId="26" xfId="0" applyNumberFormat="1" applyFont="1" applyBorder="1" applyAlignment="1">
      <alignment horizontal="center" vertical="center"/>
    </xf>
    <xf numFmtId="44" fontId="0" fillId="0" borderId="27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quotePrefix="1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4" fontId="0" fillId="0" borderId="27" xfId="0" quotePrefix="1" applyNumberForma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quotePrefix="1" applyBorder="1" applyAlignment="1">
      <alignment horizontal="center" vertical="center"/>
    </xf>
    <xf numFmtId="0" fontId="0" fillId="0" borderId="26" xfId="0" quotePrefix="1" applyBorder="1" applyAlignment="1">
      <alignment horizontal="center" vertical="center"/>
    </xf>
    <xf numFmtId="44" fontId="0" fillId="0" borderId="28" xfId="10" applyFont="1" applyBorder="1" applyAlignment="1">
      <alignment vertical="center"/>
    </xf>
    <xf numFmtId="44" fontId="0" fillId="0" borderId="46" xfId="10" applyFont="1" applyBorder="1" applyAlignment="1">
      <alignment vertical="center"/>
    </xf>
    <xf numFmtId="0" fontId="0" fillId="0" borderId="46" xfId="0" quotePrefix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0" fontId="42" fillId="43" borderId="59" xfId="3" applyFont="1" applyFill="1" applyBorder="1" applyAlignment="1">
      <alignment horizontal="center" vertical="center"/>
    </xf>
    <xf numFmtId="44" fontId="44" fillId="25" borderId="50" xfId="3" applyNumberFormat="1" applyFont="1" applyFill="1" applyBorder="1" applyAlignment="1">
      <alignment horizontal="center" vertical="center"/>
    </xf>
    <xf numFmtId="44" fontId="44" fillId="25" borderId="51" xfId="3" applyNumberFormat="1" applyFont="1" applyFill="1" applyBorder="1" applyAlignment="1">
      <alignment horizontal="center" vertical="center"/>
    </xf>
    <xf numFmtId="4" fontId="100" fillId="16" borderId="50" xfId="3" applyNumberFormat="1" applyFont="1" applyFill="1" applyBorder="1" applyAlignment="1">
      <alignment horizontal="center" vertical="center"/>
    </xf>
    <xf numFmtId="4" fontId="100" fillId="16" borderId="59" xfId="3" applyNumberFormat="1" applyFont="1" applyFill="1" applyBorder="1" applyAlignment="1">
      <alignment horizontal="center" vertical="center"/>
    </xf>
    <xf numFmtId="0" fontId="91" fillId="38" borderId="1" xfId="3" applyFont="1" applyFill="1" applyAlignment="1">
      <alignment horizontal="center" vertical="center"/>
    </xf>
    <xf numFmtId="0" fontId="102" fillId="13" borderId="1" xfId="3" applyFont="1" applyFill="1" applyAlignment="1">
      <alignment horizontal="center" vertical="center" textRotation="45"/>
    </xf>
    <xf numFmtId="0" fontId="102" fillId="29" borderId="1" xfId="3" applyFont="1" applyFill="1" applyAlignment="1">
      <alignment horizontal="center" vertical="center" textRotation="45"/>
    </xf>
    <xf numFmtId="0" fontId="102" fillId="48" borderId="1" xfId="3" applyFont="1" applyFill="1" applyAlignment="1">
      <alignment horizontal="center" vertical="center" textRotation="45"/>
    </xf>
    <xf numFmtId="0" fontId="45" fillId="36" borderId="1" xfId="3" applyFont="1" applyFill="1" applyAlignment="1">
      <alignment horizontal="right" vertical="center" wrapText="1"/>
    </xf>
    <xf numFmtId="44" fontId="46" fillId="36" borderId="1" xfId="3" applyNumberFormat="1" applyFont="1" applyFill="1" applyAlignment="1">
      <alignment horizontal="center" vertical="center"/>
    </xf>
    <xf numFmtId="0" fontId="63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165" fontId="14" fillId="21" borderId="7" xfId="9" applyNumberFormat="1" applyFont="1" applyFill="1" applyBorder="1" applyAlignment="1">
      <alignment horizontal="center" vertical="center"/>
    </xf>
    <xf numFmtId="165" fontId="14" fillId="21" borderId="8" xfId="9" applyNumberFormat="1" applyFont="1" applyFill="1" applyBorder="1" applyAlignment="1">
      <alignment horizontal="center" vertical="center"/>
    </xf>
    <xf numFmtId="0" fontId="110" fillId="21" borderId="1" xfId="8" applyFont="1" applyFill="1" applyAlignment="1">
      <alignment horizontal="center" vertical="center" wrapText="1"/>
    </xf>
    <xf numFmtId="0" fontId="41" fillId="18" borderId="1" xfId="0" applyFont="1" applyFill="1" applyBorder="1" applyAlignment="1">
      <alignment horizontal="center" vertical="center" wrapText="1"/>
    </xf>
    <xf numFmtId="0" fontId="41" fillId="18" borderId="0" xfId="0" applyFont="1" applyFill="1" applyAlignment="1">
      <alignment horizontal="center" vertical="center" wrapText="1"/>
    </xf>
    <xf numFmtId="0" fontId="41" fillId="18" borderId="61" xfId="0" applyFont="1" applyFill="1" applyBorder="1" applyAlignment="1">
      <alignment horizontal="center" vertical="center"/>
    </xf>
    <xf numFmtId="0" fontId="41" fillId="18" borderId="1" xfId="0" applyFont="1" applyFill="1" applyBorder="1" applyAlignment="1">
      <alignment horizontal="center" vertical="center"/>
    </xf>
    <xf numFmtId="0" fontId="41" fillId="18" borderId="61" xfId="3" applyFont="1" applyFill="1" applyBorder="1" applyAlignment="1">
      <alignment horizontal="left" vertical="center"/>
    </xf>
    <xf numFmtId="0" fontId="41" fillId="18" borderId="1" xfId="3" applyFont="1" applyFill="1" applyAlignment="1">
      <alignment horizontal="left" vertical="center"/>
    </xf>
    <xf numFmtId="0" fontId="41" fillId="18" borderId="0" xfId="0" applyFont="1" applyFill="1" applyAlignment="1">
      <alignment horizontal="center" vertical="center"/>
    </xf>
    <xf numFmtId="166" fontId="41" fillId="18" borderId="1" xfId="0" applyNumberFormat="1" applyFont="1" applyFill="1" applyBorder="1" applyAlignment="1">
      <alignment horizontal="center" vertical="center"/>
    </xf>
    <xf numFmtId="0" fontId="41" fillId="9" borderId="1" xfId="0" applyFont="1" applyFill="1" applyBorder="1" applyAlignment="1">
      <alignment horizontal="center" vertical="center"/>
    </xf>
    <xf numFmtId="166" fontId="41" fillId="1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91" fillId="12" borderId="0" xfId="0" applyFont="1" applyFill="1" applyAlignment="1">
      <alignment horizontal="left" vertical="center"/>
    </xf>
    <xf numFmtId="0" fontId="91" fillId="38" borderId="0" xfId="0" applyFont="1" applyFill="1" applyAlignment="1">
      <alignment horizontal="left" vertical="center"/>
    </xf>
    <xf numFmtId="0" fontId="91" fillId="17" borderId="0" xfId="0" applyFont="1" applyFill="1" applyAlignment="1">
      <alignment vertical="center"/>
    </xf>
    <xf numFmtId="44" fontId="8" fillId="30" borderId="2" xfId="9" applyNumberFormat="1" applyFont="1" applyFill="1" applyBorder="1" applyAlignment="1">
      <alignment vertical="center"/>
    </xf>
  </cellXfs>
  <cellStyles count="12">
    <cellStyle name="Moeda" xfId="10" builtinId="4"/>
    <cellStyle name="Normal" xfId="0" builtinId="0"/>
    <cellStyle name="Normal 2" xfId="1" xr:uid="{AF9AF851-9029-48A2-9CA9-384584061CCF}"/>
    <cellStyle name="Normal 2 2" xfId="3" xr:uid="{3D436468-E9E3-4462-8E6D-18A65788A2F0}"/>
    <cellStyle name="Normal 3" xfId="4" xr:uid="{971A62C1-DF63-48AF-BC36-8ECA9C05BB5F}"/>
    <cellStyle name="Normal 3 2" xfId="9" xr:uid="{1BD36815-3D99-45A1-B984-41166378F54E}"/>
    <cellStyle name="Normal 4" xfId="6" xr:uid="{675BDDCB-4274-432C-AB68-C470FB0D3ADF}"/>
    <cellStyle name="Normal 5" xfId="7" xr:uid="{99958DF1-D5CE-410E-BE87-42014CAA0178}"/>
    <cellStyle name="Normal 6" xfId="8" xr:uid="{E00C0EAB-FAD7-4E8D-B874-F12207D06114}"/>
    <cellStyle name="Porcentagem 2" xfId="11" xr:uid="{F60695BE-70D3-4A89-A3D8-120187F2623F}"/>
    <cellStyle name="Vírgula" xfId="5" builtinId="3"/>
    <cellStyle name="Vírgula 2" xfId="2" xr:uid="{63653231-A7B2-4B19-AC5A-12893641EE25}"/>
  </cellStyles>
  <dxfs count="589">
    <dxf>
      <font>
        <b/>
        <i/>
        <color theme="0"/>
      </font>
      <fill>
        <patternFill>
          <bgColor rgb="FF00B05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00B05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00B05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595959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70C0"/>
        </patternFill>
      </fill>
    </dxf>
    <dxf>
      <font>
        <b/>
        <i/>
        <color theme="0"/>
      </font>
      <fill>
        <patternFill>
          <bgColor rgb="FF00B05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600"/>
      </font>
      <fill>
        <patternFill>
          <bgColor rgb="FFBAFCD3"/>
        </patternFill>
      </fill>
    </dxf>
    <dxf>
      <font>
        <color rgb="FFF4740A"/>
      </font>
      <fill>
        <patternFill>
          <bgColor theme="9" tint="0.59996337778862885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bgColor rgb="FF0070C0"/>
        </patternFill>
      </fill>
    </dxf>
    <dxf>
      <font>
        <b val="0"/>
        <i val="0"/>
        <color theme="0"/>
      </font>
      <fill>
        <patternFill>
          <fgColor theme="6" tint="0.59996337778862885"/>
          <bgColor rgb="FF00B050"/>
        </patternFill>
      </fill>
    </dxf>
    <dxf>
      <font>
        <b val="0"/>
        <i val="0"/>
        <color theme="1"/>
      </font>
      <fill>
        <patternFill>
          <bgColor rgb="FFFFCC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595959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595959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595959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fgColor theme="0"/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595959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70C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 val="0"/>
        <i val="0"/>
        <color theme="0"/>
      </font>
      <fill>
        <patternFill>
          <fgColor theme="6" tint="0.59996337778862885"/>
          <bgColor rgb="FF00B050"/>
        </patternFill>
      </fill>
    </dxf>
    <dxf>
      <font>
        <b val="0"/>
        <i val="0"/>
        <color theme="0"/>
      </font>
      <fill>
        <patternFill>
          <fgColor theme="0"/>
          <bgColor rgb="FFC00000"/>
        </patternFill>
      </fill>
    </dxf>
    <dxf>
      <font>
        <b val="0"/>
        <i val="0"/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 val="0"/>
        <i val="0"/>
        <color theme="0"/>
      </font>
      <fill>
        <patternFill>
          <fgColor theme="6" tint="0.59996337778862885"/>
          <bgColor rgb="FF00B050"/>
        </patternFill>
      </fill>
    </dxf>
    <dxf>
      <font>
        <b val="0"/>
        <i val="0"/>
        <color theme="0"/>
      </font>
      <fill>
        <patternFill>
          <fgColor theme="0"/>
          <bgColor rgb="FFC00000"/>
        </patternFill>
      </fill>
    </dxf>
    <dxf>
      <font>
        <b val="0"/>
        <i val="0"/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b val="0"/>
        <i val="0"/>
        <color theme="0"/>
      </font>
      <fill>
        <patternFill>
          <fgColor theme="6" tint="0.59996337778862885"/>
          <bgColor rgb="FF00B050"/>
        </patternFill>
      </fill>
    </dxf>
    <dxf>
      <font>
        <b val="0"/>
        <i val="0"/>
        <color theme="0"/>
      </font>
      <fill>
        <patternFill>
          <fgColor theme="0"/>
          <bgColor rgb="FFC00000"/>
        </patternFill>
      </fill>
    </dxf>
    <dxf>
      <font>
        <b val="0"/>
        <i val="0"/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b val="0"/>
        <i val="0"/>
        <color theme="0"/>
      </font>
      <fill>
        <patternFill>
          <fgColor theme="6" tint="0.59996337778862885"/>
          <bgColor rgb="FF00B050"/>
        </patternFill>
      </fill>
    </dxf>
    <dxf>
      <font>
        <b val="0"/>
        <i val="0"/>
        <color theme="0"/>
      </font>
      <fill>
        <patternFill>
          <fgColor theme="0"/>
          <bgColor rgb="FFC00000"/>
        </patternFill>
      </fill>
    </dxf>
    <dxf>
      <font>
        <b val="0"/>
        <i val="0"/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b/>
      </font>
    </dxf>
    <dxf>
      <fill>
        <patternFill>
          <bgColor theme="8" tint="0.79998168889431442"/>
        </patternFill>
      </fill>
    </dxf>
    <dxf>
      <fill>
        <patternFill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theme="7" tint="0.79998168889431442"/>
        </patternFill>
      </fill>
    </dxf>
    <dxf>
      <font>
        <b/>
        <family val="2"/>
      </font>
    </dxf>
    <dxf>
      <font>
        <b/>
        <family val="2"/>
      </font>
    </dxf>
    <dxf>
      <fill>
        <patternFill patternType="solid"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b/>
        <family val="2"/>
      </font>
    </dxf>
    <dxf>
      <alignment horizontal="center"/>
    </dxf>
    <dxf>
      <alignment horizontal="center"/>
    </dxf>
    <dxf>
      <font>
        <color theme="0"/>
      </font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ont>
        <color theme="0"/>
      </font>
    </dxf>
    <dxf>
      <font>
        <color theme="0"/>
      </font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ont>
        <b/>
      </font>
    </dxf>
    <dxf>
      <fill>
        <patternFill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ill>
        <patternFill patternType="solid"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FEAD5"/>
        </patternFill>
      </fill>
    </dxf>
    <dxf>
      <fill>
        <patternFill>
          <bgColor rgb="FFFFEAD5"/>
        </patternFill>
      </fill>
    </dxf>
    <dxf>
      <font>
        <b/>
        <family val="2"/>
      </font>
    </dxf>
    <dxf>
      <font>
        <b/>
        <family val="2"/>
      </font>
    </dxf>
    <dxf>
      <fill>
        <patternFill patternType="solid"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b/>
        <family val="2"/>
      </font>
    </dxf>
    <dxf>
      <alignment horizontal="center"/>
    </dxf>
    <dxf>
      <alignment horizontal="center"/>
    </dxf>
    <dxf>
      <font>
        <color theme="0"/>
      </font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ont>
        <color theme="0"/>
      </font>
    </dxf>
    <dxf>
      <font>
        <color theme="0"/>
      </font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ont>
        <b/>
      </font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b/>
        <family val="2"/>
      </font>
    </dxf>
    <dxf>
      <fill>
        <patternFill patternType="solid"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b/>
        <family val="2"/>
      </font>
    </dxf>
    <dxf>
      <alignment horizontal="center"/>
    </dxf>
    <dxf>
      <alignment horizontal="center"/>
    </dxf>
    <dxf>
      <font>
        <color theme="0"/>
      </font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ont>
        <color theme="0"/>
      </font>
    </dxf>
    <dxf>
      <font>
        <color theme="0"/>
      </font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b/>
      </font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sz val="10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b/>
        <family val="2"/>
      </font>
    </dxf>
    <dxf>
      <alignment horizontal="center"/>
    </dxf>
    <dxf>
      <alignment horizontal="center"/>
    </dxf>
    <dxf>
      <font>
        <color theme="0"/>
      </font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ont>
        <color theme="0"/>
      </font>
    </dxf>
    <dxf>
      <font>
        <color theme="0"/>
      </font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fgColor indexed="64"/>
          <bgColor rgb="FFEFF9FF"/>
        </patternFill>
      </fill>
    </dxf>
    <dxf>
      <fill>
        <patternFill patternType="solid">
          <fgColor indexed="64"/>
          <bgColor rgb="FFEFF9FF"/>
        </patternFill>
      </fill>
    </dxf>
    <dxf>
      <font>
        <sz val="11"/>
        <color theme="0"/>
      </font>
      <fill>
        <patternFill patternType="solid">
          <fgColor indexed="64"/>
          <bgColor theme="4" tint="-0.499984740745262"/>
        </patternFill>
      </fill>
      <alignment horizontal="center"/>
    </dxf>
    <dxf>
      <fill>
        <patternFill>
          <bgColor rgb="FFEFF9FF"/>
        </patternFill>
      </fill>
    </dxf>
    <dxf>
      <fill>
        <patternFill patternType="solid">
          <bgColor rgb="FFEFF9FF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11"/>
        <color theme="0"/>
      </font>
      <fill>
        <patternFill patternType="solid">
          <fgColor indexed="64"/>
          <bgColor theme="4" tint="-0.499984740745262"/>
        </patternFill>
      </fill>
      <alignment horizontal="center"/>
    </dxf>
    <dxf>
      <font>
        <b/>
      </font>
    </dxf>
    <dxf>
      <font>
        <sz val="11"/>
      </font>
    </dxf>
    <dxf>
      <fill>
        <patternFill patternType="solid">
          <bgColor theme="0"/>
        </patternFill>
      </fill>
    </dxf>
    <dxf>
      <font>
        <color theme="0"/>
      </font>
    </dxf>
    <dxf>
      <fill>
        <patternFill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ill>
        <patternFill patternType="solid">
          <bgColor theme="4" tint="-0.499984740745262"/>
        </patternFill>
      </fill>
    </dxf>
    <dxf>
      <alignment horizontal="center"/>
    </dxf>
    <dxf>
      <font>
        <color theme="0"/>
      </font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ont>
        <color theme="0"/>
      </font>
    </dxf>
    <dxf>
      <font>
        <color theme="0"/>
      </font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ill>
        <patternFill patternType="solid">
          <bgColor theme="0"/>
        </patternFill>
      </fill>
    </dxf>
    <dxf>
      <font>
        <color theme="0"/>
      </font>
    </dxf>
    <dxf>
      <fill>
        <patternFill patternType="solid">
          <bgColor theme="0"/>
        </patternFill>
      </fill>
    </dxf>
    <dxf>
      <font>
        <color theme="0"/>
      </font>
    </dxf>
    <dxf>
      <fill>
        <patternFill>
          <bgColor auto="1"/>
        </patternFill>
      </fill>
    </dxf>
    <dxf>
      <font>
        <sz val="10"/>
      </font>
    </dxf>
    <dxf>
      <font>
        <sz val="10"/>
      </font>
    </dxf>
    <dxf>
      <fill>
        <patternFill>
          <bgColor rgb="FF006600"/>
        </patternFill>
      </fill>
    </dxf>
    <dxf>
      <fill>
        <patternFill>
          <bgColor rgb="FF0066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006600"/>
        </patternFill>
      </fill>
    </dxf>
    <dxf>
      <font>
        <color theme="0" tint="-4.9989318521683403E-2"/>
      </font>
    </dxf>
    <dxf>
      <fill>
        <patternFill patternType="solid">
          <bgColor rgb="FF006600"/>
        </patternFill>
      </fill>
    </dxf>
    <dxf>
      <alignment horizontal="center"/>
    </dxf>
    <dxf>
      <font>
        <sz val="1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ill>
        <patternFill patternType="solid">
          <bgColor theme="4" tint="-0.499984740745262"/>
        </patternFill>
      </fill>
    </dxf>
    <dxf>
      <alignment horizontal="center"/>
    </dxf>
    <dxf>
      <fill>
        <patternFill patternType="solid">
          <bgColor rgb="FFFFFFFF"/>
        </patternFill>
      </fill>
    </dxf>
    <dxf>
      <font>
        <color theme="0"/>
      </font>
    </dxf>
    <dxf>
      <font>
        <color theme="0"/>
      </font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 patternType="solid">
          <bgColor rgb="FFFFFFFF"/>
        </patternFill>
      </fill>
    </dxf>
    <dxf>
      <font>
        <color theme="0"/>
      </font>
      <fill>
        <patternFill>
          <bgColor theme="0"/>
        </patternFill>
      </fill>
    </dxf>
    <dxf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1" tint="0.49998474074526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z val="11"/>
        <color theme="0"/>
        <name val="Arial"/>
        <family val="2"/>
        <scheme val="minor"/>
      </font>
    </dxf>
    <dxf>
      <font>
        <color rgb="FF002060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8" defaultTableStyle="TableStyleMedium2" defaultPivotStyle="PivotStyleLight16">
    <tableStyle name="Estilo de Linha do Tempo 1" pivot="0" table="0" count="9" xr9:uid="{3A5BF6F5-1418-4E58-918B-413FB9009E4A}">
      <tableStyleElement type="wholeTable" dxfId="588"/>
      <tableStyleElement type="headerRow" dxfId="587"/>
    </tableStyle>
    <tableStyle name="Estilo de Linha do Tempo 2" pivot="0" table="0" count="8" xr9:uid="{819AE665-D036-44EA-A25B-DD3D159D949A}">
      <tableStyleElement type="wholeTable" dxfId="586"/>
      <tableStyleElement type="headerRow" dxfId="585"/>
    </tableStyle>
    <tableStyle name="Estilo de Linha do Tempo 3" pivot="0" table="0" count="8" xr9:uid="{C92E9936-B1D3-4D03-9750-A697C76DE406}">
      <tableStyleElement type="wholeTable" dxfId="584"/>
      <tableStyleElement type="headerRow" dxfId="583"/>
    </tableStyle>
    <tableStyle name="Estilo de Linha do Tempo 4" pivot="0" table="0" count="8" xr9:uid="{25F77986-7B77-41F9-8DF8-B5722CEB8192}">
      <tableStyleElement type="wholeTable" dxfId="582"/>
      <tableStyleElement type="headerRow" dxfId="581"/>
    </tableStyle>
    <tableStyle name="Estilo de Linha do Tempo 5" pivot="0" table="0" count="8" xr9:uid="{033913FD-B07A-4720-BCE7-5E8CF50CE5C6}">
      <tableStyleElement type="wholeTable" dxfId="580"/>
      <tableStyleElement type="headerRow" dxfId="579"/>
    </tableStyle>
    <tableStyle name="Estilo de Linha do Tempo 6" pivot="0" table="0" count="8" xr9:uid="{1125FCF2-313C-4BA5-98D8-A9964237B70B}">
      <tableStyleElement type="wholeTable" dxfId="578"/>
      <tableStyleElement type="headerRow" dxfId="577"/>
    </tableStyle>
    <tableStyle name="Estilo de Tabela Dinâmica 1" table="0" count="1" xr9:uid="{F431B008-470C-4F96-94B7-CE9A75020307}">
      <tableStyleElement type="wholeTable" dxfId="576"/>
    </tableStyle>
    <tableStyle name="Estilo de Tabela Dinâmica 2" table="0" count="1" xr9:uid="{4F65E85B-794B-4C18-BC27-CEB484D8267E}">
      <tableStyleElement type="pageFieldLabels" dxfId="575"/>
    </tableStyle>
  </tableStyles>
  <colors>
    <mruColors>
      <color rgb="FF002060"/>
      <color rgb="FFF4F2F8"/>
      <color rgb="FFF3FAFF"/>
      <color rgb="FFEFECF4"/>
      <color rgb="FFF8FAF4"/>
      <color rgb="FFFFF7FF"/>
      <color rgb="FF006600"/>
      <color rgb="FFEAB200"/>
      <color rgb="FFFFF1C5"/>
      <color rgb="FFC0C9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37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6" tint="0.59996337778862885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4" tint="0.59996337778862885"/>
            <name val="Arial"/>
            <family val="2"/>
            <scheme val="minor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4" tint="0.39994506668294322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0"/>
            <name val="Arial"/>
            <family val="2"/>
            <scheme val="minor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>
              <bgColor rgb="FF002060"/>
            </patternFill>
          </fill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002060"/>
            </patternFill>
          </fill>
        </dxf>
        <dxf>
          <font>
            <sz val="9"/>
            <color rgb="FF002060"/>
            <name val="Arial"/>
            <family val="2"/>
            <scheme val="minor"/>
          </font>
        </dxf>
        <dxf>
          <font>
            <sz val="9"/>
            <color theme="1" tint="0.499984740745262"/>
          </font>
        </dxf>
        <dxf>
          <font>
            <b val="0"/>
            <i val="0"/>
            <sz val="9"/>
            <color rgb="FF002060"/>
            <name val="Arial"/>
            <family val="2"/>
            <scheme val="minor"/>
          </font>
        </dxf>
        <dxf>
          <font>
            <b/>
            <i val="0"/>
            <sz val="10"/>
            <color rgb="FF002060"/>
            <name val="Arial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Linha do Tempo 1">
          <x15:timelineStyleElements>
            <x15:timelineStyleElement type="selectionLabel" dxfId="36"/>
            <x15:timelineStyleElement type="timeLevel" dxfId="35"/>
            <x15:timelineStyleElement type="periodLabel1" dxfId="34"/>
            <x15:timelineStyleElement type="periodLabel2" dxfId="33"/>
            <x15:timelineStyleElement type="selectedTimeBlock" dxfId="32"/>
            <x15:timelineStyleElement type="unselectedTimeBlock" dxfId="31"/>
            <x15:timelineStyleElement type="selectedTimeBlockSpace" dxfId="30"/>
          </x15:timelineStyleElements>
        </x15:timelineStyle>
        <x15:timelineStyle name="Estilo de Linha do Tempo 2">
          <x15:timelineStyleElements>
            <x15:timelineStyleElement type="selectionLabel" dxfId="29"/>
            <x15:timelineStyleElement type="timeLevel" dxfId="28"/>
            <x15:timelineStyleElement type="periodLabel1" dxfId="27"/>
            <x15:timelineStyleElement type="periodLabel2" dxfId="26"/>
            <x15:timelineStyleElement type="selectedTimeBlock" dxfId="25"/>
            <x15:timelineStyleElement type="unselectedTimeBlock" dxfId="24"/>
          </x15:timelineStyleElements>
        </x15:timelineStyle>
        <x15:timelineStyle name="Estilo de Linha do Tempo 3">
          <x15:timelineStyleElements>
            <x15:timelineStyleElement type="selectionLabel" dxfId="23"/>
            <x15:timelineStyleElement type="timeLevel" dxfId="22"/>
            <x15:timelineStyleElement type="periodLabel1" dxfId="21"/>
            <x15:timelineStyleElement type="periodLabel2" dxfId="20"/>
            <x15:timelineStyleElement type="selectedTimeBlock" dxfId="19"/>
            <x15:timelineStyleElement type="unselectedTimeBlock" dxfId="18"/>
          </x15:timelineStyleElements>
        </x15:timelineStyle>
        <x15:timelineStyle name="Estilo de Linha do Tempo 4">
          <x15:timelineStyleElements>
            <x15:timelineStyleElement type="selectionLabel" dxfId="17"/>
            <x15:timelineStyleElement type="timeLevel" dxfId="16"/>
            <x15:timelineStyleElement type="periodLabel1" dxfId="15"/>
            <x15:timelineStyleElement type="periodLabel2" dxfId="14"/>
            <x15:timelineStyleElement type="selectedTimeBlock" dxfId="13"/>
            <x15:timelineStyleElement type="unselectedTimeBlock" dxfId="12"/>
          </x15:timelineStyleElements>
        </x15:timelineStyle>
        <x15:timelineStyle name="Estilo de Linha do Tempo 5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Estilo de Linha do Tempo 6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1/relationships/timelineCache" Target="timelineCaches/timelineCache5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1/relationships/timelineCache" Target="timelineCaches/timelineCache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1/relationships/timelineCache" Target="timelineCaches/timelineCache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1/relationships/timelineCache" Target="timelineCaches/timelineCache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1/relationships/timelineCache" Target="timelineCaches/timelineCache1.xml"/><Relationship Id="rId27" Type="http://schemas.microsoft.com/office/2011/relationships/timelineCache" Target="timelineCaches/timelineCache6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microsoft.com/office/2007/relationships/hdphoto" Target="../media/hdphoto1.wdp"/><Relationship Id="rId1" Type="http://schemas.openxmlformats.org/officeDocument/2006/relationships/image" Target="../media/image6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768059</xdr:colOff>
      <xdr:row>0</xdr:row>
      <xdr:rowOff>38099</xdr:rowOff>
    </xdr:from>
    <xdr:to>
      <xdr:col>1</xdr:col>
      <xdr:colOff>1343009</xdr:colOff>
      <xdr:row>2</xdr:row>
      <xdr:rowOff>73251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F6D3DA3-A3C6-428C-9E7E-EDAE7A01E2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50" t="6381" r="28893" b="30945"/>
        <a:stretch/>
      </xdr:blipFill>
      <xdr:spPr>
        <a:xfrm>
          <a:off x="872834" y="200024"/>
          <a:ext cx="574950" cy="6542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1743101</xdr:colOff>
      <xdr:row>118</xdr:row>
      <xdr:rowOff>22196</xdr:rowOff>
    </xdr:from>
    <xdr:to>
      <xdr:col>4</xdr:col>
      <xdr:colOff>2495413</xdr:colOff>
      <xdr:row>120</xdr:row>
      <xdr:rowOff>142875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21582D82-07AD-1D8B-BD05-DE002D928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51" y="23272721"/>
          <a:ext cx="752312" cy="758854"/>
        </a:xfrm>
        <a:prstGeom prst="rect">
          <a:avLst/>
        </a:prstGeom>
      </xdr:spPr>
    </xdr:pic>
    <xdr:clientData/>
  </xdr:twoCellAnchor>
  <xdr:twoCellAnchor editAs="oneCell">
    <xdr:from>
      <xdr:col>4</xdr:col>
      <xdr:colOff>1762125</xdr:colOff>
      <xdr:row>78</xdr:row>
      <xdr:rowOff>79116</xdr:rowOff>
    </xdr:from>
    <xdr:to>
      <xdr:col>4</xdr:col>
      <xdr:colOff>2476500</xdr:colOff>
      <xdr:row>80</xdr:row>
      <xdr:rowOff>91533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6943352B-1552-697E-552E-85E640A9D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72475" y="2165091"/>
          <a:ext cx="714375" cy="650592"/>
        </a:xfrm>
        <a:prstGeom prst="rect">
          <a:avLst/>
        </a:prstGeom>
      </xdr:spPr>
    </xdr:pic>
    <xdr:clientData/>
  </xdr:twoCellAnchor>
  <xdr:twoCellAnchor editAs="oneCell">
    <xdr:from>
      <xdr:col>4</xdr:col>
      <xdr:colOff>1735209</xdr:colOff>
      <xdr:row>22</xdr:row>
      <xdr:rowOff>66675</xdr:rowOff>
    </xdr:from>
    <xdr:to>
      <xdr:col>4</xdr:col>
      <xdr:colOff>2495414</xdr:colOff>
      <xdr:row>24</xdr:row>
      <xdr:rowOff>161795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24B472C7-C4C5-1CB8-9E40-CA2308CBD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45559" y="1190625"/>
          <a:ext cx="760205" cy="733295"/>
        </a:xfrm>
        <a:prstGeom prst="rect">
          <a:avLst/>
        </a:prstGeom>
      </xdr:spPr>
    </xdr:pic>
    <xdr:clientData/>
  </xdr:twoCellAnchor>
  <xdr:twoCellAnchor editAs="oneCell">
    <xdr:from>
      <xdr:col>4</xdr:col>
      <xdr:colOff>1781176</xdr:colOff>
      <xdr:row>1</xdr:row>
      <xdr:rowOff>1081</xdr:rowOff>
    </xdr:from>
    <xdr:to>
      <xdr:col>5</xdr:col>
      <xdr:colOff>1</xdr:colOff>
      <xdr:row>3</xdr:row>
      <xdr:rowOff>104776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E7447FE2-43BA-E828-7E4A-66ED075B34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9299"/>
        <a:stretch/>
      </xdr:blipFill>
      <xdr:spPr>
        <a:xfrm>
          <a:off x="8391526" y="163006"/>
          <a:ext cx="742950" cy="7418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167070</xdr:colOff>
      <xdr:row>4</xdr:row>
      <xdr:rowOff>44824</xdr:rowOff>
    </xdr:from>
    <xdr:to>
      <xdr:col>3</xdr:col>
      <xdr:colOff>504265</xdr:colOff>
      <xdr:row>99</xdr:row>
      <xdr:rowOff>89647</xdr:rowOff>
    </xdr:to>
    <xdr:sp macro="" textlink="">
      <xdr:nvSpPr>
        <xdr:cNvPr id="2" name="Chave Direita 1">
          <a:extLst>
            <a:ext uri="{FF2B5EF4-FFF2-40B4-BE49-F238E27FC236}">
              <a16:creationId xmlns:a16="http://schemas.microsoft.com/office/drawing/2014/main" id="{5E2AE693-2A45-464F-929B-2266190444FA}"/>
            </a:ext>
          </a:extLst>
        </xdr:cNvPr>
        <xdr:cNvSpPr/>
      </xdr:nvSpPr>
      <xdr:spPr>
        <a:xfrm>
          <a:off x="3719335" y="997324"/>
          <a:ext cx="337195" cy="1687605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1264487</xdr:colOff>
      <xdr:row>27</xdr:row>
      <xdr:rowOff>324</xdr:rowOff>
    </xdr:from>
    <xdr:ext cx="2208674" cy="254557"/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B5F1B678-A708-43EE-8E48-C5C1C464B0DC}"/>
            </a:ext>
          </a:extLst>
        </xdr:cNvPr>
        <xdr:cNvSpPr/>
      </xdr:nvSpPr>
      <xdr:spPr>
        <a:xfrm>
          <a:off x="26235862" y="4905699"/>
          <a:ext cx="2208674" cy="25455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l"/>
          <a:r>
            <a:rPr lang="pt-BR" sz="1050" b="0" i="0" cap="none" spc="0">
              <a:ln w="0"/>
              <a:solidFill>
                <a:srgbClr val="E9E8D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Saldo Final em Conta | 2026</a:t>
          </a:r>
        </a:p>
      </xdr:txBody>
    </xdr:sp>
    <xdr:clientData/>
  </xdr:oneCellAnchor>
  <xdr:oneCellAnchor>
    <xdr:from>
      <xdr:col>33</xdr:col>
      <xdr:colOff>1274877</xdr:colOff>
      <xdr:row>28</xdr:row>
      <xdr:rowOff>141467</xdr:rowOff>
    </xdr:from>
    <xdr:ext cx="2535123" cy="247184"/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C4F5AF31-DEC0-42D0-9948-674EC81771AA}"/>
            </a:ext>
          </a:extLst>
        </xdr:cNvPr>
        <xdr:cNvSpPr/>
      </xdr:nvSpPr>
      <xdr:spPr>
        <a:xfrm>
          <a:off x="26246252" y="5253217"/>
          <a:ext cx="2535123" cy="24718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pt-BR" sz="1050" b="0" i="0" cap="none" spc="0">
              <a:ln w="0"/>
              <a:solidFill>
                <a:srgbClr val="E9E8D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Saldo</a:t>
          </a:r>
          <a:r>
            <a:rPr lang="pt-BR" sz="1050" b="0" i="0" cap="none" spc="0" baseline="0">
              <a:ln w="0"/>
              <a:solidFill>
                <a:srgbClr val="E9E8D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Despesa Variável | ABRIL</a:t>
          </a:r>
          <a:endParaRPr lang="pt-BR" sz="1050" b="0" i="0" cap="none" spc="0">
            <a:ln w="0"/>
            <a:solidFill>
              <a:srgbClr val="E9E8D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3</xdr:col>
      <xdr:colOff>2360634</xdr:colOff>
      <xdr:row>7</xdr:row>
      <xdr:rowOff>101193</xdr:rowOff>
    </xdr:from>
    <xdr:to>
      <xdr:col>7</xdr:col>
      <xdr:colOff>527507</xdr:colOff>
      <xdr:row>11</xdr:row>
      <xdr:rowOff>19951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E21EDE5C-DF2C-C98E-E7F4-7EED55DDF9DF}"/>
            </a:ext>
          </a:extLst>
        </xdr:cNvPr>
        <xdr:cNvSpPr/>
      </xdr:nvSpPr>
      <xdr:spPr>
        <a:xfrm>
          <a:off x="2932134" y="1177518"/>
          <a:ext cx="2424548" cy="718858"/>
        </a:xfrm>
        <a:prstGeom prst="roundRect">
          <a:avLst/>
        </a:prstGeom>
        <a:noFill/>
        <a:ln w="19050">
          <a:solidFill>
            <a:srgbClr val="FF0066"/>
          </a:solidFill>
        </a:ln>
        <a:effectLst>
          <a:glow rad="38100">
            <a:schemeClr val="accent2">
              <a:satMod val="175000"/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solidFill>
                <a:sysClr val="windowText" lastClr="00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1118626</xdr:colOff>
      <xdr:row>7</xdr:row>
      <xdr:rowOff>87587</xdr:rowOff>
    </xdr:from>
    <xdr:to>
      <xdr:col>11</xdr:col>
      <xdr:colOff>504266</xdr:colOff>
      <xdr:row>11</xdr:row>
      <xdr:rowOff>6345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95ADEA91-1C77-4DC2-A22E-04FC0FF591C7}"/>
            </a:ext>
          </a:extLst>
        </xdr:cNvPr>
        <xdr:cNvSpPr/>
      </xdr:nvSpPr>
      <xdr:spPr>
        <a:xfrm>
          <a:off x="5948361" y="1152146"/>
          <a:ext cx="2500876" cy="725581"/>
        </a:xfrm>
        <a:prstGeom prst="roundRect">
          <a:avLst/>
        </a:prstGeom>
        <a:noFill/>
        <a:ln w="19050">
          <a:solidFill>
            <a:srgbClr val="92D050"/>
          </a:solidFill>
        </a:ln>
        <a:effectLst>
          <a:glow rad="38100">
            <a:schemeClr val="accent3">
              <a:satMod val="175000"/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solidFill>
                <a:sysClr val="windowText" lastClr="00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9</xdr:col>
      <xdr:colOff>1427060</xdr:colOff>
      <xdr:row>7</xdr:row>
      <xdr:rowOff>128439</xdr:rowOff>
    </xdr:from>
    <xdr:to>
      <xdr:col>11</xdr:col>
      <xdr:colOff>439143</xdr:colOff>
      <xdr:row>10</xdr:row>
      <xdr:rowOff>179462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184EB1D9-551F-B8DA-1887-76A1E1833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9942" y="1192998"/>
          <a:ext cx="684421" cy="656140"/>
        </a:xfrm>
        <a:prstGeom prst="rect">
          <a:avLst/>
        </a:prstGeom>
      </xdr:spPr>
    </xdr:pic>
    <xdr:clientData/>
  </xdr:twoCellAnchor>
  <xdr:twoCellAnchor editAs="oneCell">
    <xdr:from>
      <xdr:col>6</xdr:col>
      <xdr:colOff>128865</xdr:colOff>
      <xdr:row>7</xdr:row>
      <xdr:rowOff>187138</xdr:rowOff>
    </xdr:from>
    <xdr:to>
      <xdr:col>7</xdr:col>
      <xdr:colOff>423992</xdr:colOff>
      <xdr:row>10</xdr:row>
      <xdr:rowOff>139443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5222E762-6204-2525-3E0A-08234DAF5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19915" y="1263463"/>
          <a:ext cx="533252" cy="552380"/>
        </a:xfrm>
        <a:prstGeom prst="rect">
          <a:avLst/>
        </a:prstGeom>
      </xdr:spPr>
    </xdr:pic>
    <xdr:clientData/>
  </xdr:twoCellAnchor>
  <xdr:twoCellAnchor editAs="oneCell">
    <xdr:from>
      <xdr:col>27</xdr:col>
      <xdr:colOff>109434</xdr:colOff>
      <xdr:row>7</xdr:row>
      <xdr:rowOff>164359</xdr:rowOff>
    </xdr:from>
    <xdr:to>
      <xdr:col>27</xdr:col>
      <xdr:colOff>708119</xdr:colOff>
      <xdr:row>10</xdr:row>
      <xdr:rowOff>118695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50987004-DB55-6788-362A-6B76E7EE3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840316" y="1228918"/>
          <a:ext cx="598685" cy="559453"/>
        </a:xfrm>
        <a:prstGeom prst="rect">
          <a:avLst/>
        </a:prstGeom>
      </xdr:spPr>
    </xdr:pic>
    <xdr:clientData/>
  </xdr:twoCellAnchor>
  <xdr:twoCellAnchor>
    <xdr:from>
      <xdr:col>23</xdr:col>
      <xdr:colOff>1311651</xdr:colOff>
      <xdr:row>7</xdr:row>
      <xdr:rowOff>114801</xdr:rowOff>
    </xdr:from>
    <xdr:to>
      <xdr:col>27</xdr:col>
      <xdr:colOff>809370</xdr:colOff>
      <xdr:row>11</xdr:row>
      <xdr:rowOff>33559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id="{197E3717-DD62-4F68-8569-3219728A4AB9}"/>
            </a:ext>
          </a:extLst>
        </xdr:cNvPr>
        <xdr:cNvSpPr/>
      </xdr:nvSpPr>
      <xdr:spPr>
        <a:xfrm>
          <a:off x="16574063" y="1179360"/>
          <a:ext cx="2590542" cy="725581"/>
        </a:xfrm>
        <a:prstGeom prst="roundRect">
          <a:avLst/>
        </a:prstGeom>
        <a:noFill/>
        <a:ln w="19050">
          <a:solidFill>
            <a:srgbClr val="F67B16"/>
          </a:solidFill>
        </a:ln>
        <a:effectLst>
          <a:glow rad="38100">
            <a:schemeClr val="accent6">
              <a:satMod val="175000"/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solidFill>
                <a:sysClr val="windowText" lastClr="00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28</xdr:col>
      <xdr:colOff>108700</xdr:colOff>
      <xdr:row>7</xdr:row>
      <xdr:rowOff>125328</xdr:rowOff>
    </xdr:from>
    <xdr:to>
      <xdr:col>33</xdr:col>
      <xdr:colOff>302559</xdr:colOff>
      <xdr:row>11</xdr:row>
      <xdr:rowOff>44086</xdr:rowOff>
    </xdr:to>
    <xdr:sp macro="" textlink="">
      <xdr:nvSpPr>
        <xdr:cNvPr id="42" name="Retângulo: Cantos Arredondados 41">
          <a:extLst>
            <a:ext uri="{FF2B5EF4-FFF2-40B4-BE49-F238E27FC236}">
              <a16:creationId xmlns:a16="http://schemas.microsoft.com/office/drawing/2014/main" id="{E6E76910-B358-4118-BADA-6C3B3B0E925E}"/>
            </a:ext>
          </a:extLst>
        </xdr:cNvPr>
        <xdr:cNvSpPr/>
      </xdr:nvSpPr>
      <xdr:spPr>
        <a:xfrm>
          <a:off x="22128259" y="1189887"/>
          <a:ext cx="2435035" cy="725581"/>
        </a:xfrm>
        <a:prstGeom prst="roundRect">
          <a:avLst/>
        </a:prstGeom>
        <a:noFill/>
        <a:ln w="19050">
          <a:solidFill>
            <a:schemeClr val="tx1"/>
          </a:solidFill>
        </a:ln>
        <a:effectLst>
          <a:glow rad="38100">
            <a:schemeClr val="tx1"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solidFill>
                <a:sysClr val="windowText" lastClr="00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32</xdr:col>
      <xdr:colOff>36582</xdr:colOff>
      <xdr:row>7</xdr:row>
      <xdr:rowOff>200524</xdr:rowOff>
    </xdr:from>
    <xdr:to>
      <xdr:col>33</xdr:col>
      <xdr:colOff>205515</xdr:colOff>
      <xdr:row>10</xdr:row>
      <xdr:rowOff>152248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F80E14A6-4B98-5860-A9C3-6E60F3F87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938729" y="1265083"/>
          <a:ext cx="527521" cy="556841"/>
        </a:xfrm>
        <a:prstGeom prst="rect">
          <a:avLst/>
        </a:prstGeom>
      </xdr:spPr>
    </xdr:pic>
    <xdr:clientData/>
  </xdr:twoCellAnchor>
  <xdr:twoCellAnchor>
    <xdr:from>
      <xdr:col>16</xdr:col>
      <xdr:colOff>16516</xdr:colOff>
      <xdr:row>7</xdr:row>
      <xdr:rowOff>99084</xdr:rowOff>
    </xdr:from>
    <xdr:to>
      <xdr:col>19</xdr:col>
      <xdr:colOff>493273</xdr:colOff>
      <xdr:row>11</xdr:row>
      <xdr:rowOff>17842</xdr:rowOff>
    </xdr:to>
    <xdr:sp macro="" textlink="">
      <xdr:nvSpPr>
        <xdr:cNvPr id="58" name="Retângulo: Cantos Arredondados 57">
          <a:extLst>
            <a:ext uri="{FF2B5EF4-FFF2-40B4-BE49-F238E27FC236}">
              <a16:creationId xmlns:a16="http://schemas.microsoft.com/office/drawing/2014/main" id="{022298CA-90A4-4CF8-9150-665A4736C4B7}"/>
            </a:ext>
          </a:extLst>
        </xdr:cNvPr>
        <xdr:cNvSpPr/>
      </xdr:nvSpPr>
      <xdr:spPr>
        <a:xfrm>
          <a:off x="12331781" y="1163643"/>
          <a:ext cx="2415374" cy="725581"/>
        </a:xfrm>
        <a:prstGeom prst="roundRect">
          <a:avLst/>
        </a:prstGeom>
        <a:noFill/>
        <a:ln w="19050">
          <a:solidFill>
            <a:srgbClr val="92D050"/>
          </a:solidFill>
        </a:ln>
        <a:effectLst>
          <a:glow rad="38100">
            <a:schemeClr val="accent3">
              <a:satMod val="175000"/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solidFill>
                <a:sysClr val="windowText" lastClr="00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17</xdr:col>
      <xdr:colOff>1418428</xdr:colOff>
      <xdr:row>7</xdr:row>
      <xdr:rowOff>107929</xdr:rowOff>
    </xdr:from>
    <xdr:to>
      <xdr:col>19</xdr:col>
      <xdr:colOff>414469</xdr:colOff>
      <xdr:row>10</xdr:row>
      <xdr:rowOff>158952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0E018D42-A270-4AF9-8542-BB8D55D8F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69016" y="1172488"/>
          <a:ext cx="699335" cy="656140"/>
        </a:xfrm>
        <a:prstGeom prst="rect">
          <a:avLst/>
        </a:prstGeom>
      </xdr:spPr>
    </xdr:pic>
    <xdr:clientData/>
  </xdr:twoCellAnchor>
  <xdr:twoCellAnchor editAs="oneCell">
    <xdr:from>
      <xdr:col>21</xdr:col>
      <xdr:colOff>1403918</xdr:colOff>
      <xdr:row>7</xdr:row>
      <xdr:rowOff>97551</xdr:rowOff>
    </xdr:from>
    <xdr:to>
      <xdr:col>23</xdr:col>
      <xdr:colOff>405858</xdr:colOff>
      <xdr:row>10</xdr:row>
      <xdr:rowOff>159780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3670A5BF-EC3C-4738-B1E2-137B9CD1E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36977" y="1162110"/>
          <a:ext cx="694028" cy="667346"/>
        </a:xfrm>
        <a:prstGeom prst="rect">
          <a:avLst/>
        </a:prstGeom>
      </xdr:spPr>
    </xdr:pic>
    <xdr:clientData/>
  </xdr:twoCellAnchor>
  <xdr:twoCellAnchor>
    <xdr:from>
      <xdr:col>2</xdr:col>
      <xdr:colOff>3677</xdr:colOff>
      <xdr:row>13</xdr:row>
      <xdr:rowOff>19495</xdr:rowOff>
    </xdr:from>
    <xdr:to>
      <xdr:col>32</xdr:col>
      <xdr:colOff>0</xdr:colOff>
      <xdr:row>48</xdr:row>
      <xdr:rowOff>0</xdr:rowOff>
    </xdr:to>
    <xdr:sp macro="" textlink="">
      <xdr:nvSpPr>
        <xdr:cNvPr id="63" name="Retângulo 62">
          <a:extLst>
            <a:ext uri="{FF2B5EF4-FFF2-40B4-BE49-F238E27FC236}">
              <a16:creationId xmlns:a16="http://schemas.microsoft.com/office/drawing/2014/main" id="{260D19C3-4F59-47C7-8E87-598A6343EDE7}"/>
            </a:ext>
          </a:extLst>
        </xdr:cNvPr>
        <xdr:cNvSpPr/>
      </xdr:nvSpPr>
      <xdr:spPr>
        <a:xfrm>
          <a:off x="184652" y="2295970"/>
          <a:ext cx="22580098" cy="6047930"/>
        </a:xfrm>
        <a:prstGeom prst="rect">
          <a:avLst/>
        </a:prstGeom>
        <a:noFill/>
        <a:ln>
          <a:solidFill>
            <a:schemeClr val="bg1"/>
          </a:solidFill>
        </a:ln>
        <a:effectLst>
          <a:glow rad="88900">
            <a:schemeClr val="bg1"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232108</xdr:colOff>
      <xdr:row>12</xdr:row>
      <xdr:rowOff>180474</xdr:rowOff>
    </xdr:from>
    <xdr:to>
      <xdr:col>37</xdr:col>
      <xdr:colOff>101768</xdr:colOff>
      <xdr:row>21</xdr:row>
      <xdr:rowOff>95250</xdr:rowOff>
    </xdr:to>
    <xdr:sp macro="" textlink="">
      <xdr:nvSpPr>
        <xdr:cNvPr id="65" name="Retângulo 64">
          <a:extLst>
            <a:ext uri="{FF2B5EF4-FFF2-40B4-BE49-F238E27FC236}">
              <a16:creationId xmlns:a16="http://schemas.microsoft.com/office/drawing/2014/main" id="{11988A2C-35CE-4D21-89E5-3037853A9589}"/>
            </a:ext>
          </a:extLst>
        </xdr:cNvPr>
        <xdr:cNvSpPr/>
      </xdr:nvSpPr>
      <xdr:spPr>
        <a:xfrm>
          <a:off x="24245691" y="2275974"/>
          <a:ext cx="3827827" cy="1650443"/>
        </a:xfrm>
        <a:prstGeom prst="rect">
          <a:avLst/>
        </a:prstGeom>
        <a:noFill/>
        <a:ln>
          <a:solidFill>
            <a:schemeClr val="bg1"/>
          </a:solidFill>
        </a:ln>
        <a:effectLst>
          <a:glow rad="38100">
            <a:schemeClr val="bg1"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238124</xdr:colOff>
      <xdr:row>22</xdr:row>
      <xdr:rowOff>137582</xdr:rowOff>
    </xdr:from>
    <xdr:to>
      <xdr:col>37</xdr:col>
      <xdr:colOff>109424</xdr:colOff>
      <xdr:row>32</xdr:row>
      <xdr:rowOff>95249</xdr:rowOff>
    </xdr:to>
    <xdr:sp macro="" textlink="">
      <xdr:nvSpPr>
        <xdr:cNvPr id="66" name="Retângulo 65">
          <a:extLst>
            <a:ext uri="{FF2B5EF4-FFF2-40B4-BE49-F238E27FC236}">
              <a16:creationId xmlns:a16="http://schemas.microsoft.com/office/drawing/2014/main" id="{A2F53E67-43D5-42C0-B697-5BF62E765353}"/>
            </a:ext>
          </a:extLst>
        </xdr:cNvPr>
        <xdr:cNvSpPr/>
      </xdr:nvSpPr>
      <xdr:spPr>
        <a:xfrm>
          <a:off x="24251707" y="4159249"/>
          <a:ext cx="3829467" cy="1799167"/>
        </a:xfrm>
        <a:prstGeom prst="rect">
          <a:avLst/>
        </a:prstGeom>
        <a:noFill/>
        <a:ln>
          <a:solidFill>
            <a:schemeClr val="bg1"/>
          </a:solidFill>
        </a:ln>
        <a:effectLst>
          <a:glow rad="38100">
            <a:schemeClr val="bg1"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235115</xdr:colOff>
      <xdr:row>33</xdr:row>
      <xdr:rowOff>127000</xdr:rowOff>
    </xdr:from>
    <xdr:to>
      <xdr:col>37</xdr:col>
      <xdr:colOff>104775</xdr:colOff>
      <xdr:row>48</xdr:row>
      <xdr:rowOff>0</xdr:rowOff>
    </xdr:to>
    <xdr:sp macro="" textlink="">
      <xdr:nvSpPr>
        <xdr:cNvPr id="71" name="Retângulo 70">
          <a:extLst>
            <a:ext uri="{FF2B5EF4-FFF2-40B4-BE49-F238E27FC236}">
              <a16:creationId xmlns:a16="http://schemas.microsoft.com/office/drawing/2014/main" id="{7537024E-3E0D-45D4-9434-5EC141CA8F7C}"/>
            </a:ext>
          </a:extLst>
        </xdr:cNvPr>
        <xdr:cNvSpPr/>
      </xdr:nvSpPr>
      <xdr:spPr>
        <a:xfrm>
          <a:off x="24248698" y="6021917"/>
          <a:ext cx="3827827" cy="2688166"/>
        </a:xfrm>
        <a:prstGeom prst="rect">
          <a:avLst/>
        </a:prstGeom>
        <a:noFill/>
        <a:ln>
          <a:solidFill>
            <a:schemeClr val="bg1"/>
          </a:solidFill>
        </a:ln>
        <a:effectLst>
          <a:glow rad="38100">
            <a:schemeClr val="bg1"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30080</xdr:colOff>
      <xdr:row>1</xdr:row>
      <xdr:rowOff>98256</xdr:rowOff>
    </xdr:from>
    <xdr:to>
      <xdr:col>3</xdr:col>
      <xdr:colOff>1721578</xdr:colOff>
      <xdr:row>5</xdr:row>
      <xdr:rowOff>198376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9C728B8D-7214-A708-F28C-F909D58C9A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10129"/>
        <a:stretch/>
      </xdr:blipFill>
      <xdr:spPr>
        <a:xfrm>
          <a:off x="77705" y="145881"/>
          <a:ext cx="2214813" cy="719245"/>
        </a:xfrm>
        <a:prstGeom prst="rect">
          <a:avLst/>
        </a:prstGeom>
      </xdr:spPr>
    </xdr:pic>
    <xdr:clientData/>
  </xdr:twoCellAnchor>
  <xdr:twoCellAnchor>
    <xdr:from>
      <xdr:col>11</xdr:col>
      <xdr:colOff>1214995</xdr:colOff>
      <xdr:row>7</xdr:row>
      <xdr:rowOff>94310</xdr:rowOff>
    </xdr:from>
    <xdr:to>
      <xdr:col>15</xdr:col>
      <xdr:colOff>679077</xdr:colOff>
      <xdr:row>11</xdr:row>
      <xdr:rowOff>13068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CE97DD12-BF12-4645-90D0-4E16712F16EB}"/>
            </a:ext>
          </a:extLst>
        </xdr:cNvPr>
        <xdr:cNvSpPr/>
      </xdr:nvSpPr>
      <xdr:spPr>
        <a:xfrm>
          <a:off x="9159966" y="1158869"/>
          <a:ext cx="2500876" cy="725581"/>
        </a:xfrm>
        <a:prstGeom prst="roundRect">
          <a:avLst/>
        </a:prstGeom>
        <a:noFill/>
        <a:ln w="19050">
          <a:solidFill>
            <a:srgbClr val="92D050"/>
          </a:solidFill>
        </a:ln>
        <a:effectLst>
          <a:glow rad="38100">
            <a:schemeClr val="accent3">
              <a:satMod val="175000"/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solidFill>
                <a:sysClr val="windowText" lastClr="00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14</xdr:col>
      <xdr:colOff>84929</xdr:colOff>
      <xdr:row>7</xdr:row>
      <xdr:rowOff>119137</xdr:rowOff>
    </xdr:from>
    <xdr:to>
      <xdr:col>15</xdr:col>
      <xdr:colOff>548940</xdr:colOff>
      <xdr:row>10</xdr:row>
      <xdr:rowOff>170160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CF25C77-B511-47B6-9CFF-49FC9B892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31370" y="1183696"/>
          <a:ext cx="699335" cy="656140"/>
        </a:xfrm>
        <a:prstGeom prst="rect">
          <a:avLst/>
        </a:prstGeom>
      </xdr:spPr>
    </xdr:pic>
    <xdr:clientData/>
  </xdr:twoCellAnchor>
  <xdr:twoCellAnchor>
    <xdr:from>
      <xdr:col>20</xdr:col>
      <xdr:colOff>5311</xdr:colOff>
      <xdr:row>7</xdr:row>
      <xdr:rowOff>105808</xdr:rowOff>
    </xdr:from>
    <xdr:to>
      <xdr:col>23</xdr:col>
      <xdr:colOff>421555</xdr:colOff>
      <xdr:row>11</xdr:row>
      <xdr:rowOff>24566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07FE5618-AF66-48D9-9A0A-FBFC892B8EDE}"/>
            </a:ext>
          </a:extLst>
        </xdr:cNvPr>
        <xdr:cNvSpPr/>
      </xdr:nvSpPr>
      <xdr:spPr>
        <a:xfrm>
          <a:off x="15503046" y="1170367"/>
          <a:ext cx="2343656" cy="725581"/>
        </a:xfrm>
        <a:prstGeom prst="roundRect">
          <a:avLst/>
        </a:prstGeom>
        <a:noFill/>
        <a:ln w="19050">
          <a:solidFill>
            <a:srgbClr val="92D050"/>
          </a:solidFill>
        </a:ln>
        <a:effectLst>
          <a:glow rad="38100">
            <a:schemeClr val="accent3">
              <a:satMod val="175000"/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solidFill>
                <a:sysClr val="windowText" lastClr="000000"/>
              </a:solidFill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15585</xdr:colOff>
      <xdr:row>0</xdr:row>
      <xdr:rowOff>0</xdr:rowOff>
    </xdr:from>
    <xdr:to>
      <xdr:col>3</xdr:col>
      <xdr:colOff>898161</xdr:colOff>
      <xdr:row>8</xdr:row>
      <xdr:rowOff>113434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ia 5">
              <a:extLst>
                <a:ext uri="{FF2B5EF4-FFF2-40B4-BE49-F238E27FC236}">
                  <a16:creationId xmlns:a16="http://schemas.microsoft.com/office/drawing/2014/main" id="{E876C03D-6D03-4FA0-BC9E-253E6CF242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ia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560" y="135081"/>
              <a:ext cx="5448218" cy="14088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35612</xdr:colOff>
      <xdr:row>2</xdr:row>
      <xdr:rowOff>2240</xdr:rowOff>
    </xdr:from>
    <xdr:to>
      <xdr:col>11</xdr:col>
      <xdr:colOff>338643</xdr:colOff>
      <xdr:row>6</xdr:row>
      <xdr:rowOff>19340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9FDA9F6-3AAC-4250-A8C9-6ADEDA371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547" y="333544"/>
          <a:ext cx="2522770" cy="6797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548986</xdr:colOff>
      <xdr:row>0</xdr:row>
      <xdr:rowOff>135081</xdr:rowOff>
    </xdr:from>
    <xdr:to>
      <xdr:col>5</xdr:col>
      <xdr:colOff>52820</xdr:colOff>
      <xdr:row>9</xdr:row>
      <xdr:rowOff>86590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ia 4">
              <a:extLst>
                <a:ext uri="{FF2B5EF4-FFF2-40B4-BE49-F238E27FC236}">
                  <a16:creationId xmlns:a16="http://schemas.microsoft.com/office/drawing/2014/main" id="{B4752D9B-1911-4968-85AC-9BB3FFE695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i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511" y="135081"/>
              <a:ext cx="5542684" cy="14088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685800</xdr:colOff>
      <xdr:row>1</xdr:row>
      <xdr:rowOff>85725</xdr:rowOff>
    </xdr:from>
    <xdr:to>
      <xdr:col>15</xdr:col>
      <xdr:colOff>66389</xdr:colOff>
      <xdr:row>5</xdr:row>
      <xdr:rowOff>123739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5E9610D-01DC-46AB-9104-2E7A7BA1B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53925" y="247650"/>
          <a:ext cx="2285714" cy="6857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548986</xdr:colOff>
      <xdr:row>0</xdr:row>
      <xdr:rowOff>135081</xdr:rowOff>
    </xdr:from>
    <xdr:to>
      <xdr:col>3</xdr:col>
      <xdr:colOff>1291070</xdr:colOff>
      <xdr:row>9</xdr:row>
      <xdr:rowOff>86590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ia">
              <a:extLst>
                <a:ext uri="{FF2B5EF4-FFF2-40B4-BE49-F238E27FC236}">
                  <a16:creationId xmlns:a16="http://schemas.microsoft.com/office/drawing/2014/main" id="{7C52E30B-4265-4D32-C865-7ED7322662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511" y="135081"/>
              <a:ext cx="5542684" cy="14088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333375</xdr:colOff>
      <xdr:row>2</xdr:row>
      <xdr:rowOff>28575</xdr:rowOff>
    </xdr:from>
    <xdr:to>
      <xdr:col>13</xdr:col>
      <xdr:colOff>933434</xdr:colOff>
      <xdr:row>6</xdr:row>
      <xdr:rowOff>63726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7E621C6-0538-4CC1-9039-558F5C447E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50" t="6381" r="28893" b="30945"/>
        <a:stretch/>
      </xdr:blipFill>
      <xdr:spPr>
        <a:xfrm>
          <a:off x="14354175" y="352425"/>
          <a:ext cx="600059" cy="6828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548986</xdr:colOff>
      <xdr:row>0</xdr:row>
      <xdr:rowOff>135081</xdr:rowOff>
    </xdr:from>
    <xdr:to>
      <xdr:col>3</xdr:col>
      <xdr:colOff>1186295</xdr:colOff>
      <xdr:row>9</xdr:row>
      <xdr:rowOff>86590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ia 1">
              <a:extLst>
                <a:ext uri="{FF2B5EF4-FFF2-40B4-BE49-F238E27FC236}">
                  <a16:creationId xmlns:a16="http://schemas.microsoft.com/office/drawing/2014/main" id="{A997D03B-8BA5-4508-BDCC-4081250B25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511" y="135081"/>
              <a:ext cx="5542684" cy="14088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333375</xdr:colOff>
      <xdr:row>2</xdr:row>
      <xdr:rowOff>28575</xdr:rowOff>
    </xdr:from>
    <xdr:to>
      <xdr:col>15</xdr:col>
      <xdr:colOff>933434</xdr:colOff>
      <xdr:row>6</xdr:row>
      <xdr:rowOff>63726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75610E4-ABE5-445E-873D-1FB6F536A1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50" t="6381" r="28893" b="30945"/>
        <a:stretch/>
      </xdr:blipFill>
      <xdr:spPr>
        <a:xfrm>
          <a:off x="14058900" y="352425"/>
          <a:ext cx="600059" cy="6828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548986</xdr:colOff>
      <xdr:row>0</xdr:row>
      <xdr:rowOff>135081</xdr:rowOff>
    </xdr:from>
    <xdr:to>
      <xdr:col>5</xdr:col>
      <xdr:colOff>81395</xdr:colOff>
      <xdr:row>9</xdr:row>
      <xdr:rowOff>86590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ia 2">
              <a:extLst>
                <a:ext uri="{FF2B5EF4-FFF2-40B4-BE49-F238E27FC236}">
                  <a16:creationId xmlns:a16="http://schemas.microsoft.com/office/drawing/2014/main" id="{7CBC23FF-9FC4-4419-B4C6-BC70B559E8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511" y="135081"/>
              <a:ext cx="5542684" cy="14088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342900</xdr:colOff>
      <xdr:row>1</xdr:row>
      <xdr:rowOff>85725</xdr:rowOff>
    </xdr:from>
    <xdr:to>
      <xdr:col>16</xdr:col>
      <xdr:colOff>9509</xdr:colOff>
      <xdr:row>5</xdr:row>
      <xdr:rowOff>120876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388FAAEF-4FE9-49AA-8F08-77FD1186BB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50" t="6381" r="28893" b="30945"/>
        <a:stretch/>
      </xdr:blipFill>
      <xdr:spPr>
        <a:xfrm>
          <a:off x="14354175" y="247650"/>
          <a:ext cx="600059" cy="6828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548986</xdr:colOff>
      <xdr:row>0</xdr:row>
      <xdr:rowOff>135081</xdr:rowOff>
    </xdr:from>
    <xdr:to>
      <xdr:col>5</xdr:col>
      <xdr:colOff>129020</xdr:colOff>
      <xdr:row>9</xdr:row>
      <xdr:rowOff>86590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ia 3">
              <a:extLst>
                <a:ext uri="{FF2B5EF4-FFF2-40B4-BE49-F238E27FC236}">
                  <a16:creationId xmlns:a16="http://schemas.microsoft.com/office/drawing/2014/main" id="{F83EA253-F234-4C57-92D8-AB7EADB402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i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511" y="135081"/>
              <a:ext cx="5542684" cy="14088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190500</xdr:colOff>
      <xdr:row>1</xdr:row>
      <xdr:rowOff>114300</xdr:rowOff>
    </xdr:from>
    <xdr:to>
      <xdr:col>15</xdr:col>
      <xdr:colOff>790559</xdr:colOff>
      <xdr:row>5</xdr:row>
      <xdr:rowOff>149451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C1E393B-6EFF-484C-8EF2-242AE3F325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50" t="6381" r="28893" b="30945"/>
        <a:stretch/>
      </xdr:blipFill>
      <xdr:spPr>
        <a:xfrm>
          <a:off x="14239875" y="276225"/>
          <a:ext cx="600059" cy="6828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590551</xdr:colOff>
      <xdr:row>0</xdr:row>
      <xdr:rowOff>95249</xdr:rowOff>
    </xdr:from>
    <xdr:ext cx="772641" cy="752249"/>
    <xdr:pic>
      <xdr:nvPicPr>
        <xdr:cNvPr id="2" name="Imagem 1">
          <a:extLst>
            <a:ext uri="{FF2B5EF4-FFF2-40B4-BE49-F238E27FC236}">
              <a16:creationId xmlns:a16="http://schemas.microsoft.com/office/drawing/2014/main" id="{8E34C6C5-7052-4381-89C4-01E62F93B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1" y="95249"/>
          <a:ext cx="772641" cy="752249"/>
        </a:xfrm>
        <a:prstGeom prst="rect">
          <a:avLst/>
        </a:prstGeom>
      </xdr:spPr>
    </xdr:pic>
    <xdr:clientData/>
  </xdr:oneCellAnchor>
  <xdr:oneCellAnchor>
    <xdr:from>
      <xdr:col>8</xdr:col>
      <xdr:colOff>979984</xdr:colOff>
      <xdr:row>0</xdr:row>
      <xdr:rowOff>183598</xdr:rowOff>
    </xdr:from>
    <xdr:ext cx="2484023" cy="700154"/>
    <xdr:pic>
      <xdr:nvPicPr>
        <xdr:cNvPr id="3" name="Imagem 2">
          <a:extLst>
            <a:ext uri="{FF2B5EF4-FFF2-40B4-BE49-F238E27FC236}">
              <a16:creationId xmlns:a16="http://schemas.microsoft.com/office/drawing/2014/main" id="{67D1B43D-B425-44B6-84A3-C3E081F39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05102" y="183598"/>
          <a:ext cx="2484023" cy="700154"/>
        </a:xfrm>
        <a:prstGeom prst="rect">
          <a:avLst/>
        </a:prstGeom>
      </xdr:spPr>
    </xdr:pic>
    <xdr:clientData/>
  </xdr:oneCellAnchor>
  <xdr:oneCellAnchor>
    <xdr:from>
      <xdr:col>1</xdr:col>
      <xdr:colOff>590551</xdr:colOff>
      <xdr:row>0</xdr:row>
      <xdr:rowOff>95249</xdr:rowOff>
    </xdr:from>
    <xdr:ext cx="772641" cy="752249"/>
    <xdr:pic>
      <xdr:nvPicPr>
        <xdr:cNvPr id="6" name="Imagem 5">
          <a:extLst>
            <a:ext uri="{FF2B5EF4-FFF2-40B4-BE49-F238E27FC236}">
              <a16:creationId xmlns:a16="http://schemas.microsoft.com/office/drawing/2014/main" id="{CC63FB70-9FE4-4C70-9281-D4F3959DF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6" y="95249"/>
          <a:ext cx="772641" cy="752249"/>
        </a:xfrm>
        <a:prstGeom prst="rect">
          <a:avLst/>
        </a:prstGeom>
      </xdr:spPr>
    </xdr:pic>
    <xdr:clientData/>
  </xdr:oneCellAnchor>
  <xdr:oneCellAnchor>
    <xdr:from>
      <xdr:col>8</xdr:col>
      <xdr:colOff>979984</xdr:colOff>
      <xdr:row>0</xdr:row>
      <xdr:rowOff>183598</xdr:rowOff>
    </xdr:from>
    <xdr:ext cx="2484023" cy="700154"/>
    <xdr:pic>
      <xdr:nvPicPr>
        <xdr:cNvPr id="7" name="Imagem 6">
          <a:extLst>
            <a:ext uri="{FF2B5EF4-FFF2-40B4-BE49-F238E27FC236}">
              <a16:creationId xmlns:a16="http://schemas.microsoft.com/office/drawing/2014/main" id="{9CBE9C32-3911-440F-B67C-B7DECB424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90534" y="183598"/>
          <a:ext cx="2484023" cy="700154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685800</xdr:colOff>
      <xdr:row>0</xdr:row>
      <xdr:rowOff>129592</xdr:rowOff>
    </xdr:from>
    <xdr:to>
      <xdr:col>4</xdr:col>
      <xdr:colOff>1986379</xdr:colOff>
      <xdr:row>4</xdr:row>
      <xdr:rowOff>67602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493DEB-A846-4E84-A8BA-D35BDD77C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2075" y="129592"/>
          <a:ext cx="2072104" cy="585710"/>
        </a:xfrm>
        <a:prstGeom prst="rect">
          <a:avLst/>
        </a:prstGeom>
      </xdr:spPr>
    </xdr:pic>
    <xdr:clientData/>
  </xdr:twoCellAnchor>
  <xdr:twoCellAnchor editAs="oneCell">
    <xdr:from>
      <xdr:col>5</xdr:col>
      <xdr:colOff>1466852</xdr:colOff>
      <xdr:row>1</xdr:row>
      <xdr:rowOff>81019</xdr:rowOff>
    </xdr:from>
    <xdr:to>
      <xdr:col>6</xdr:col>
      <xdr:colOff>9526</xdr:colOff>
      <xdr:row>4</xdr:row>
      <xdr:rowOff>148325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25D35AC-F18E-40B5-BF5E-3A0CD8592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38727" y="242944"/>
          <a:ext cx="771524" cy="553081"/>
        </a:xfrm>
        <a:prstGeom prst="rect">
          <a:avLst/>
        </a:prstGeom>
      </xdr:spPr>
    </xdr:pic>
    <xdr:clientData/>
  </xdr:twoCellAnchor>
  <xdr:twoCellAnchor>
    <xdr:from>
      <xdr:col>3</xdr:col>
      <xdr:colOff>28575</xdr:colOff>
      <xdr:row>32</xdr:row>
      <xdr:rowOff>95250</xdr:rowOff>
    </xdr:from>
    <xdr:to>
      <xdr:col>6</xdr:col>
      <xdr:colOff>38100</xdr:colOff>
      <xdr:row>34</xdr:row>
      <xdr:rowOff>66675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D4217222-D770-46D9-8D14-17C2B88A1177}"/>
            </a:ext>
          </a:extLst>
        </xdr:cNvPr>
        <xdr:cNvSpPr/>
      </xdr:nvSpPr>
      <xdr:spPr>
        <a:xfrm>
          <a:off x="1419225" y="5514975"/>
          <a:ext cx="4419600" cy="838200"/>
        </a:xfrm>
        <a:prstGeom prst="rect">
          <a:avLst/>
        </a:prstGeom>
        <a:noFill/>
        <a:ln w="1905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9525</xdr:colOff>
      <xdr:row>43</xdr:row>
      <xdr:rowOff>85725</xdr:rowOff>
    </xdr:from>
    <xdr:to>
      <xdr:col>11</xdr:col>
      <xdr:colOff>0</xdr:colOff>
      <xdr:row>45</xdr:row>
      <xdr:rowOff>76200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C10CE227-BC2A-45D4-8FEE-32B0C96F6CE6}"/>
            </a:ext>
          </a:extLst>
        </xdr:cNvPr>
        <xdr:cNvSpPr/>
      </xdr:nvSpPr>
      <xdr:spPr>
        <a:xfrm>
          <a:off x="7172325" y="9620250"/>
          <a:ext cx="3362325" cy="72390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6</xdr:col>
      <xdr:colOff>123825</xdr:colOff>
      <xdr:row>33</xdr:row>
      <xdr:rowOff>600075</xdr:rowOff>
    </xdr:from>
    <xdr:to>
      <xdr:col>6</xdr:col>
      <xdr:colOff>683754</xdr:colOff>
      <xdr:row>37</xdr:row>
      <xdr:rowOff>18933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3240C8C-6305-4CD2-9A34-4FAD7F4C6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24550" y="4781550"/>
          <a:ext cx="559929" cy="638058"/>
        </a:xfrm>
        <a:prstGeom prst="rect">
          <a:avLst/>
        </a:prstGeom>
      </xdr:spPr>
    </xdr:pic>
    <xdr:clientData/>
  </xdr:twoCellAnchor>
  <xdr:twoCellAnchor>
    <xdr:from>
      <xdr:col>8</xdr:col>
      <xdr:colOff>1495425</xdr:colOff>
      <xdr:row>45</xdr:row>
      <xdr:rowOff>142874</xdr:rowOff>
    </xdr:from>
    <xdr:to>
      <xdr:col>8</xdr:col>
      <xdr:colOff>1885950</xdr:colOff>
      <xdr:row>45</xdr:row>
      <xdr:rowOff>419099</xdr:rowOff>
    </xdr:to>
    <xdr:sp macro="" textlink="">
      <xdr:nvSpPr>
        <xdr:cNvPr id="7" name="Seta: para Baixo 6">
          <a:extLst>
            <a:ext uri="{FF2B5EF4-FFF2-40B4-BE49-F238E27FC236}">
              <a16:creationId xmlns:a16="http://schemas.microsoft.com/office/drawing/2014/main" id="{1C96516B-246D-41D1-A624-E00F6B333663}"/>
            </a:ext>
          </a:extLst>
        </xdr:cNvPr>
        <xdr:cNvSpPr/>
      </xdr:nvSpPr>
      <xdr:spPr>
        <a:xfrm>
          <a:off x="8096250" y="8458199"/>
          <a:ext cx="390525" cy="276225"/>
        </a:xfrm>
        <a:prstGeom prst="down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28575</xdr:colOff>
      <xdr:row>34</xdr:row>
      <xdr:rowOff>114300</xdr:rowOff>
    </xdr:from>
    <xdr:to>
      <xdr:col>6</xdr:col>
      <xdr:colOff>38100</xdr:colOff>
      <xdr:row>41</xdr:row>
      <xdr:rowOff>66675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7E7B4B18-905F-43DB-BB5E-742972170AB4}"/>
            </a:ext>
          </a:extLst>
        </xdr:cNvPr>
        <xdr:cNvSpPr/>
      </xdr:nvSpPr>
      <xdr:spPr>
        <a:xfrm>
          <a:off x="1419225" y="5000625"/>
          <a:ext cx="4562475" cy="120015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350495</xdr:colOff>
      <xdr:row>0</xdr:row>
      <xdr:rowOff>55846</xdr:rowOff>
    </xdr:from>
    <xdr:to>
      <xdr:col>3</xdr:col>
      <xdr:colOff>443514</xdr:colOff>
      <xdr:row>3</xdr:row>
      <xdr:rowOff>129120</xdr:rowOff>
    </xdr:to>
    <xdr:sp macro="" textlink="">
      <xdr:nvSpPr>
        <xdr:cNvPr id="7" name="Paralelogramo 6">
          <a:extLst>
            <a:ext uri="{FF2B5EF4-FFF2-40B4-BE49-F238E27FC236}">
              <a16:creationId xmlns:a16="http://schemas.microsoft.com/office/drawing/2014/main" id="{2D315A38-429A-CDAB-7613-80ACB625BD7F}"/>
            </a:ext>
          </a:extLst>
        </xdr:cNvPr>
        <xdr:cNvSpPr/>
      </xdr:nvSpPr>
      <xdr:spPr>
        <a:xfrm rot="13772147">
          <a:off x="5114585" y="294452"/>
          <a:ext cx="570231" cy="93019"/>
        </a:xfrm>
        <a:prstGeom prst="parallelogram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627134</xdr:colOff>
      <xdr:row>0</xdr:row>
      <xdr:rowOff>67443</xdr:rowOff>
    </xdr:from>
    <xdr:to>
      <xdr:col>3</xdr:col>
      <xdr:colOff>720153</xdr:colOff>
      <xdr:row>3</xdr:row>
      <xdr:rowOff>140717</xdr:rowOff>
    </xdr:to>
    <xdr:sp macro="" textlink="">
      <xdr:nvSpPr>
        <xdr:cNvPr id="10" name="Paralelogramo 9">
          <a:extLst>
            <a:ext uri="{FF2B5EF4-FFF2-40B4-BE49-F238E27FC236}">
              <a16:creationId xmlns:a16="http://schemas.microsoft.com/office/drawing/2014/main" id="{053F83F9-B5BE-46BF-B28C-9ABC24A1562D}"/>
            </a:ext>
          </a:extLst>
        </xdr:cNvPr>
        <xdr:cNvSpPr/>
      </xdr:nvSpPr>
      <xdr:spPr>
        <a:xfrm rot="13772147">
          <a:off x="5391224" y="306049"/>
          <a:ext cx="570231" cy="93019"/>
        </a:xfrm>
        <a:prstGeom prst="parallelogram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</xdr:colOff>
      <xdr:row>3</xdr:row>
      <xdr:rowOff>82825</xdr:rowOff>
    </xdr:from>
    <xdr:to>
      <xdr:col>2</xdr:col>
      <xdr:colOff>457200</xdr:colOff>
      <xdr:row>5</xdr:row>
      <xdr:rowOff>74543</xdr:rowOff>
    </xdr:to>
    <xdr:sp macro="" textlink="">
      <xdr:nvSpPr>
        <xdr:cNvPr id="11" name="Seta: Pentágono 10">
          <a:extLst>
            <a:ext uri="{FF2B5EF4-FFF2-40B4-BE49-F238E27FC236}">
              <a16:creationId xmlns:a16="http://schemas.microsoft.com/office/drawing/2014/main" id="{42CC7DD7-8851-BB82-255A-474B90A9B2AE}"/>
            </a:ext>
          </a:extLst>
        </xdr:cNvPr>
        <xdr:cNvSpPr/>
      </xdr:nvSpPr>
      <xdr:spPr>
        <a:xfrm>
          <a:off x="628651" y="568600"/>
          <a:ext cx="1085849" cy="382243"/>
        </a:xfrm>
        <a:prstGeom prst="homePlate">
          <a:avLst/>
        </a:prstGeom>
        <a:solidFill>
          <a:srgbClr val="00194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pt-BR" sz="2000" b="1">
              <a:latin typeface="Gabriola" panose="04040605051002020D02" pitchFamily="82" charset="0"/>
            </a:rPr>
            <a:t>Janeiro</a:t>
          </a:r>
        </a:p>
      </xdr:txBody>
    </xdr:sp>
    <xdr:clientData/>
  </xdr:twoCellAnchor>
  <xdr:twoCellAnchor>
    <xdr:from>
      <xdr:col>3</xdr:col>
      <xdr:colOff>350495</xdr:colOff>
      <xdr:row>45</xdr:row>
      <xdr:rowOff>55846</xdr:rowOff>
    </xdr:from>
    <xdr:to>
      <xdr:col>3</xdr:col>
      <xdr:colOff>443514</xdr:colOff>
      <xdr:row>48</xdr:row>
      <xdr:rowOff>129120</xdr:rowOff>
    </xdr:to>
    <xdr:sp macro="" textlink="">
      <xdr:nvSpPr>
        <xdr:cNvPr id="12" name="Paralelogramo 11">
          <a:extLst>
            <a:ext uri="{FF2B5EF4-FFF2-40B4-BE49-F238E27FC236}">
              <a16:creationId xmlns:a16="http://schemas.microsoft.com/office/drawing/2014/main" id="{F2C3038F-EAAD-42E7-A04D-904118B6F5BC}"/>
            </a:ext>
          </a:extLst>
        </xdr:cNvPr>
        <xdr:cNvSpPr/>
      </xdr:nvSpPr>
      <xdr:spPr>
        <a:xfrm rot="13772147">
          <a:off x="5114585" y="294452"/>
          <a:ext cx="570231" cy="93019"/>
        </a:xfrm>
        <a:prstGeom prst="parallelogram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627134</xdr:colOff>
      <xdr:row>45</xdr:row>
      <xdr:rowOff>67443</xdr:rowOff>
    </xdr:from>
    <xdr:to>
      <xdr:col>3</xdr:col>
      <xdr:colOff>720153</xdr:colOff>
      <xdr:row>48</xdr:row>
      <xdr:rowOff>140717</xdr:rowOff>
    </xdr:to>
    <xdr:sp macro="" textlink="">
      <xdr:nvSpPr>
        <xdr:cNvPr id="13" name="Paralelogramo 12">
          <a:extLst>
            <a:ext uri="{FF2B5EF4-FFF2-40B4-BE49-F238E27FC236}">
              <a16:creationId xmlns:a16="http://schemas.microsoft.com/office/drawing/2014/main" id="{DC2FEEBC-BDD0-43E8-BB1C-9806E97EC041}"/>
            </a:ext>
          </a:extLst>
        </xdr:cNvPr>
        <xdr:cNvSpPr/>
      </xdr:nvSpPr>
      <xdr:spPr>
        <a:xfrm rot="13772147">
          <a:off x="5391224" y="306049"/>
          <a:ext cx="570231" cy="93019"/>
        </a:xfrm>
        <a:prstGeom prst="parallelogram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48</xdr:row>
      <xdr:rowOff>82825</xdr:rowOff>
    </xdr:from>
    <xdr:to>
      <xdr:col>2</xdr:col>
      <xdr:colOff>447675</xdr:colOff>
      <xdr:row>50</xdr:row>
      <xdr:rowOff>74543</xdr:rowOff>
    </xdr:to>
    <xdr:sp macro="" textlink="">
      <xdr:nvSpPr>
        <xdr:cNvPr id="14" name="Seta: Pentágono 13">
          <a:extLst>
            <a:ext uri="{FF2B5EF4-FFF2-40B4-BE49-F238E27FC236}">
              <a16:creationId xmlns:a16="http://schemas.microsoft.com/office/drawing/2014/main" id="{24B25371-C8C6-41A6-A161-222F1B2DCFEB}"/>
            </a:ext>
          </a:extLst>
        </xdr:cNvPr>
        <xdr:cNvSpPr/>
      </xdr:nvSpPr>
      <xdr:spPr>
        <a:xfrm>
          <a:off x="628650" y="7121800"/>
          <a:ext cx="1076325" cy="382243"/>
        </a:xfrm>
        <a:prstGeom prst="homePlate">
          <a:avLst/>
        </a:prstGeom>
        <a:solidFill>
          <a:srgbClr val="00194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pt-BR" sz="2000" b="1">
              <a:latin typeface="Gabriola" panose="04040605051002020D02" pitchFamily="82" charset="0"/>
            </a:rPr>
            <a:t>Janeiro</a:t>
          </a:r>
        </a:p>
      </xdr:txBody>
    </xdr:sp>
    <xdr:clientData/>
  </xdr:twoCellAnchor>
  <xdr:twoCellAnchor>
    <xdr:from>
      <xdr:col>3</xdr:col>
      <xdr:colOff>350495</xdr:colOff>
      <xdr:row>78</xdr:row>
      <xdr:rowOff>55846</xdr:rowOff>
    </xdr:from>
    <xdr:to>
      <xdr:col>3</xdr:col>
      <xdr:colOff>443514</xdr:colOff>
      <xdr:row>81</xdr:row>
      <xdr:rowOff>129120</xdr:rowOff>
    </xdr:to>
    <xdr:sp macro="" textlink="">
      <xdr:nvSpPr>
        <xdr:cNvPr id="15" name="Paralelogramo 14">
          <a:extLst>
            <a:ext uri="{FF2B5EF4-FFF2-40B4-BE49-F238E27FC236}">
              <a16:creationId xmlns:a16="http://schemas.microsoft.com/office/drawing/2014/main" id="{6413E653-B2F0-4067-96A7-68DEC66220ED}"/>
            </a:ext>
          </a:extLst>
        </xdr:cNvPr>
        <xdr:cNvSpPr/>
      </xdr:nvSpPr>
      <xdr:spPr>
        <a:xfrm rot="13772147">
          <a:off x="5114586" y="7053060"/>
          <a:ext cx="570230" cy="93019"/>
        </a:xfrm>
        <a:prstGeom prst="parallelogram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627134</xdr:colOff>
      <xdr:row>78</xdr:row>
      <xdr:rowOff>67443</xdr:rowOff>
    </xdr:from>
    <xdr:to>
      <xdr:col>3</xdr:col>
      <xdr:colOff>720153</xdr:colOff>
      <xdr:row>81</xdr:row>
      <xdr:rowOff>140717</xdr:rowOff>
    </xdr:to>
    <xdr:sp macro="" textlink="">
      <xdr:nvSpPr>
        <xdr:cNvPr id="16" name="Paralelogramo 15">
          <a:extLst>
            <a:ext uri="{FF2B5EF4-FFF2-40B4-BE49-F238E27FC236}">
              <a16:creationId xmlns:a16="http://schemas.microsoft.com/office/drawing/2014/main" id="{23A5E439-8D41-433B-82DD-D80DC320007E}"/>
            </a:ext>
          </a:extLst>
        </xdr:cNvPr>
        <xdr:cNvSpPr/>
      </xdr:nvSpPr>
      <xdr:spPr>
        <a:xfrm rot="13772147">
          <a:off x="5391225" y="7064657"/>
          <a:ext cx="570230" cy="93019"/>
        </a:xfrm>
        <a:prstGeom prst="parallelogram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81</xdr:row>
      <xdr:rowOff>82825</xdr:rowOff>
    </xdr:from>
    <xdr:to>
      <xdr:col>2</xdr:col>
      <xdr:colOff>457200</xdr:colOff>
      <xdr:row>83</xdr:row>
      <xdr:rowOff>74543</xdr:rowOff>
    </xdr:to>
    <xdr:sp macro="" textlink="">
      <xdr:nvSpPr>
        <xdr:cNvPr id="17" name="Seta: Pentágono 16">
          <a:extLst>
            <a:ext uri="{FF2B5EF4-FFF2-40B4-BE49-F238E27FC236}">
              <a16:creationId xmlns:a16="http://schemas.microsoft.com/office/drawing/2014/main" id="{D8934482-A688-4C75-B711-07200458EEA0}"/>
            </a:ext>
          </a:extLst>
        </xdr:cNvPr>
        <xdr:cNvSpPr/>
      </xdr:nvSpPr>
      <xdr:spPr>
        <a:xfrm>
          <a:off x="628650" y="12798700"/>
          <a:ext cx="1085850" cy="382243"/>
        </a:xfrm>
        <a:prstGeom prst="homePlate">
          <a:avLst/>
        </a:prstGeom>
        <a:solidFill>
          <a:srgbClr val="00194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pt-BR" sz="2000" b="1">
              <a:latin typeface="Gabriola" panose="04040605051002020D02" pitchFamily="82" charset="0"/>
            </a:rPr>
            <a:t>Janeiro</a:t>
          </a:r>
        </a:p>
      </xdr:txBody>
    </xdr:sp>
    <xdr:clientData/>
  </xdr:twoCellAnchor>
  <xdr:twoCellAnchor>
    <xdr:from>
      <xdr:col>3</xdr:col>
      <xdr:colOff>350495</xdr:colOff>
      <xdr:row>101</xdr:row>
      <xdr:rowOff>55846</xdr:rowOff>
    </xdr:from>
    <xdr:to>
      <xdr:col>3</xdr:col>
      <xdr:colOff>443514</xdr:colOff>
      <xdr:row>104</xdr:row>
      <xdr:rowOff>129120</xdr:rowOff>
    </xdr:to>
    <xdr:sp macro="" textlink="">
      <xdr:nvSpPr>
        <xdr:cNvPr id="2" name="Paralelogramo 1">
          <a:extLst>
            <a:ext uri="{FF2B5EF4-FFF2-40B4-BE49-F238E27FC236}">
              <a16:creationId xmlns:a16="http://schemas.microsoft.com/office/drawing/2014/main" id="{D9443F73-EA93-4C28-AF44-C5CAFC90AFEA}"/>
            </a:ext>
          </a:extLst>
        </xdr:cNvPr>
        <xdr:cNvSpPr/>
      </xdr:nvSpPr>
      <xdr:spPr>
        <a:xfrm rot="13772147">
          <a:off x="5114585" y="12817756"/>
          <a:ext cx="570231" cy="93019"/>
        </a:xfrm>
        <a:prstGeom prst="parallelogram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627134</xdr:colOff>
      <xdr:row>101</xdr:row>
      <xdr:rowOff>67443</xdr:rowOff>
    </xdr:from>
    <xdr:to>
      <xdr:col>3</xdr:col>
      <xdr:colOff>720153</xdr:colOff>
      <xdr:row>104</xdr:row>
      <xdr:rowOff>140717</xdr:rowOff>
    </xdr:to>
    <xdr:sp macro="" textlink="">
      <xdr:nvSpPr>
        <xdr:cNvPr id="3" name="Paralelogramo 2">
          <a:extLst>
            <a:ext uri="{FF2B5EF4-FFF2-40B4-BE49-F238E27FC236}">
              <a16:creationId xmlns:a16="http://schemas.microsoft.com/office/drawing/2014/main" id="{00208C1C-34EE-4EC0-A4C1-B17F515BCBF0}"/>
            </a:ext>
          </a:extLst>
        </xdr:cNvPr>
        <xdr:cNvSpPr/>
      </xdr:nvSpPr>
      <xdr:spPr>
        <a:xfrm rot="13772147">
          <a:off x="5391224" y="12829353"/>
          <a:ext cx="570231" cy="93019"/>
        </a:xfrm>
        <a:prstGeom prst="parallelogram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104</xdr:row>
      <xdr:rowOff>82825</xdr:rowOff>
    </xdr:from>
    <xdr:to>
      <xdr:col>2</xdr:col>
      <xdr:colOff>372717</xdr:colOff>
      <xdr:row>106</xdr:row>
      <xdr:rowOff>74543</xdr:rowOff>
    </xdr:to>
    <xdr:sp macro="" textlink="">
      <xdr:nvSpPr>
        <xdr:cNvPr id="4" name="Seta: Pentágono 3">
          <a:extLst>
            <a:ext uri="{FF2B5EF4-FFF2-40B4-BE49-F238E27FC236}">
              <a16:creationId xmlns:a16="http://schemas.microsoft.com/office/drawing/2014/main" id="{D57EC97F-4B43-4E8D-9F32-0E5958F7A3C4}"/>
            </a:ext>
          </a:extLst>
        </xdr:cNvPr>
        <xdr:cNvSpPr/>
      </xdr:nvSpPr>
      <xdr:spPr>
        <a:xfrm>
          <a:off x="629478" y="16871673"/>
          <a:ext cx="1002196" cy="389283"/>
        </a:xfrm>
        <a:prstGeom prst="homePlate">
          <a:avLst/>
        </a:prstGeom>
        <a:solidFill>
          <a:srgbClr val="00194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pt-BR" sz="2000" b="1">
              <a:latin typeface="Gabriola" panose="04040605051002020D02" pitchFamily="82" charset="0"/>
            </a:rPr>
            <a:t>-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504825</xdr:colOff>
      <xdr:row>4</xdr:row>
      <xdr:rowOff>28575</xdr:rowOff>
    </xdr:from>
    <xdr:to>
      <xdr:col>6</xdr:col>
      <xdr:colOff>9525</xdr:colOff>
      <xdr:row>7</xdr:row>
      <xdr:rowOff>56743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320A972-D34D-478B-8DE4-4EE9F0EC83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50" t="6381" r="28893" b="30945"/>
        <a:stretch/>
      </xdr:blipFill>
      <xdr:spPr>
        <a:xfrm>
          <a:off x="3429000" y="714375"/>
          <a:ext cx="438150" cy="542518"/>
        </a:xfrm>
        <a:prstGeom prst="rect">
          <a:avLst/>
        </a:prstGeom>
      </xdr:spPr>
    </xdr:pic>
    <xdr:clientData/>
  </xdr:twoCellAnchor>
  <xdr:twoCellAnchor editAs="oneCell">
    <xdr:from>
      <xdr:col>1</xdr:col>
      <xdr:colOff>561975</xdr:colOff>
      <xdr:row>4</xdr:row>
      <xdr:rowOff>95250</xdr:rowOff>
    </xdr:from>
    <xdr:to>
      <xdr:col>4</xdr:col>
      <xdr:colOff>447675</xdr:colOff>
      <xdr:row>7</xdr:row>
      <xdr:rowOff>85657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A7D17D0-B75B-BC8D-96B6-480BC9F7B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" y="781050"/>
          <a:ext cx="1704975" cy="50475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0</xdr:row>
      <xdr:rowOff>123825</xdr:rowOff>
    </xdr:from>
    <xdr:to>
      <xdr:col>4</xdr:col>
      <xdr:colOff>1233904</xdr:colOff>
      <xdr:row>4</xdr:row>
      <xdr:rowOff>61835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3FDEFA19-C5A8-48E8-BD2A-F89D2D768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23825"/>
          <a:ext cx="2072104" cy="585710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857250</xdr:colOff>
      <xdr:row>1</xdr:row>
      <xdr:rowOff>76200</xdr:rowOff>
    </xdr:from>
    <xdr:to>
      <xdr:col>10</xdr:col>
      <xdr:colOff>1628774</xdr:colOff>
      <xdr:row>4</xdr:row>
      <xdr:rowOff>143506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897D637-68AA-464E-AD41-0B406E46E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01225" y="238125"/>
          <a:ext cx="771524" cy="55308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530088</xdr:colOff>
      <xdr:row>0</xdr:row>
      <xdr:rowOff>94323</xdr:rowOff>
    </xdr:from>
    <xdr:to>
      <xdr:col>4</xdr:col>
      <xdr:colOff>4659</xdr:colOff>
      <xdr:row>4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6389C32-5645-43D9-9A90-125346A7D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713" y="94323"/>
          <a:ext cx="2227296" cy="629577"/>
        </a:xfrm>
        <a:prstGeom prst="rect">
          <a:avLst/>
        </a:prstGeom>
      </xdr:spPr>
    </xdr:pic>
    <xdr:clientData/>
  </xdr:twoCellAnchor>
  <xdr:twoCellAnchor editAs="oneCell">
    <xdr:from>
      <xdr:col>7</xdr:col>
      <xdr:colOff>914400</xdr:colOff>
      <xdr:row>0</xdr:row>
      <xdr:rowOff>99182</xdr:rowOff>
    </xdr:from>
    <xdr:to>
      <xdr:col>8</xdr:col>
      <xdr:colOff>914400</xdr:colOff>
      <xdr:row>4</xdr:row>
      <xdr:rowOff>133208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797785D-F95D-1A53-DBF6-41F87304F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86550" y="99182"/>
          <a:ext cx="1057275" cy="7579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la\Documents\1.%20Financeiro\Transa&#231;&#245;es%20Financeiras%202025\Provisionamento_FLUXO%20DE%20CAIXA%202025.xlsx" TargetMode="External"/><Relationship Id="rId1" Type="http://schemas.openxmlformats.org/officeDocument/2006/relationships/externalLinkPath" Target="/Users/Lola/Documents/1.%20Financeiro/Transa&#231;&#245;es%20Financeiras%202025/Provisionamento_FLUXO%20DE%20CAIXA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VISÃO 2025"/>
      <sheetName val="Dados Bancários"/>
      <sheetName val="Classificação Financeira"/>
      <sheetName val="Saldo Disponível"/>
      <sheetName val="__"/>
      <sheetName val="Aramburu_Mensal"/>
      <sheetName val="_"/>
      <sheetName val="Distribuição de Lucro_Mensal"/>
      <sheetName val="Ana Beatriz"/>
      <sheetName val="Cláudio Luiz"/>
      <sheetName val="Isamélia"/>
      <sheetName val="Pedro Henrique"/>
      <sheetName val="day20"/>
      <sheetName val="fogo atacadista"/>
      <sheetName val="LTS"/>
      <sheetName val="$ obra sede"/>
      <sheetName val="obra sede"/>
    </sheetNames>
    <sheetDataSet>
      <sheetData sheetId="0"/>
      <sheetData sheetId="1"/>
      <sheetData sheetId="2"/>
      <sheetData sheetId="3"/>
      <sheetData sheetId="4"/>
      <sheetData sheetId="5">
        <row r="6">
          <cell r="E6" t="str">
            <v>2.1.8 – Despesas Gerais</v>
          </cell>
          <cell r="I6" t="str">
            <v>-</v>
          </cell>
          <cell r="N6" t="str">
            <v>Pago</v>
          </cell>
          <cell r="O6">
            <v>-249.5</v>
          </cell>
        </row>
        <row r="7">
          <cell r="E7" t="str">
            <v>1.1.1 – Banco Cora</v>
          </cell>
          <cell r="I7" t="str">
            <v>-</v>
          </cell>
          <cell r="N7" t="str">
            <v>Saldo inicial</v>
          </cell>
          <cell r="O7">
            <v>467623.35</v>
          </cell>
        </row>
        <row r="8">
          <cell r="E8" t="str">
            <v>1.1.2 – Cooperativa Sicredi</v>
          </cell>
          <cell r="I8" t="str">
            <v>-</v>
          </cell>
          <cell r="N8" t="str">
            <v>Saldo inicial</v>
          </cell>
          <cell r="O8">
            <v>61.08</v>
          </cell>
        </row>
        <row r="9">
          <cell r="E9" t="str">
            <v>2.8.1 – Distribuição de Lucros</v>
          </cell>
          <cell r="I9" t="str">
            <v>-</v>
          </cell>
          <cell r="N9" t="str">
            <v>Repassado</v>
          </cell>
          <cell r="O9">
            <v>-86636.21</v>
          </cell>
        </row>
        <row r="10">
          <cell r="E10" t="str">
            <v>2.2.3 – Benefícios (vale, alimentação, etc.)</v>
          </cell>
          <cell r="I10" t="str">
            <v>-</v>
          </cell>
          <cell r="N10" t="str">
            <v>Pago</v>
          </cell>
          <cell r="O10">
            <v>-700</v>
          </cell>
        </row>
        <row r="11">
          <cell r="E11" t="str">
            <v>1.9.1 – Diversos</v>
          </cell>
          <cell r="I11" t="str">
            <v>-</v>
          </cell>
          <cell r="N11" t="str">
            <v>Recebido</v>
          </cell>
          <cell r="O11">
            <v>1380</v>
          </cell>
        </row>
        <row r="12">
          <cell r="E12" t="str">
            <v>2.3.6 – Produtos e Peças</v>
          </cell>
          <cell r="I12" t="str">
            <v>-</v>
          </cell>
          <cell r="N12" t="str">
            <v>Pago</v>
          </cell>
          <cell r="O12">
            <v>-428.4</v>
          </cell>
        </row>
        <row r="13">
          <cell r="E13" t="str">
            <v>2.1.1 – Honorários Contábeis</v>
          </cell>
          <cell r="I13" t="str">
            <v>-</v>
          </cell>
          <cell r="N13" t="str">
            <v>Pago</v>
          </cell>
          <cell r="O13">
            <v>-4254</v>
          </cell>
        </row>
        <row r="14">
          <cell r="E14" t="str">
            <v>2.2.1 – Salários e Remunerações</v>
          </cell>
          <cell r="I14" t="str">
            <v>-</v>
          </cell>
          <cell r="N14" t="str">
            <v>Pago</v>
          </cell>
          <cell r="O14">
            <v>-3487.89</v>
          </cell>
        </row>
        <row r="15">
          <cell r="E15" t="str">
            <v>2.1.4 – Software Rural</v>
          </cell>
          <cell r="I15" t="str">
            <v>-</v>
          </cell>
          <cell r="N15" t="str">
            <v>Pago</v>
          </cell>
          <cell r="O15">
            <v>-490</v>
          </cell>
        </row>
        <row r="16">
          <cell r="E16" t="str">
            <v>2.8.1 – Distribuição de Lucros</v>
          </cell>
          <cell r="I16" t="str">
            <v>-</v>
          </cell>
          <cell r="N16" t="str">
            <v>Repassado</v>
          </cell>
          <cell r="O16">
            <v>-3648.74</v>
          </cell>
        </row>
        <row r="17">
          <cell r="E17" t="str">
            <v>2.5.2 – Tarifas Bancárias</v>
          </cell>
          <cell r="I17" t="str">
            <v>-</v>
          </cell>
          <cell r="N17" t="str">
            <v>Pago</v>
          </cell>
          <cell r="O17">
            <v>-1380</v>
          </cell>
        </row>
        <row r="18">
          <cell r="E18" t="str">
            <v>2.3.6 – Produtos e Peças</v>
          </cell>
          <cell r="I18" t="str">
            <v>-</v>
          </cell>
          <cell r="N18" t="str">
            <v>Pago</v>
          </cell>
          <cell r="O18">
            <v>-168</v>
          </cell>
        </row>
        <row r="19">
          <cell r="E19" t="str">
            <v>2.5.2 – Tarifas Bancárias</v>
          </cell>
          <cell r="I19" t="str">
            <v>-</v>
          </cell>
          <cell r="N19" t="str">
            <v>Pago</v>
          </cell>
          <cell r="O19">
            <v>-55</v>
          </cell>
        </row>
        <row r="20">
          <cell r="E20" t="str">
            <v>2.1.8 – Despesas Gerais</v>
          </cell>
          <cell r="I20" t="str">
            <v>-</v>
          </cell>
          <cell r="N20" t="str">
            <v>Pago</v>
          </cell>
          <cell r="O20">
            <v>-240</v>
          </cell>
        </row>
        <row r="21">
          <cell r="E21" t="str">
            <v>2.5.2 – Tarifas Bancárias</v>
          </cell>
          <cell r="I21" t="str">
            <v>-</v>
          </cell>
          <cell r="N21" t="str">
            <v>Pago</v>
          </cell>
          <cell r="O21">
            <v>-10</v>
          </cell>
        </row>
        <row r="22">
          <cell r="E22" t="str">
            <v>2.3.6 – Produtos e Peças</v>
          </cell>
          <cell r="I22" t="str">
            <v>-</v>
          </cell>
          <cell r="N22" t="str">
            <v>Pago</v>
          </cell>
          <cell r="O22">
            <v>-309</v>
          </cell>
        </row>
        <row r="23">
          <cell r="E23" t="str">
            <v>2.1.3 – Despesas com Aluguel</v>
          </cell>
          <cell r="I23" t="str">
            <v>-</v>
          </cell>
          <cell r="N23" t="str">
            <v>Pago</v>
          </cell>
          <cell r="O23">
            <v>-1880</v>
          </cell>
        </row>
        <row r="24">
          <cell r="E24" t="str">
            <v>2.8.1 – Distribuição de Lucros</v>
          </cell>
          <cell r="I24" t="str">
            <v>-</v>
          </cell>
          <cell r="N24" t="str">
            <v>Repassado</v>
          </cell>
          <cell r="O24">
            <v>-721.1</v>
          </cell>
        </row>
        <row r="25">
          <cell r="E25" t="str">
            <v>2.3.4 – Internet Rural</v>
          </cell>
          <cell r="I25" t="str">
            <v>-</v>
          </cell>
          <cell r="N25" t="str">
            <v>Pago</v>
          </cell>
          <cell r="O25">
            <v>-250</v>
          </cell>
        </row>
        <row r="26">
          <cell r="E26" t="str">
            <v>2.4.4 – Manutenção de Veículos e Máquinas</v>
          </cell>
          <cell r="I26" t="str">
            <v>-</v>
          </cell>
          <cell r="N26" t="str">
            <v>Pago</v>
          </cell>
          <cell r="O26">
            <v>-50</v>
          </cell>
        </row>
        <row r="27">
          <cell r="E27" t="str">
            <v>2.4.7 – Serviços Diversos</v>
          </cell>
          <cell r="I27" t="str">
            <v>-</v>
          </cell>
          <cell r="N27" t="str">
            <v>Pago</v>
          </cell>
          <cell r="O27">
            <v>-350</v>
          </cell>
        </row>
        <row r="28">
          <cell r="E28" t="str">
            <v>2.8.1 – Distribuição de Lucros</v>
          </cell>
          <cell r="I28" t="str">
            <v>-</v>
          </cell>
          <cell r="N28" t="str">
            <v>Repassado</v>
          </cell>
          <cell r="O28">
            <v>-2755.02</v>
          </cell>
        </row>
        <row r="29">
          <cell r="E29" t="str">
            <v>2.3.5 – Combustíveis e Lubrificantes</v>
          </cell>
          <cell r="I29" t="str">
            <v>-</v>
          </cell>
          <cell r="N29" t="str">
            <v>Pago</v>
          </cell>
          <cell r="O29">
            <v>-1034.27</v>
          </cell>
        </row>
        <row r="30">
          <cell r="E30" t="str">
            <v>2.1.8 – Despesas Gerais</v>
          </cell>
          <cell r="I30" t="str">
            <v>-</v>
          </cell>
          <cell r="N30" t="str">
            <v>Pago</v>
          </cell>
          <cell r="O30">
            <v>-24.16</v>
          </cell>
        </row>
        <row r="31">
          <cell r="E31" t="str">
            <v>2.1.8 – Despesas Gerais</v>
          </cell>
          <cell r="I31" t="str">
            <v>-</v>
          </cell>
          <cell r="N31" t="str">
            <v>Pago</v>
          </cell>
          <cell r="O31">
            <v>-398.91</v>
          </cell>
        </row>
        <row r="32">
          <cell r="E32" t="str">
            <v>2.2.3 – Benefícios (vale, alimentação, etc.)</v>
          </cell>
          <cell r="I32" t="str">
            <v>-</v>
          </cell>
          <cell r="N32" t="str">
            <v>Pago</v>
          </cell>
          <cell r="O32">
            <v>-367.01</v>
          </cell>
        </row>
        <row r="33">
          <cell r="E33" t="str">
            <v>2.2.3 – Benefícios (vale, alimentação, etc.)</v>
          </cell>
          <cell r="I33" t="str">
            <v>-</v>
          </cell>
          <cell r="N33" t="str">
            <v>Pago</v>
          </cell>
          <cell r="O33">
            <v>-536</v>
          </cell>
        </row>
        <row r="34">
          <cell r="E34" t="str">
            <v>2.3.6 – Produtos e Peças</v>
          </cell>
          <cell r="I34" t="str">
            <v>-</v>
          </cell>
          <cell r="N34" t="str">
            <v>Pago</v>
          </cell>
          <cell r="O34">
            <v>-980</v>
          </cell>
        </row>
        <row r="35">
          <cell r="E35" t="str">
            <v>2.8.1 – Distribuição de Lucros</v>
          </cell>
          <cell r="I35" t="str">
            <v>-</v>
          </cell>
          <cell r="N35" t="str">
            <v>Repassado</v>
          </cell>
          <cell r="O35">
            <v>-2000</v>
          </cell>
        </row>
        <row r="36">
          <cell r="E36" t="str">
            <v>2.8.1 – Distribuição de Lucros</v>
          </cell>
          <cell r="I36" t="str">
            <v>-</v>
          </cell>
          <cell r="N36" t="str">
            <v>Repassado</v>
          </cell>
          <cell r="O36">
            <v>-120</v>
          </cell>
        </row>
        <row r="37">
          <cell r="E37" t="str">
            <v>2.2.2 – Encargos Sociais (INSS, FGTS, etc.)</v>
          </cell>
          <cell r="I37" t="str">
            <v>-</v>
          </cell>
          <cell r="N37" t="str">
            <v>Pago</v>
          </cell>
          <cell r="O37">
            <v>-53.33</v>
          </cell>
        </row>
        <row r="38">
          <cell r="E38" t="str">
            <v>2.2.2 – Encargos Sociais (INSS, FGTS, etc.)</v>
          </cell>
          <cell r="I38" t="str">
            <v>-</v>
          </cell>
          <cell r="N38" t="str">
            <v>Pago</v>
          </cell>
          <cell r="O38">
            <v>-320</v>
          </cell>
        </row>
        <row r="39">
          <cell r="E39" t="str">
            <v>2.2.2 – Encargos Sociais (INSS, FGTS, etc.)</v>
          </cell>
          <cell r="I39" t="str">
            <v>-</v>
          </cell>
          <cell r="N39" t="str">
            <v>Pago</v>
          </cell>
          <cell r="O39">
            <v>-1580.11</v>
          </cell>
        </row>
        <row r="40">
          <cell r="E40" t="str">
            <v>2.5.2 – Tarifas Bancárias</v>
          </cell>
          <cell r="I40" t="str">
            <v>-</v>
          </cell>
          <cell r="N40" t="str">
            <v>Pago</v>
          </cell>
          <cell r="O40">
            <v>-50</v>
          </cell>
        </row>
        <row r="41">
          <cell r="E41" t="str">
            <v>2.4.7 – Serviços Diversos</v>
          </cell>
          <cell r="I41" t="str">
            <v>-</v>
          </cell>
          <cell r="N41" t="str">
            <v>Pago</v>
          </cell>
          <cell r="O41">
            <v>-3000</v>
          </cell>
        </row>
        <row r="42">
          <cell r="E42" t="str">
            <v>2.1.8 – Despesas Gerais</v>
          </cell>
          <cell r="I42" t="str">
            <v>-</v>
          </cell>
          <cell r="N42" t="str">
            <v>Pago</v>
          </cell>
          <cell r="O42">
            <v>-100</v>
          </cell>
        </row>
        <row r="43">
          <cell r="E43" t="str">
            <v>2.8.3 – Pagamentos Pessoais (não operacionais)</v>
          </cell>
          <cell r="I43" t="str">
            <v>-</v>
          </cell>
          <cell r="N43" t="str">
            <v>Pago</v>
          </cell>
          <cell r="O43">
            <v>-7249.31</v>
          </cell>
        </row>
        <row r="44">
          <cell r="E44" t="str">
            <v>2.8.1 – Distribuição de Lucros</v>
          </cell>
          <cell r="I44" t="str">
            <v>-</v>
          </cell>
          <cell r="N44" t="str">
            <v>Repassado</v>
          </cell>
          <cell r="O44">
            <v>-261366.3</v>
          </cell>
        </row>
        <row r="45">
          <cell r="E45" t="str">
            <v>2.1.6 – Taxas e Impostos (ITR, INCRA, etc.)</v>
          </cell>
          <cell r="I45" t="str">
            <v>-</v>
          </cell>
          <cell r="N45" t="str">
            <v>Pago</v>
          </cell>
          <cell r="O45">
            <v>-12342.39</v>
          </cell>
        </row>
        <row r="46">
          <cell r="E46" t="str">
            <v>2.1.6 – Taxas e Impostos (ITR, INCRA, etc.)</v>
          </cell>
          <cell r="I46" t="str">
            <v>-</v>
          </cell>
          <cell r="N46" t="str">
            <v>Pago</v>
          </cell>
          <cell r="O46">
            <v>-14355.38</v>
          </cell>
        </row>
        <row r="47">
          <cell r="E47" t="str">
            <v>2.1.6 – Taxas e Impostos (ITR, INCRA, etc.)</v>
          </cell>
          <cell r="I47" t="str">
            <v>-</v>
          </cell>
          <cell r="N47" t="str">
            <v>Pago</v>
          </cell>
          <cell r="O47">
            <v>-200</v>
          </cell>
        </row>
        <row r="48">
          <cell r="E48" t="str">
            <v>2.6.1 – Aplicações Financeiras</v>
          </cell>
          <cell r="I48" t="str">
            <v>-</v>
          </cell>
          <cell r="N48" t="str">
            <v>Aplicado</v>
          </cell>
          <cell r="O48">
            <v>-153296.01</v>
          </cell>
        </row>
        <row r="49">
          <cell r="E49" t="str">
            <v>2.6.1 – Aplicações Financeiras</v>
          </cell>
          <cell r="I49" t="str">
            <v>-</v>
          </cell>
          <cell r="N49" t="str">
            <v>Aplicado</v>
          </cell>
          <cell r="O49">
            <v>-217068.39</v>
          </cell>
        </row>
        <row r="50">
          <cell r="E50" t="str">
            <v>1.2.1 –  Venda de Soja</v>
          </cell>
          <cell r="I50" t="str">
            <v>-</v>
          </cell>
          <cell r="N50" t="str">
            <v>Recebido</v>
          </cell>
          <cell r="O50">
            <v>153296.01</v>
          </cell>
        </row>
        <row r="51">
          <cell r="E51" t="str">
            <v>1.2.1 –  Venda de Soja</v>
          </cell>
          <cell r="I51" t="str">
            <v>-</v>
          </cell>
          <cell r="N51" t="str">
            <v>Recebido</v>
          </cell>
          <cell r="O51">
            <v>217068.39</v>
          </cell>
        </row>
        <row r="52">
          <cell r="E52" t="str">
            <v>1.2.1 –  Venda de Soja</v>
          </cell>
          <cell r="I52" t="str">
            <v>-</v>
          </cell>
          <cell r="N52" t="str">
            <v>Recebido</v>
          </cell>
          <cell r="O52">
            <v>350444.72</v>
          </cell>
        </row>
        <row r="53">
          <cell r="E53" t="str">
            <v>1.2.1 –  Venda de Soja</v>
          </cell>
          <cell r="I53" t="str">
            <v>-</v>
          </cell>
          <cell r="N53" t="str">
            <v>Recebido</v>
          </cell>
          <cell r="O53">
            <v>261366.3</v>
          </cell>
        </row>
        <row r="54">
          <cell r="E54" t="str">
            <v>2.3.1 – Manutenção de Benfeitorias</v>
          </cell>
          <cell r="I54" t="str">
            <v>-</v>
          </cell>
          <cell r="N54" t="str">
            <v>Pago</v>
          </cell>
          <cell r="O54">
            <v>-839.86</v>
          </cell>
        </row>
        <row r="55">
          <cell r="E55" t="str">
            <v>2.4.7 – Serviços Diversos</v>
          </cell>
          <cell r="I55" t="str">
            <v>-</v>
          </cell>
          <cell r="N55" t="str">
            <v>Pago</v>
          </cell>
          <cell r="O55">
            <v>-700</v>
          </cell>
        </row>
        <row r="56">
          <cell r="E56" t="str">
            <v>2.8.1 – Distribuição de Lucros</v>
          </cell>
          <cell r="I56" t="str">
            <v>-</v>
          </cell>
          <cell r="N56" t="str">
            <v>Repassado</v>
          </cell>
          <cell r="O56">
            <v>-78664.399999999994</v>
          </cell>
        </row>
        <row r="57">
          <cell r="E57" t="str">
            <v>2.2.3 – Benefícios (vale, alimentação, etc.)</v>
          </cell>
          <cell r="I57" t="str">
            <v>-</v>
          </cell>
          <cell r="N57" t="str">
            <v>Pago</v>
          </cell>
          <cell r="O57">
            <v>-700</v>
          </cell>
        </row>
        <row r="58">
          <cell r="E58" t="str">
            <v>2.3.6 – Produtos e Peças</v>
          </cell>
          <cell r="I58" t="str">
            <v>-</v>
          </cell>
          <cell r="N58" t="str">
            <v>Pago</v>
          </cell>
          <cell r="O58">
            <v>-35</v>
          </cell>
        </row>
        <row r="59">
          <cell r="E59" t="str">
            <v>2.3.6 – Produtos e Peças</v>
          </cell>
          <cell r="I59" t="str">
            <v>-</v>
          </cell>
          <cell r="N59" t="str">
            <v>Pago</v>
          </cell>
          <cell r="O59">
            <v>-825</v>
          </cell>
        </row>
        <row r="60">
          <cell r="E60" t="str">
            <v>2.1.8 – Despesas Gerais</v>
          </cell>
          <cell r="I60" t="str">
            <v>-</v>
          </cell>
          <cell r="N60" t="str">
            <v>Pago</v>
          </cell>
          <cell r="O60">
            <v>-1198.8</v>
          </cell>
        </row>
        <row r="61">
          <cell r="E61" t="str">
            <v>2.1.1 – Honorários Contábeis</v>
          </cell>
          <cell r="I61" t="str">
            <v>-</v>
          </cell>
          <cell r="N61" t="str">
            <v>Pago</v>
          </cell>
          <cell r="O61">
            <v>-4574</v>
          </cell>
        </row>
        <row r="62">
          <cell r="E62" t="str">
            <v>2.2.1 – Salários e Remunerações</v>
          </cell>
          <cell r="I62" t="str">
            <v>-</v>
          </cell>
          <cell r="N62" t="str">
            <v>Pago</v>
          </cell>
          <cell r="O62">
            <v>-3492.76</v>
          </cell>
        </row>
        <row r="63">
          <cell r="E63" t="str">
            <v>2.1.4 – Software Rural</v>
          </cell>
          <cell r="I63" t="str">
            <v>-</v>
          </cell>
          <cell r="N63" t="str">
            <v>Pago</v>
          </cell>
          <cell r="O63">
            <v>-490</v>
          </cell>
        </row>
        <row r="64">
          <cell r="E64" t="str">
            <v>2.5.2 – Tarifas Bancárias</v>
          </cell>
          <cell r="I64" t="str">
            <v>-</v>
          </cell>
          <cell r="N64" t="str">
            <v>Pago</v>
          </cell>
          <cell r="O64">
            <v>-55</v>
          </cell>
        </row>
        <row r="65">
          <cell r="E65" t="str">
            <v>2.8.1 – Distribuição de Lucros</v>
          </cell>
          <cell r="I65" t="str">
            <v>-</v>
          </cell>
          <cell r="N65" t="str">
            <v>Repassado</v>
          </cell>
          <cell r="O65">
            <v>-1283.23</v>
          </cell>
        </row>
        <row r="66">
          <cell r="E66" t="str">
            <v>2.3.6 – Produtos e Peças</v>
          </cell>
          <cell r="I66" t="str">
            <v>-</v>
          </cell>
          <cell r="N66" t="str">
            <v>Pago</v>
          </cell>
          <cell r="O66">
            <v>-155.80000000000001</v>
          </cell>
        </row>
        <row r="67">
          <cell r="E67" t="str">
            <v>2.4.4 – Manutenção de Veículos e Máquinas</v>
          </cell>
          <cell r="I67" t="str">
            <v>-</v>
          </cell>
          <cell r="N67" t="str">
            <v>Pago</v>
          </cell>
          <cell r="O67">
            <v>-120</v>
          </cell>
        </row>
        <row r="68">
          <cell r="E68" t="str">
            <v>2.1.6 – Taxas e Impostos (ITR, INCRA, etc.)</v>
          </cell>
          <cell r="I68" t="str">
            <v>-</v>
          </cell>
          <cell r="N68" t="str">
            <v>Pago</v>
          </cell>
          <cell r="O68">
            <v>-93.38</v>
          </cell>
        </row>
        <row r="69">
          <cell r="E69" t="str">
            <v>2.3.9 – Alimentação Animal</v>
          </cell>
          <cell r="I69" t="str">
            <v>-</v>
          </cell>
          <cell r="N69" t="str">
            <v>Pago</v>
          </cell>
          <cell r="O69">
            <v>-156.88</v>
          </cell>
        </row>
        <row r="70">
          <cell r="E70" t="str">
            <v>2.1.3 – Despesas com Aluguel</v>
          </cell>
          <cell r="I70" t="str">
            <v>-</v>
          </cell>
          <cell r="N70" t="str">
            <v>Pago</v>
          </cell>
          <cell r="O70">
            <v>-1880</v>
          </cell>
        </row>
        <row r="71">
          <cell r="E71" t="str">
            <v>2.1.6 – Taxas e Impostos (ITR, INCRA, etc.)</v>
          </cell>
          <cell r="I71" t="str">
            <v>-</v>
          </cell>
          <cell r="N71" t="str">
            <v>Pago</v>
          </cell>
          <cell r="O71">
            <v>-6.49</v>
          </cell>
        </row>
        <row r="72">
          <cell r="E72" t="str">
            <v>2.3.4 – Internet Rural</v>
          </cell>
          <cell r="I72" t="str">
            <v>-</v>
          </cell>
          <cell r="N72" t="str">
            <v>Pago</v>
          </cell>
          <cell r="O72">
            <v>-250</v>
          </cell>
        </row>
        <row r="73">
          <cell r="E73" t="str">
            <v>2.5.2 – Tarifas Bancárias</v>
          </cell>
          <cell r="I73" t="str">
            <v>-</v>
          </cell>
          <cell r="N73" t="str">
            <v>Pago</v>
          </cell>
          <cell r="O73">
            <v>-10</v>
          </cell>
        </row>
        <row r="74">
          <cell r="E74" t="str">
            <v>2.4.7 – Serviços Diversos</v>
          </cell>
          <cell r="I74" t="str">
            <v>-</v>
          </cell>
          <cell r="N74" t="str">
            <v>Pago</v>
          </cell>
          <cell r="O74">
            <v>-1500</v>
          </cell>
        </row>
        <row r="75">
          <cell r="E75" t="str">
            <v>2.3.5 – Combustíveis e Lubrificantes</v>
          </cell>
          <cell r="I75" t="str">
            <v>-</v>
          </cell>
          <cell r="N75" t="str">
            <v>Pago</v>
          </cell>
          <cell r="O75">
            <v>-965.61</v>
          </cell>
        </row>
        <row r="76">
          <cell r="E76" t="str">
            <v>2.1.8 – Despesas Gerais</v>
          </cell>
          <cell r="I76" t="str">
            <v>-</v>
          </cell>
          <cell r="N76" t="str">
            <v>Pago</v>
          </cell>
          <cell r="O76">
            <v>-24.16</v>
          </cell>
        </row>
        <row r="77">
          <cell r="E77" t="str">
            <v>2.1.8 – Despesas Gerais</v>
          </cell>
          <cell r="I77" t="str">
            <v>-</v>
          </cell>
          <cell r="N77" t="str">
            <v>Pago</v>
          </cell>
          <cell r="O77">
            <v>-398.91</v>
          </cell>
        </row>
        <row r="78">
          <cell r="E78" t="str">
            <v>2.8.1 – Distribuição de Lucros</v>
          </cell>
          <cell r="I78" t="str">
            <v>-</v>
          </cell>
          <cell r="N78" t="str">
            <v>Repassado</v>
          </cell>
          <cell r="O78">
            <v>-19.600000000000001</v>
          </cell>
        </row>
        <row r="79">
          <cell r="E79" t="str">
            <v>2.8.1 – Distribuição de Lucros</v>
          </cell>
          <cell r="I79" t="str">
            <v>-</v>
          </cell>
          <cell r="N79" t="str">
            <v>Repassado</v>
          </cell>
          <cell r="O79">
            <v>-56</v>
          </cell>
        </row>
        <row r="80">
          <cell r="E80" t="str">
            <v>2.2.3 – Benefícios (vale, alimentação, etc.)</v>
          </cell>
          <cell r="I80" t="str">
            <v>-</v>
          </cell>
          <cell r="N80" t="str">
            <v>Pago</v>
          </cell>
          <cell r="O80">
            <v>-415.16</v>
          </cell>
        </row>
        <row r="81">
          <cell r="E81" t="str">
            <v>2.3.6 – Produtos e Peças</v>
          </cell>
          <cell r="I81" t="str">
            <v>-</v>
          </cell>
          <cell r="N81" t="str">
            <v>Pago</v>
          </cell>
          <cell r="O81">
            <v>-470</v>
          </cell>
        </row>
        <row r="82">
          <cell r="E82" t="str">
            <v>2.3.6 – Produtos e Peças</v>
          </cell>
          <cell r="I82" t="str">
            <v>-</v>
          </cell>
          <cell r="N82" t="str">
            <v>Pago</v>
          </cell>
          <cell r="O82">
            <v>-107.76</v>
          </cell>
        </row>
        <row r="83">
          <cell r="E83" t="str">
            <v>2.1.6 – Taxas e Impostos (ITR, INCRA, etc.)</v>
          </cell>
          <cell r="I83" t="str">
            <v>-</v>
          </cell>
          <cell r="N83" t="str">
            <v>Pago</v>
          </cell>
          <cell r="O83">
            <v>-248.43</v>
          </cell>
        </row>
        <row r="84">
          <cell r="E84" t="str">
            <v>2.3.1 – Manutenção de Benfeitorias</v>
          </cell>
          <cell r="I84" t="str">
            <v>-</v>
          </cell>
          <cell r="N84" t="str">
            <v>Pago</v>
          </cell>
          <cell r="O84">
            <v>-540</v>
          </cell>
        </row>
        <row r="85">
          <cell r="E85" t="str">
            <v>2.8.1 – Distribuição de Lucros</v>
          </cell>
          <cell r="I85" t="str">
            <v>-</v>
          </cell>
          <cell r="N85" t="str">
            <v>Repassado</v>
          </cell>
          <cell r="O85">
            <v>-450</v>
          </cell>
        </row>
        <row r="86">
          <cell r="E86" t="str">
            <v>2.2.2 – Encargos Sociais (INSS, FGTS, etc.)</v>
          </cell>
          <cell r="I86" t="str">
            <v>-</v>
          </cell>
          <cell r="N86" t="str">
            <v>Pago</v>
          </cell>
          <cell r="O86">
            <v>-320</v>
          </cell>
        </row>
        <row r="87">
          <cell r="E87" t="str">
            <v>2.2.2 – Encargos Sociais (INSS, FGTS, etc.)</v>
          </cell>
          <cell r="I87" t="str">
            <v>-</v>
          </cell>
          <cell r="N87" t="str">
            <v>Pago</v>
          </cell>
          <cell r="O87">
            <v>-1574.7</v>
          </cell>
        </row>
        <row r="88">
          <cell r="E88" t="str">
            <v>2.5.2 – Tarifas Bancárias</v>
          </cell>
          <cell r="I88" t="str">
            <v>-</v>
          </cell>
          <cell r="N88" t="str">
            <v>Pago</v>
          </cell>
          <cell r="O88">
            <v>-50</v>
          </cell>
        </row>
        <row r="89">
          <cell r="E89" t="str">
            <v>2.7.2 – Obras e Melhorias (infraestrutura)</v>
          </cell>
          <cell r="I89" t="str">
            <v>OUTRAS</v>
          </cell>
          <cell r="N89" t="str">
            <v>Pago</v>
          </cell>
          <cell r="O89">
            <v>-1575</v>
          </cell>
        </row>
        <row r="90">
          <cell r="E90" t="str">
            <v>2.8.1 – Distribuição de Lucros</v>
          </cell>
          <cell r="I90" t="str">
            <v>-</v>
          </cell>
          <cell r="N90" t="str">
            <v>Repassado</v>
          </cell>
          <cell r="O90">
            <v>-37.81</v>
          </cell>
        </row>
        <row r="91">
          <cell r="E91" t="str">
            <v>2.8.3 – Pagamentos Pessoais (não operacionais)</v>
          </cell>
          <cell r="I91" t="str">
            <v>-</v>
          </cell>
          <cell r="N91" t="str">
            <v>Pago</v>
          </cell>
          <cell r="O91">
            <v>-7249.31</v>
          </cell>
        </row>
        <row r="92">
          <cell r="E92" t="str">
            <v>2.3.1 – Manutenção de Benfeitorias</v>
          </cell>
          <cell r="I92" t="str">
            <v>-</v>
          </cell>
          <cell r="N92" t="str">
            <v>Pago</v>
          </cell>
          <cell r="O92">
            <v>-15559.02</v>
          </cell>
        </row>
        <row r="93">
          <cell r="E93" t="str">
            <v>2.1.6 – Taxas e Impostos (ITR, INCRA, etc.)</v>
          </cell>
          <cell r="I93" t="str">
            <v>-</v>
          </cell>
          <cell r="N93" t="str">
            <v>Pago</v>
          </cell>
          <cell r="O93">
            <v>-56.63</v>
          </cell>
        </row>
        <row r="94">
          <cell r="E94" t="str">
            <v>2.3.1 – Manutenção de Benfeitorias</v>
          </cell>
          <cell r="I94" t="str">
            <v>-</v>
          </cell>
          <cell r="N94" t="str">
            <v>Pago</v>
          </cell>
          <cell r="O94">
            <v>-4747.3500000000004</v>
          </cell>
        </row>
        <row r="95">
          <cell r="E95" t="str">
            <v>2.3.1 – Manutenção de Benfeitorias</v>
          </cell>
          <cell r="I95" t="str">
            <v>-</v>
          </cell>
          <cell r="N95" t="str">
            <v>Pago</v>
          </cell>
          <cell r="O95">
            <v>-174.3</v>
          </cell>
        </row>
        <row r="96">
          <cell r="E96" t="str">
            <v>2.3.1 – Manutenção de Benfeitorias</v>
          </cell>
          <cell r="I96" t="str">
            <v>-</v>
          </cell>
          <cell r="N96" t="str">
            <v>Pago</v>
          </cell>
          <cell r="O96">
            <v>-3150</v>
          </cell>
        </row>
        <row r="97">
          <cell r="E97" t="str">
            <v>2.1.2 – Honorários Jurídicos</v>
          </cell>
          <cell r="I97" t="str">
            <v>-</v>
          </cell>
          <cell r="N97" t="str">
            <v>Pago</v>
          </cell>
          <cell r="O97">
            <v>-10000</v>
          </cell>
        </row>
        <row r="98">
          <cell r="E98" t="str">
            <v>2.3.7 – Peças para Veículos e Máquinas</v>
          </cell>
          <cell r="I98" t="str">
            <v>-</v>
          </cell>
          <cell r="N98" t="str">
            <v>Pago</v>
          </cell>
          <cell r="O98">
            <v>-1780</v>
          </cell>
        </row>
        <row r="99">
          <cell r="E99" t="str">
            <v>2.8.1 – Distribuição de Lucros</v>
          </cell>
          <cell r="I99" t="str">
            <v>-</v>
          </cell>
          <cell r="N99" t="str">
            <v>Repassado</v>
          </cell>
          <cell r="O99">
            <v>-2860</v>
          </cell>
        </row>
        <row r="100">
          <cell r="E100" t="str">
            <v>2.8.1 – Distribuição de Lucros</v>
          </cell>
          <cell r="I100" t="str">
            <v>-</v>
          </cell>
          <cell r="N100" t="str">
            <v>Repassado</v>
          </cell>
          <cell r="O100">
            <v>-88</v>
          </cell>
        </row>
        <row r="101">
          <cell r="E101" t="str">
            <v>2.8.1 – Distribuição de Lucros</v>
          </cell>
          <cell r="I101" t="str">
            <v>-</v>
          </cell>
          <cell r="N101" t="str">
            <v>Repassado</v>
          </cell>
          <cell r="O101">
            <v>-48</v>
          </cell>
        </row>
        <row r="102">
          <cell r="E102" t="str">
            <v>2.1.6 – Taxas e Impostos (ITR, INCRA, etc.)</v>
          </cell>
          <cell r="I102" t="str">
            <v>-</v>
          </cell>
          <cell r="N102" t="str">
            <v>Pago</v>
          </cell>
          <cell r="O102">
            <v>-1151.79</v>
          </cell>
        </row>
        <row r="103">
          <cell r="E103" t="str">
            <v>2.5.2 – Tarifas Bancárias</v>
          </cell>
          <cell r="I103" t="str">
            <v>-</v>
          </cell>
          <cell r="N103" t="str">
            <v>Pago</v>
          </cell>
          <cell r="O103">
            <v>-55</v>
          </cell>
        </row>
        <row r="104">
          <cell r="E104" t="str">
            <v>2.3.9 – Alimentação Animal</v>
          </cell>
          <cell r="I104" t="str">
            <v>-</v>
          </cell>
          <cell r="N104" t="str">
            <v>Pago</v>
          </cell>
          <cell r="O104">
            <v>-156.88</v>
          </cell>
        </row>
        <row r="105">
          <cell r="E105" t="str">
            <v>2.8.1 – Distribuição de Lucros</v>
          </cell>
          <cell r="I105" t="str">
            <v>-</v>
          </cell>
          <cell r="N105" t="str">
            <v>Repassado</v>
          </cell>
          <cell r="O105">
            <v>-178314.04</v>
          </cell>
        </row>
        <row r="106">
          <cell r="E106" t="str">
            <v>2.2.3 – Benefícios (vale, alimentação, etc.)</v>
          </cell>
          <cell r="I106" t="str">
            <v>-</v>
          </cell>
          <cell r="N106" t="str">
            <v>Pago</v>
          </cell>
          <cell r="O106">
            <v>-700</v>
          </cell>
        </row>
        <row r="107">
          <cell r="E107" t="str">
            <v>2.1.1 – Honorários Contábeis</v>
          </cell>
          <cell r="I107" t="str">
            <v>-</v>
          </cell>
          <cell r="N107" t="str">
            <v>Pago</v>
          </cell>
          <cell r="O107">
            <v>-4574</v>
          </cell>
        </row>
        <row r="108">
          <cell r="E108" t="str">
            <v>2.3.6 – Produtos e Peças</v>
          </cell>
          <cell r="I108" t="str">
            <v>-</v>
          </cell>
          <cell r="N108" t="str">
            <v>Pago</v>
          </cell>
          <cell r="O108">
            <v>-2035</v>
          </cell>
        </row>
        <row r="109">
          <cell r="E109" t="str">
            <v>2.3.6 – Produtos e Peças</v>
          </cell>
          <cell r="I109" t="str">
            <v>-</v>
          </cell>
          <cell r="N109" t="str">
            <v>Pago</v>
          </cell>
          <cell r="O109">
            <v>-330</v>
          </cell>
        </row>
        <row r="110">
          <cell r="E110" t="str">
            <v>2.2.1 – Salários e Remunerações</v>
          </cell>
          <cell r="I110" t="str">
            <v>-</v>
          </cell>
          <cell r="N110" t="str">
            <v>Pago</v>
          </cell>
          <cell r="O110">
            <v>-3492.76</v>
          </cell>
        </row>
        <row r="111">
          <cell r="E111" t="str">
            <v>2.4.4 – Manutenção de Veículos e Máquinas</v>
          </cell>
          <cell r="I111" t="str">
            <v>-</v>
          </cell>
          <cell r="N111" t="str">
            <v>Pago</v>
          </cell>
          <cell r="O111">
            <v>-330</v>
          </cell>
        </row>
        <row r="112">
          <cell r="E112" t="str">
            <v>2.3.7 – Peças para Veículos e Máquinas</v>
          </cell>
          <cell r="I112" t="str">
            <v>-</v>
          </cell>
          <cell r="N112" t="str">
            <v>Pago</v>
          </cell>
          <cell r="O112">
            <v>-1625</v>
          </cell>
        </row>
        <row r="113">
          <cell r="E113" t="str">
            <v>2.4.4 – Manutenção de Veículos e Máquinas</v>
          </cell>
          <cell r="I113" t="str">
            <v>-</v>
          </cell>
          <cell r="N113" t="str">
            <v>Pago</v>
          </cell>
          <cell r="O113">
            <v>-183</v>
          </cell>
        </row>
        <row r="114">
          <cell r="E114" t="str">
            <v>2.1.4 – Software Rural</v>
          </cell>
          <cell r="I114" t="str">
            <v>-</v>
          </cell>
          <cell r="N114" t="str">
            <v>Pago</v>
          </cell>
          <cell r="O114">
            <v>-490</v>
          </cell>
        </row>
        <row r="115">
          <cell r="E115" t="str">
            <v>2.8.1 – Distribuição de Lucros</v>
          </cell>
          <cell r="I115" t="str">
            <v>-</v>
          </cell>
          <cell r="N115" t="str">
            <v>Repassado</v>
          </cell>
          <cell r="O115">
            <v>-6895.63</v>
          </cell>
        </row>
        <row r="116">
          <cell r="E116" t="str">
            <v>2.5.2 – Tarifas Bancárias</v>
          </cell>
          <cell r="I116" t="str">
            <v>-</v>
          </cell>
          <cell r="N116" t="str">
            <v>Pago</v>
          </cell>
          <cell r="O116">
            <v>-10</v>
          </cell>
        </row>
        <row r="117">
          <cell r="E117" t="str">
            <v>2.1.3 – Despesas com Aluguel</v>
          </cell>
          <cell r="I117" t="str">
            <v>-</v>
          </cell>
          <cell r="N117" t="str">
            <v>Pago</v>
          </cell>
          <cell r="O117">
            <v>-1880</v>
          </cell>
        </row>
        <row r="118">
          <cell r="E118" t="str">
            <v>2.3.6 – Produtos e Peças</v>
          </cell>
          <cell r="I118" t="str">
            <v>-</v>
          </cell>
          <cell r="N118" t="str">
            <v>Pago</v>
          </cell>
          <cell r="O118">
            <v>-300</v>
          </cell>
        </row>
        <row r="119">
          <cell r="E119" t="str">
            <v>2.1.6 – Taxas e Impostos (ITR, INCRA, etc.)</v>
          </cell>
          <cell r="I119" t="str">
            <v>-</v>
          </cell>
          <cell r="N119" t="str">
            <v>Pago</v>
          </cell>
          <cell r="O119">
            <v>-95.23</v>
          </cell>
        </row>
        <row r="120">
          <cell r="E120" t="str">
            <v>2.1.6 – Taxas e Impostos (ITR, INCRA, etc.)</v>
          </cell>
          <cell r="I120" t="str">
            <v>-</v>
          </cell>
          <cell r="N120" t="str">
            <v>Pago</v>
          </cell>
          <cell r="O120">
            <v>-188.14</v>
          </cell>
        </row>
        <row r="121">
          <cell r="E121" t="str">
            <v>2.1.6 – Taxas e Impostos (ITR, INCRA, etc.)</v>
          </cell>
          <cell r="I121" t="str">
            <v>-</v>
          </cell>
          <cell r="N121" t="str">
            <v>Pago</v>
          </cell>
          <cell r="O121">
            <v>-72.959999999999994</v>
          </cell>
        </row>
        <row r="122">
          <cell r="E122" t="str">
            <v>2.1.6 – Taxas e Impostos (ITR, INCRA, etc.)</v>
          </cell>
          <cell r="I122" t="str">
            <v>-</v>
          </cell>
          <cell r="N122" t="str">
            <v>Pago</v>
          </cell>
          <cell r="O122">
            <v>-125.31</v>
          </cell>
        </row>
        <row r="123">
          <cell r="E123" t="str">
            <v>2.1.6 – Taxas e Impostos (ITR, INCRA, etc.)</v>
          </cell>
          <cell r="I123" t="str">
            <v>-</v>
          </cell>
          <cell r="N123" t="str">
            <v>Pago</v>
          </cell>
          <cell r="O123">
            <v>-73.47</v>
          </cell>
        </row>
        <row r="124">
          <cell r="E124" t="str">
            <v>2.1.6 – Taxas e Impostos (ITR, INCRA, etc.)</v>
          </cell>
          <cell r="I124" t="str">
            <v>-</v>
          </cell>
          <cell r="N124" t="str">
            <v>Pago</v>
          </cell>
          <cell r="O124">
            <v>-16.75</v>
          </cell>
        </row>
        <row r="125">
          <cell r="E125" t="str">
            <v>2.1.6 – Taxas e Impostos (ITR, INCRA, etc.)</v>
          </cell>
          <cell r="I125" t="str">
            <v>-</v>
          </cell>
          <cell r="N125" t="str">
            <v>Pago</v>
          </cell>
          <cell r="O125">
            <v>-95.54</v>
          </cell>
        </row>
        <row r="126">
          <cell r="E126" t="str">
            <v>2.1.6 – Taxas e Impostos (ITR, INCRA, etc.)</v>
          </cell>
          <cell r="I126" t="str">
            <v>-</v>
          </cell>
          <cell r="N126" t="str">
            <v>Pago</v>
          </cell>
          <cell r="O126">
            <v>-19.91</v>
          </cell>
        </row>
        <row r="127">
          <cell r="E127" t="str">
            <v>2.3.4 – Internet Rural</v>
          </cell>
          <cell r="I127" t="str">
            <v>-</v>
          </cell>
          <cell r="N127" t="str">
            <v>Pago</v>
          </cell>
          <cell r="O127">
            <v>-250</v>
          </cell>
        </row>
        <row r="128">
          <cell r="E128" t="str">
            <v>2.8.1 – Distribuição de Lucros</v>
          </cell>
          <cell r="I128" t="str">
            <v>-</v>
          </cell>
          <cell r="N128" t="str">
            <v>Repassado</v>
          </cell>
          <cell r="O128">
            <v>-1283.23</v>
          </cell>
        </row>
        <row r="129">
          <cell r="E129" t="str">
            <v>2.4.4 – Manutenção de Veículos e Máquinas</v>
          </cell>
          <cell r="I129" t="str">
            <v>-</v>
          </cell>
          <cell r="N129" t="str">
            <v>Pago</v>
          </cell>
          <cell r="O129">
            <v>-1215</v>
          </cell>
        </row>
        <row r="130">
          <cell r="E130" t="str">
            <v>2.3.5 – Combustíveis e Lubrificantes</v>
          </cell>
          <cell r="I130" t="str">
            <v>-</v>
          </cell>
          <cell r="N130" t="str">
            <v>Pago</v>
          </cell>
          <cell r="O130">
            <v>-1188.5</v>
          </cell>
        </row>
        <row r="131">
          <cell r="E131" t="str">
            <v>2.1.8 – Despesas Gerais</v>
          </cell>
          <cell r="I131" t="str">
            <v>-</v>
          </cell>
          <cell r="N131" t="str">
            <v>Pago</v>
          </cell>
          <cell r="O131">
            <v>-24.16</v>
          </cell>
        </row>
        <row r="132">
          <cell r="E132" t="str">
            <v>2.1.8 – Despesas Gerais</v>
          </cell>
          <cell r="I132" t="str">
            <v>-</v>
          </cell>
          <cell r="N132" t="str">
            <v>Pago</v>
          </cell>
          <cell r="O132">
            <v>-398.91</v>
          </cell>
        </row>
        <row r="133">
          <cell r="E133" t="str">
            <v>2.1.8 – Despesas Gerais</v>
          </cell>
          <cell r="I133" t="str">
            <v>-</v>
          </cell>
          <cell r="N133" t="str">
            <v>Pago</v>
          </cell>
          <cell r="O133">
            <v>-398.91</v>
          </cell>
        </row>
        <row r="134">
          <cell r="E134" t="str">
            <v>2.2.3 – Benefícios (vale, alimentação, etc.)</v>
          </cell>
          <cell r="I134" t="str">
            <v>-</v>
          </cell>
          <cell r="N134" t="str">
            <v>Pago</v>
          </cell>
          <cell r="O134">
            <v>-599.11</v>
          </cell>
        </row>
        <row r="135">
          <cell r="E135" t="str">
            <v>2.3.6 – Produtos e Peças</v>
          </cell>
          <cell r="I135" t="str">
            <v>-</v>
          </cell>
          <cell r="N135" t="str">
            <v>Pago</v>
          </cell>
          <cell r="O135">
            <v>-102</v>
          </cell>
        </row>
        <row r="136">
          <cell r="E136" t="str">
            <v>2.1.7 – Material de Escritório</v>
          </cell>
          <cell r="I136" t="str">
            <v>-</v>
          </cell>
          <cell r="N136" t="str">
            <v>Pago</v>
          </cell>
          <cell r="O136">
            <v>-34.9</v>
          </cell>
        </row>
        <row r="137">
          <cell r="E137" t="str">
            <v>2.7.2 – Obras e Melhorias (infraestrutura)</v>
          </cell>
          <cell r="I137" t="str">
            <v>OUTRAS</v>
          </cell>
          <cell r="N137" t="str">
            <v>Pago</v>
          </cell>
          <cell r="O137">
            <v>-1575</v>
          </cell>
        </row>
        <row r="138">
          <cell r="E138" t="str">
            <v>2.2.2 – Encargos Sociais (INSS, FGTS, etc.)</v>
          </cell>
          <cell r="I138" t="str">
            <v>-</v>
          </cell>
          <cell r="N138" t="str">
            <v>Pago</v>
          </cell>
          <cell r="O138">
            <v>-320</v>
          </cell>
        </row>
        <row r="139">
          <cell r="E139" t="str">
            <v>2.5.2 – Tarifas Bancárias</v>
          </cell>
          <cell r="I139" t="str">
            <v>-</v>
          </cell>
          <cell r="N139" t="str">
            <v>Pago</v>
          </cell>
          <cell r="O139">
            <v>-50</v>
          </cell>
        </row>
        <row r="140">
          <cell r="E140" t="str">
            <v>2.3.6 – Produtos e Peças</v>
          </cell>
          <cell r="I140" t="str">
            <v>-</v>
          </cell>
          <cell r="N140" t="str">
            <v>Pago</v>
          </cell>
          <cell r="O140">
            <v>-279.27999999999997</v>
          </cell>
        </row>
        <row r="141">
          <cell r="E141" t="str">
            <v>2.3.6 – Produtos e Peças</v>
          </cell>
          <cell r="I141" t="str">
            <v>-</v>
          </cell>
          <cell r="N141" t="str">
            <v>Pago</v>
          </cell>
          <cell r="O141">
            <v>-27</v>
          </cell>
        </row>
        <row r="142">
          <cell r="E142" t="str">
            <v>2.3.1 – Manutenção de Benfeitorias</v>
          </cell>
          <cell r="I142" t="str">
            <v>-</v>
          </cell>
          <cell r="N142" t="str">
            <v>Pago</v>
          </cell>
          <cell r="O142">
            <v>-7767.02</v>
          </cell>
        </row>
        <row r="143">
          <cell r="E143" t="str">
            <v>2.2.2 – Encargos Sociais (INSS, FGTS, etc.)</v>
          </cell>
          <cell r="I143" t="str">
            <v>-</v>
          </cell>
          <cell r="N143" t="str">
            <v>Pago</v>
          </cell>
          <cell r="O143">
            <v>-1748.36</v>
          </cell>
        </row>
        <row r="144">
          <cell r="E144" t="str">
            <v>2.3.6 – Produtos e Peças</v>
          </cell>
          <cell r="I144" t="str">
            <v>-</v>
          </cell>
          <cell r="N144" t="str">
            <v>Pago</v>
          </cell>
          <cell r="O144">
            <v>-731.33</v>
          </cell>
        </row>
        <row r="145">
          <cell r="E145" t="str">
            <v>2.3.6 – Produtos e Peças</v>
          </cell>
          <cell r="I145" t="str">
            <v>-</v>
          </cell>
          <cell r="N145" t="str">
            <v>Pago</v>
          </cell>
          <cell r="O145">
            <v>-203.32</v>
          </cell>
        </row>
        <row r="146">
          <cell r="E146" t="str">
            <v>2.3.6 – Produtos e Peças</v>
          </cell>
          <cell r="I146" t="str">
            <v>-</v>
          </cell>
          <cell r="N146" t="str">
            <v>Pago</v>
          </cell>
          <cell r="O146">
            <v>-335.55</v>
          </cell>
        </row>
        <row r="147">
          <cell r="E147" t="str">
            <v>2.8.3 – Pagamentos Pessoais (não operacionais)</v>
          </cell>
          <cell r="I147" t="str">
            <v>-</v>
          </cell>
          <cell r="N147" t="str">
            <v>Pago</v>
          </cell>
          <cell r="O147">
            <v>-7249.31</v>
          </cell>
        </row>
        <row r="148">
          <cell r="E148" t="str">
            <v>2.8.1 – Distribuição de Lucros</v>
          </cell>
          <cell r="I148" t="str">
            <v>-</v>
          </cell>
          <cell r="N148" t="str">
            <v>Repassado</v>
          </cell>
          <cell r="O148">
            <v>-2000</v>
          </cell>
        </row>
        <row r="149">
          <cell r="E149" t="str">
            <v>2.1.6 – Taxas e Impostos (ITR, INCRA, etc.)</v>
          </cell>
          <cell r="I149" t="str">
            <v>-</v>
          </cell>
          <cell r="N149" t="str">
            <v>Pago</v>
          </cell>
          <cell r="O149">
            <v>-13.64</v>
          </cell>
        </row>
        <row r="150">
          <cell r="E150" t="str">
            <v>2.3.6 – Produtos e Peças</v>
          </cell>
          <cell r="I150" t="str">
            <v>-</v>
          </cell>
          <cell r="N150" t="str">
            <v>Pago</v>
          </cell>
          <cell r="O150">
            <v>-66.88</v>
          </cell>
        </row>
        <row r="151">
          <cell r="E151" t="str">
            <v>2.8.1 – Distribuição de Lucros</v>
          </cell>
          <cell r="I151" t="str">
            <v>-</v>
          </cell>
          <cell r="N151" t="str">
            <v>Repassado</v>
          </cell>
          <cell r="O151">
            <v>-600</v>
          </cell>
        </row>
        <row r="152">
          <cell r="E152" t="str">
            <v>2.3.6 – Produtos e Peças</v>
          </cell>
          <cell r="I152" t="str">
            <v>-</v>
          </cell>
          <cell r="N152" t="str">
            <v>Pago</v>
          </cell>
          <cell r="O152">
            <v>-135.4</v>
          </cell>
        </row>
        <row r="153">
          <cell r="E153" t="str">
            <v>1.2.1 –  Venda de Soja</v>
          </cell>
          <cell r="I153" t="str">
            <v>-</v>
          </cell>
          <cell r="N153" t="str">
            <v>Recebido</v>
          </cell>
          <cell r="O153">
            <v>400428</v>
          </cell>
        </row>
        <row r="154">
          <cell r="E154" t="str">
            <v>1.2.1 –  Venda de Soja</v>
          </cell>
          <cell r="I154" t="str">
            <v>-</v>
          </cell>
          <cell r="N154" t="str">
            <v>Recebido</v>
          </cell>
          <cell r="O154">
            <v>320291.5</v>
          </cell>
        </row>
        <row r="155">
          <cell r="E155" t="str">
            <v>2.8.1 – Distribuição de Lucros</v>
          </cell>
          <cell r="I155" t="str">
            <v>-</v>
          </cell>
          <cell r="N155" t="str">
            <v>Repassado</v>
          </cell>
          <cell r="O155">
            <v>-72992.67</v>
          </cell>
        </row>
        <row r="156">
          <cell r="E156" t="str">
            <v>2.8.1 – Distribuição de Lucros</v>
          </cell>
          <cell r="I156" t="str">
            <v>-</v>
          </cell>
          <cell r="N156" t="str">
            <v>Repassado</v>
          </cell>
          <cell r="O156">
            <v>-2136.96</v>
          </cell>
        </row>
        <row r="157">
          <cell r="E157" t="str">
            <v>2.2.3 – Benefícios (vale, alimentação, etc.)</v>
          </cell>
          <cell r="I157" t="str">
            <v>-</v>
          </cell>
          <cell r="N157" t="str">
            <v>Pago</v>
          </cell>
          <cell r="O157">
            <v>-700</v>
          </cell>
        </row>
        <row r="158">
          <cell r="E158" t="str">
            <v>2.1.8 – Despesas Gerais</v>
          </cell>
          <cell r="I158" t="str">
            <v>-</v>
          </cell>
          <cell r="N158" t="str">
            <v>Pago</v>
          </cell>
          <cell r="O158">
            <v>-450</v>
          </cell>
        </row>
        <row r="159">
          <cell r="E159" t="str">
            <v>2.4.4 – Manutenção de Veículos e Máquinas</v>
          </cell>
          <cell r="I159" t="str">
            <v>-</v>
          </cell>
          <cell r="N159" t="str">
            <v>Pago</v>
          </cell>
          <cell r="O159">
            <v>-140</v>
          </cell>
        </row>
        <row r="160">
          <cell r="E160" t="str">
            <v>2.3.7 – Peças para Veículos e Máquinas</v>
          </cell>
          <cell r="I160" t="str">
            <v>-</v>
          </cell>
          <cell r="N160" t="str">
            <v>Pago</v>
          </cell>
          <cell r="O160">
            <v>-425</v>
          </cell>
        </row>
        <row r="161">
          <cell r="E161" t="str">
            <v>2.4.4 – Manutenção de Veículos e Máquinas</v>
          </cell>
          <cell r="I161" t="str">
            <v>-</v>
          </cell>
          <cell r="N161" t="str">
            <v>Pago</v>
          </cell>
          <cell r="O161">
            <v>-105</v>
          </cell>
        </row>
        <row r="162">
          <cell r="E162" t="str">
            <v>1.6.1 – Diversos</v>
          </cell>
          <cell r="I162" t="str">
            <v>-</v>
          </cell>
          <cell r="N162" t="str">
            <v>Recebido</v>
          </cell>
          <cell r="O162">
            <v>201.84</v>
          </cell>
        </row>
        <row r="163">
          <cell r="E163" t="str">
            <v>2.8.1 – Distribuição de Lucros</v>
          </cell>
          <cell r="I163" t="str">
            <v>-</v>
          </cell>
          <cell r="N163" t="str">
            <v>Repassado</v>
          </cell>
          <cell r="O163">
            <v>-4092.66</v>
          </cell>
        </row>
        <row r="164">
          <cell r="E164" t="str">
            <v>2.1.1 – Honorários Contábeis</v>
          </cell>
          <cell r="I164" t="str">
            <v>-</v>
          </cell>
          <cell r="N164" t="str">
            <v>Pago</v>
          </cell>
          <cell r="O164">
            <v>-4574</v>
          </cell>
        </row>
        <row r="165">
          <cell r="E165" t="str">
            <v>2.1.4 – Software Rural</v>
          </cell>
          <cell r="I165" t="str">
            <v>-</v>
          </cell>
          <cell r="N165" t="str">
            <v>Pago</v>
          </cell>
          <cell r="O165">
            <v>-490</v>
          </cell>
        </row>
        <row r="166">
          <cell r="E166" t="str">
            <v>2.2.1 – Salários e Remunerações</v>
          </cell>
          <cell r="I166" t="str">
            <v>-</v>
          </cell>
          <cell r="N166" t="str">
            <v>Pago</v>
          </cell>
          <cell r="O166">
            <v>-3492.76</v>
          </cell>
        </row>
        <row r="167">
          <cell r="E167" t="str">
            <v>2.5.2 – Tarifas Bancárias</v>
          </cell>
          <cell r="I167" t="str">
            <v>-</v>
          </cell>
          <cell r="N167" t="str">
            <v>Pago</v>
          </cell>
          <cell r="O167">
            <v>-55</v>
          </cell>
        </row>
        <row r="168">
          <cell r="E168" t="str">
            <v>2.8.1 – Distribuição de Lucros</v>
          </cell>
          <cell r="I168" t="str">
            <v>-</v>
          </cell>
          <cell r="N168" t="str">
            <v>Repassado</v>
          </cell>
          <cell r="O168">
            <v>-1146.46</v>
          </cell>
        </row>
        <row r="169">
          <cell r="E169" t="str">
            <v>2.8.1 – Distribuição de Lucros</v>
          </cell>
          <cell r="I169" t="str">
            <v>-</v>
          </cell>
          <cell r="N169" t="str">
            <v>Repassado</v>
          </cell>
          <cell r="O169">
            <v>-7500</v>
          </cell>
        </row>
        <row r="170">
          <cell r="E170" t="str">
            <v>2.8.1 – Distribuição de Lucros</v>
          </cell>
          <cell r="I170" t="str">
            <v>-</v>
          </cell>
          <cell r="N170" t="str">
            <v>Repassado</v>
          </cell>
          <cell r="O170">
            <v>-2400</v>
          </cell>
        </row>
        <row r="171">
          <cell r="E171" t="str">
            <v>2.3.6 – Produtos e Peças</v>
          </cell>
          <cell r="I171" t="str">
            <v>-</v>
          </cell>
          <cell r="N171" t="str">
            <v>Pago</v>
          </cell>
          <cell r="O171">
            <v>-1265</v>
          </cell>
        </row>
        <row r="172">
          <cell r="E172" t="str">
            <v>2.5.2 – Tarifas Bancárias</v>
          </cell>
          <cell r="I172" t="str">
            <v>-</v>
          </cell>
          <cell r="N172" t="str">
            <v>Pago</v>
          </cell>
          <cell r="O172">
            <v>-10</v>
          </cell>
        </row>
        <row r="173">
          <cell r="E173" t="str">
            <v>2.1.3 – Despesas com Aluguel</v>
          </cell>
          <cell r="I173" t="str">
            <v>-</v>
          </cell>
          <cell r="N173" t="str">
            <v>Pago</v>
          </cell>
          <cell r="O173">
            <v>-1880</v>
          </cell>
        </row>
        <row r="174">
          <cell r="E174" t="str">
            <v>2.3.4 – Internet Rural</v>
          </cell>
          <cell r="I174" t="str">
            <v>-</v>
          </cell>
          <cell r="N174" t="str">
            <v>Pago</v>
          </cell>
          <cell r="O174">
            <v>-250</v>
          </cell>
        </row>
        <row r="175">
          <cell r="E175" t="str">
            <v>2.3.6 – Produtos e Peças</v>
          </cell>
          <cell r="I175" t="str">
            <v>-</v>
          </cell>
          <cell r="N175" t="str">
            <v>Pago</v>
          </cell>
          <cell r="O175">
            <v>-560</v>
          </cell>
        </row>
        <row r="176">
          <cell r="E176" t="str">
            <v>2.3.6 – Produtos e Peças</v>
          </cell>
          <cell r="I176" t="str">
            <v>-</v>
          </cell>
          <cell r="N176" t="str">
            <v>Pago</v>
          </cell>
          <cell r="O176">
            <v>-688</v>
          </cell>
        </row>
        <row r="177">
          <cell r="E177" t="str">
            <v>2.3.6 – Produtos e Peças</v>
          </cell>
          <cell r="I177" t="str">
            <v>-</v>
          </cell>
          <cell r="N177" t="str">
            <v>Pago</v>
          </cell>
          <cell r="O177">
            <v>-1389.25</v>
          </cell>
        </row>
        <row r="178">
          <cell r="E178" t="str">
            <v>2.3.9 – Alimentação Animal</v>
          </cell>
          <cell r="I178" t="str">
            <v>-</v>
          </cell>
          <cell r="N178" t="str">
            <v>Pago</v>
          </cell>
          <cell r="O178">
            <v>-160.03</v>
          </cell>
        </row>
        <row r="179">
          <cell r="E179" t="str">
            <v>2.3.9 – Alimentação Animal</v>
          </cell>
          <cell r="I179" t="str">
            <v>-</v>
          </cell>
          <cell r="N179" t="str">
            <v>Pago</v>
          </cell>
          <cell r="O179">
            <v>-486.38</v>
          </cell>
        </row>
        <row r="180">
          <cell r="E180" t="str">
            <v>2.3.5 – Combustíveis e Lubrificantes</v>
          </cell>
          <cell r="I180" t="str">
            <v>-</v>
          </cell>
          <cell r="N180" t="str">
            <v>Pago</v>
          </cell>
          <cell r="O180">
            <v>-1259.1099999999999</v>
          </cell>
        </row>
        <row r="181">
          <cell r="E181" t="str">
            <v>2.1.8 – Despesas Gerais</v>
          </cell>
          <cell r="I181" t="str">
            <v>-</v>
          </cell>
          <cell r="N181" t="str">
            <v>Pago</v>
          </cell>
          <cell r="O181">
            <v>-24.16</v>
          </cell>
        </row>
        <row r="182">
          <cell r="E182" t="str">
            <v>2.1.8 – Despesas Gerais</v>
          </cell>
          <cell r="I182" t="str">
            <v>-</v>
          </cell>
          <cell r="N182" t="str">
            <v>Pago</v>
          </cell>
          <cell r="O182">
            <v>-398.91</v>
          </cell>
        </row>
        <row r="183">
          <cell r="E183" t="str">
            <v>2.2.3 – Benefícios (vale, alimentação, etc.)</v>
          </cell>
          <cell r="I183" t="str">
            <v>-</v>
          </cell>
          <cell r="N183" t="str">
            <v>Pago</v>
          </cell>
          <cell r="O183">
            <v>-344.87</v>
          </cell>
        </row>
        <row r="184">
          <cell r="E184" t="str">
            <v>2.3.1 – Manutenção de Benfeitorias</v>
          </cell>
          <cell r="I184" t="str">
            <v>-</v>
          </cell>
          <cell r="N184" t="str">
            <v>Pago</v>
          </cell>
          <cell r="O184">
            <v>-2145</v>
          </cell>
        </row>
        <row r="185">
          <cell r="E185" t="str">
            <v>2.2.2 – Encargos Sociais (INSS, FGTS, etc.)</v>
          </cell>
          <cell r="I185" t="str">
            <v>-</v>
          </cell>
          <cell r="N185" t="str">
            <v>Pago</v>
          </cell>
          <cell r="O185">
            <v>-320</v>
          </cell>
        </row>
        <row r="186">
          <cell r="E186" t="str">
            <v>2.2.2 – Encargos Sociais (INSS, FGTS, etc.)</v>
          </cell>
          <cell r="I186" t="str">
            <v>-</v>
          </cell>
          <cell r="N186" t="str">
            <v>Pago</v>
          </cell>
          <cell r="O186">
            <v>-1715.28</v>
          </cell>
        </row>
        <row r="187">
          <cell r="E187" t="str">
            <v>2.7.2 – Obras e Melhorias (infraestrutura)</v>
          </cell>
          <cell r="I187" t="str">
            <v>OUTRAS</v>
          </cell>
          <cell r="N187" t="str">
            <v>Pago</v>
          </cell>
          <cell r="O187">
            <v>-1575</v>
          </cell>
        </row>
        <row r="188">
          <cell r="E188" t="str">
            <v>2.3.6 – Produtos e Peças</v>
          </cell>
          <cell r="I188" t="str">
            <v>-</v>
          </cell>
          <cell r="N188" t="str">
            <v>Pago</v>
          </cell>
          <cell r="O188">
            <v>-731.32</v>
          </cell>
        </row>
        <row r="189">
          <cell r="E189" t="str">
            <v>2.5.2 – Tarifas Bancárias</v>
          </cell>
          <cell r="I189" t="str">
            <v>-</v>
          </cell>
          <cell r="N189" t="str">
            <v>Pago</v>
          </cell>
          <cell r="O189">
            <v>-50</v>
          </cell>
        </row>
        <row r="190">
          <cell r="E190" t="str">
            <v>2.3.1 – Manutenção de Benfeitorias</v>
          </cell>
          <cell r="I190" t="str">
            <v>-</v>
          </cell>
          <cell r="N190" t="str">
            <v>Pago</v>
          </cell>
          <cell r="O190">
            <v>-2454.4</v>
          </cell>
        </row>
        <row r="191">
          <cell r="E191" t="str">
            <v>2.8.3 – Pagamentos Pessoais (não operacionais)</v>
          </cell>
          <cell r="I191" t="str">
            <v>-</v>
          </cell>
          <cell r="N191" t="str">
            <v>Pago</v>
          </cell>
          <cell r="O191">
            <v>-7249.31</v>
          </cell>
        </row>
        <row r="192">
          <cell r="E192" t="str">
            <v>2.1.6 – Taxas e Impostos (ITR, INCRA, etc.)</v>
          </cell>
          <cell r="I192" t="str">
            <v>-</v>
          </cell>
          <cell r="N192" t="str">
            <v>Pago</v>
          </cell>
          <cell r="O192">
            <v>-46449.17</v>
          </cell>
        </row>
        <row r="193">
          <cell r="E193" t="str">
            <v>2.1.7 – Material de Escritório</v>
          </cell>
          <cell r="I193" t="str">
            <v>-</v>
          </cell>
          <cell r="N193" t="str">
            <v>Pago</v>
          </cell>
          <cell r="O193">
            <v>-97.4</v>
          </cell>
        </row>
        <row r="194">
          <cell r="E194" t="str">
            <v>2.6.1 – Aplicações Financeiras</v>
          </cell>
          <cell r="I194" t="str">
            <v>-</v>
          </cell>
          <cell r="N194" t="str">
            <v>Aplicado</v>
          </cell>
          <cell r="O194">
            <v>-2092.3200000000002</v>
          </cell>
        </row>
        <row r="195">
          <cell r="E195" t="str">
            <v>1.9.1 – Diversos</v>
          </cell>
          <cell r="I195" t="str">
            <v>-</v>
          </cell>
          <cell r="N195" t="str">
            <v>Recebido</v>
          </cell>
          <cell r="O195">
            <v>2092.3200000000002</v>
          </cell>
        </row>
        <row r="196">
          <cell r="E196" t="str">
            <v>1.2.1 –  Venda de Soja</v>
          </cell>
          <cell r="I196" t="str">
            <v>-</v>
          </cell>
          <cell r="N196" t="str">
            <v>Recebido</v>
          </cell>
          <cell r="O196">
            <v>256315.5</v>
          </cell>
        </row>
        <row r="197">
          <cell r="E197" t="str">
            <v>2.4.7 – Serviços Diversos</v>
          </cell>
          <cell r="I197" t="str">
            <v>-</v>
          </cell>
          <cell r="N197" t="str">
            <v>Pago</v>
          </cell>
          <cell r="O197">
            <v>-45</v>
          </cell>
        </row>
        <row r="198">
          <cell r="E198" t="str">
            <v>2.8.1 – Distribuição de Lucros</v>
          </cell>
          <cell r="I198" t="str">
            <v>-</v>
          </cell>
          <cell r="N198" t="str">
            <v>Repassado</v>
          </cell>
          <cell r="O198">
            <v>-67851.48</v>
          </cell>
        </row>
        <row r="199">
          <cell r="E199" t="str">
            <v>2.8.1 – Distribuição de Lucros</v>
          </cell>
          <cell r="I199" t="str">
            <v>-</v>
          </cell>
          <cell r="N199" t="str">
            <v>Repassado</v>
          </cell>
          <cell r="O199">
            <v>-300</v>
          </cell>
        </row>
        <row r="200">
          <cell r="E200" t="str">
            <v>2.2.3 – Benefícios (vale, alimentação, etc.)</v>
          </cell>
          <cell r="I200" t="str">
            <v>-</v>
          </cell>
          <cell r="N200" t="str">
            <v>Pago</v>
          </cell>
          <cell r="O200">
            <v>-700</v>
          </cell>
        </row>
        <row r="201">
          <cell r="E201" t="str">
            <v>2.3.7 – Peças para Veículos e Máquinas</v>
          </cell>
          <cell r="I201" t="str">
            <v>-</v>
          </cell>
          <cell r="N201" t="str">
            <v>Pago</v>
          </cell>
          <cell r="O201">
            <v>-805</v>
          </cell>
        </row>
        <row r="202">
          <cell r="E202" t="str">
            <v>2.3.6 – Produtos e Peças</v>
          </cell>
          <cell r="I202" t="str">
            <v>-</v>
          </cell>
          <cell r="N202" t="str">
            <v>Pago</v>
          </cell>
          <cell r="O202">
            <v>-675</v>
          </cell>
        </row>
        <row r="203">
          <cell r="E203" t="str">
            <v>2.3.1 – Manutenção de Benfeitorias</v>
          </cell>
          <cell r="I203" t="str">
            <v>-</v>
          </cell>
          <cell r="N203" t="str">
            <v>Pago</v>
          </cell>
          <cell r="O203">
            <v>-737</v>
          </cell>
        </row>
        <row r="204">
          <cell r="E204" t="str">
            <v>2.4.4 – Manutenção de Veículos e Máquinas</v>
          </cell>
          <cell r="I204" t="str">
            <v>-</v>
          </cell>
          <cell r="N204" t="str">
            <v>Pago</v>
          </cell>
          <cell r="O204">
            <v>-100</v>
          </cell>
        </row>
        <row r="205">
          <cell r="E205" t="str">
            <v>2.5.2 – Tarifas Bancárias</v>
          </cell>
          <cell r="I205" t="str">
            <v>-</v>
          </cell>
          <cell r="N205" t="str">
            <v>Pago</v>
          </cell>
          <cell r="O205">
            <v>-55</v>
          </cell>
        </row>
        <row r="206">
          <cell r="E206" t="str">
            <v>2.1.1 – Honorários Contábeis</v>
          </cell>
          <cell r="I206" t="str">
            <v>-</v>
          </cell>
          <cell r="N206" t="str">
            <v>Pago</v>
          </cell>
          <cell r="O206">
            <v>-4574</v>
          </cell>
        </row>
        <row r="207">
          <cell r="E207" t="str">
            <v>2.2.1 – Salários e Remunerações</v>
          </cell>
          <cell r="I207" t="str">
            <v>-</v>
          </cell>
          <cell r="N207" t="str">
            <v>Pago</v>
          </cell>
          <cell r="O207">
            <v>-3511.84</v>
          </cell>
        </row>
        <row r="208">
          <cell r="E208" t="str">
            <v>2.1.4 – Software Rural</v>
          </cell>
          <cell r="I208" t="str">
            <v>-</v>
          </cell>
          <cell r="N208" t="str">
            <v>Pago</v>
          </cell>
          <cell r="O208">
            <v>-490</v>
          </cell>
        </row>
        <row r="209">
          <cell r="E209" t="str">
            <v>2.5.2 – Tarifas Bancárias</v>
          </cell>
          <cell r="I209" t="str">
            <v>-</v>
          </cell>
          <cell r="N209" t="str">
            <v>Pago</v>
          </cell>
          <cell r="O209">
            <v>-10</v>
          </cell>
        </row>
        <row r="210">
          <cell r="E210" t="str">
            <v>2.3.6 – Produtos e Peças</v>
          </cell>
          <cell r="I210" t="str">
            <v>-</v>
          </cell>
          <cell r="N210" t="str">
            <v>Pago</v>
          </cell>
          <cell r="O210">
            <v>-290.37</v>
          </cell>
        </row>
        <row r="211">
          <cell r="E211" t="str">
            <v>2.1.3 – Despesas com Aluguel</v>
          </cell>
          <cell r="I211" t="str">
            <v>-</v>
          </cell>
          <cell r="N211" t="str">
            <v>Pago</v>
          </cell>
          <cell r="O211">
            <v>-1880</v>
          </cell>
        </row>
        <row r="212">
          <cell r="E212" t="str">
            <v>2.8.1 – Distribuição de Lucros</v>
          </cell>
          <cell r="I212" t="str">
            <v>-</v>
          </cell>
          <cell r="N212" t="str">
            <v>Repassado</v>
          </cell>
          <cell r="O212">
            <v>-1290.07</v>
          </cell>
        </row>
        <row r="213">
          <cell r="E213" t="str">
            <v>2.1.8 – Despesas Gerais</v>
          </cell>
          <cell r="I213" t="str">
            <v>-</v>
          </cell>
          <cell r="N213" t="str">
            <v>Pago</v>
          </cell>
          <cell r="O213">
            <v>-24.16</v>
          </cell>
        </row>
        <row r="214">
          <cell r="E214" t="str">
            <v>2.1.8 – Despesas Gerais</v>
          </cell>
          <cell r="I214" t="str">
            <v>-</v>
          </cell>
          <cell r="N214" t="str">
            <v>Pago</v>
          </cell>
          <cell r="O214">
            <v>-398.91</v>
          </cell>
        </row>
        <row r="215">
          <cell r="E215" t="str">
            <v>2.3.6 – Produtos e Peças</v>
          </cell>
          <cell r="I215" t="str">
            <v>-</v>
          </cell>
          <cell r="N215" t="str">
            <v>Pago</v>
          </cell>
          <cell r="O215">
            <v>-209.24</v>
          </cell>
        </row>
        <row r="216">
          <cell r="E216" t="str">
            <v>2.2.3 – Benefícios (vale, alimentação, etc.)</v>
          </cell>
          <cell r="I216" t="str">
            <v>-</v>
          </cell>
          <cell r="N216" t="str">
            <v>Pago</v>
          </cell>
          <cell r="O216">
            <v>-330.04</v>
          </cell>
        </row>
        <row r="217">
          <cell r="E217" t="str">
            <v>2.3.1 – Manutenção de Benfeitorias</v>
          </cell>
          <cell r="I217" t="str">
            <v>-</v>
          </cell>
          <cell r="N217" t="str">
            <v>Pago</v>
          </cell>
          <cell r="O217">
            <v>-2145</v>
          </cell>
        </row>
        <row r="218">
          <cell r="E218" t="str">
            <v>2.3.4 – Internet Rural</v>
          </cell>
          <cell r="I218" t="str">
            <v>-</v>
          </cell>
          <cell r="N218" t="str">
            <v>Pago</v>
          </cell>
          <cell r="O218">
            <v>-235.52</v>
          </cell>
        </row>
        <row r="219">
          <cell r="E219" t="str">
            <v>2.7.2 – Obras e Melhorias (infraestrutura)</v>
          </cell>
          <cell r="I219" t="str">
            <v>OUTRAS</v>
          </cell>
          <cell r="N219" t="str">
            <v>Pago</v>
          </cell>
          <cell r="O219">
            <v>-1575</v>
          </cell>
        </row>
        <row r="220">
          <cell r="E220" t="str">
            <v>2.2.2 – Encargos Sociais (INSS, FGTS, etc.)</v>
          </cell>
          <cell r="I220" t="str">
            <v>-</v>
          </cell>
          <cell r="N220" t="str">
            <v>Pago</v>
          </cell>
          <cell r="O220">
            <v>-320</v>
          </cell>
        </row>
        <row r="221">
          <cell r="E221" t="str">
            <v>2.2.2 – Encargos Sociais (INSS, FGTS, etc.)</v>
          </cell>
          <cell r="I221" t="str">
            <v>-</v>
          </cell>
          <cell r="N221" t="str">
            <v>Pago</v>
          </cell>
          <cell r="O221">
            <v>-1575.24</v>
          </cell>
        </row>
        <row r="222">
          <cell r="E222" t="str">
            <v>2.4.4 – Manutenção de Veículos e Máquinas</v>
          </cell>
          <cell r="I222" t="str">
            <v>-</v>
          </cell>
          <cell r="N222" t="str">
            <v>Pago</v>
          </cell>
          <cell r="O222">
            <v>-350</v>
          </cell>
        </row>
        <row r="223">
          <cell r="E223" t="str">
            <v>2.3.7 – Peças para Veículos e Máquinas</v>
          </cell>
          <cell r="I223" t="str">
            <v>-</v>
          </cell>
          <cell r="N223" t="str">
            <v>Pago</v>
          </cell>
          <cell r="O223">
            <v>-800.34</v>
          </cell>
        </row>
        <row r="224">
          <cell r="E224" t="str">
            <v>2.1.6 – Taxas e Impostos (ITR, INCRA, etc.)</v>
          </cell>
          <cell r="I224" t="str">
            <v>-</v>
          </cell>
          <cell r="N224" t="str">
            <v>Pago</v>
          </cell>
          <cell r="O224">
            <v>-200</v>
          </cell>
        </row>
        <row r="225">
          <cell r="E225" t="str">
            <v>2.5.2 – Tarifas Bancárias</v>
          </cell>
          <cell r="I225" t="str">
            <v>-</v>
          </cell>
          <cell r="N225" t="str">
            <v>Pago</v>
          </cell>
          <cell r="O225">
            <v>-50</v>
          </cell>
        </row>
        <row r="226">
          <cell r="E226" t="str">
            <v>2.3.9 – Alimentação Animal</v>
          </cell>
          <cell r="I226" t="str">
            <v>-</v>
          </cell>
          <cell r="N226" t="str">
            <v>Pago</v>
          </cell>
          <cell r="O226">
            <v>-673.61</v>
          </cell>
        </row>
        <row r="227">
          <cell r="E227" t="str">
            <v>2.3.6 – Produtos e Peças</v>
          </cell>
          <cell r="I227" t="str">
            <v>-</v>
          </cell>
          <cell r="N227" t="str">
            <v>Pago</v>
          </cell>
          <cell r="O227">
            <v>-114.14</v>
          </cell>
        </row>
        <row r="228">
          <cell r="E228" t="str">
            <v>2.6.1 – Aplicações Financeiras</v>
          </cell>
          <cell r="I228" t="str">
            <v>-</v>
          </cell>
          <cell r="N228" t="str">
            <v>Aplicado</v>
          </cell>
          <cell r="O228">
            <v>-400000</v>
          </cell>
        </row>
        <row r="229">
          <cell r="E229" t="str">
            <v>2.1.7 – Material de Escritório</v>
          </cell>
          <cell r="I229" t="str">
            <v>-</v>
          </cell>
          <cell r="N229" t="str">
            <v>Pago</v>
          </cell>
          <cell r="O229">
            <v>-135.43</v>
          </cell>
        </row>
        <row r="230">
          <cell r="E230" t="str">
            <v>2.7.2 – Obras e Melhorias (infraestrutura)</v>
          </cell>
          <cell r="I230" t="str">
            <v>ORDEM DE COMPRA</v>
          </cell>
          <cell r="N230" t="str">
            <v>Pago</v>
          </cell>
          <cell r="O230">
            <v>-82438.95</v>
          </cell>
        </row>
        <row r="231">
          <cell r="E231" t="str">
            <v>2.7.2 – Obras e Melhorias (infraestrutura)</v>
          </cell>
          <cell r="I231" t="str">
            <v>PROJETO</v>
          </cell>
          <cell r="N231" t="str">
            <v>Pago</v>
          </cell>
          <cell r="O231">
            <v>-8777.98</v>
          </cell>
        </row>
        <row r="232">
          <cell r="E232" t="str">
            <v>1.8.1 – Cooperativa Sicredi</v>
          </cell>
          <cell r="I232" t="str">
            <v>-</v>
          </cell>
          <cell r="N232" t="str">
            <v>Resgatado</v>
          </cell>
          <cell r="O232">
            <v>99256.53</v>
          </cell>
        </row>
        <row r="233">
          <cell r="E233" t="str">
            <v>2.8.1 – Distribuição de Lucros</v>
          </cell>
          <cell r="I233" t="str">
            <v>-</v>
          </cell>
          <cell r="N233" t="str">
            <v>Repassado</v>
          </cell>
          <cell r="O233">
            <v>-7677.95</v>
          </cell>
        </row>
        <row r="234">
          <cell r="E234" t="str">
            <v>1.8.1 – Cooperativa Sicredi</v>
          </cell>
          <cell r="I234" t="str">
            <v>-</v>
          </cell>
          <cell r="N234" t="str">
            <v>Resgatado</v>
          </cell>
          <cell r="O234">
            <v>8680.25</v>
          </cell>
        </row>
        <row r="235">
          <cell r="E235" t="str">
            <v>1.8.1 – Cooperativa Sicredi</v>
          </cell>
          <cell r="I235" t="str">
            <v>-</v>
          </cell>
          <cell r="N235" t="str">
            <v>Resgatado</v>
          </cell>
          <cell r="O235">
            <v>204.21</v>
          </cell>
        </row>
        <row r="236">
          <cell r="E236" t="str">
            <v>2.8.3 – Pagamentos Pessoais (não operacionais)</v>
          </cell>
          <cell r="I236" t="str">
            <v>-</v>
          </cell>
          <cell r="N236" t="str">
            <v>Pago</v>
          </cell>
          <cell r="O236">
            <v>-7249.31</v>
          </cell>
        </row>
        <row r="237">
          <cell r="E237" t="str">
            <v>2.1.6 – Taxas e Impostos (ITR, INCRA, etc.)</v>
          </cell>
          <cell r="I237" t="str">
            <v>-</v>
          </cell>
          <cell r="N237" t="str">
            <v>Pago</v>
          </cell>
          <cell r="O237">
            <v>-100</v>
          </cell>
        </row>
        <row r="238">
          <cell r="E238" t="str">
            <v>2.8.1 – Distribuição de Lucros</v>
          </cell>
          <cell r="I238" t="str">
            <v>-</v>
          </cell>
          <cell r="N238" t="str">
            <v>Repassado</v>
          </cell>
          <cell r="O238">
            <v>-76712.210000000006</v>
          </cell>
        </row>
        <row r="239">
          <cell r="E239" t="str">
            <v>2.8.1 – Distribuição de Lucros</v>
          </cell>
          <cell r="I239" t="str">
            <v>-</v>
          </cell>
          <cell r="N239" t="str">
            <v>Repassado</v>
          </cell>
          <cell r="O239">
            <v>-853.34</v>
          </cell>
        </row>
        <row r="240">
          <cell r="E240" t="str">
            <v>2.2.3 – Benefícios (vale, alimentação, etc.)</v>
          </cell>
          <cell r="I240" t="str">
            <v>-</v>
          </cell>
          <cell r="N240" t="str">
            <v>Pago</v>
          </cell>
          <cell r="O240">
            <v>-700</v>
          </cell>
        </row>
        <row r="241">
          <cell r="E241" t="str">
            <v>2.3.6 – Produtos e Peças</v>
          </cell>
          <cell r="I241" t="str">
            <v>-</v>
          </cell>
          <cell r="N241" t="str">
            <v>Pago</v>
          </cell>
          <cell r="O241">
            <v>-1058</v>
          </cell>
        </row>
        <row r="242">
          <cell r="E242" t="str">
            <v>2.3.6 – Produtos e Peças</v>
          </cell>
          <cell r="I242" t="str">
            <v>-</v>
          </cell>
          <cell r="N242" t="str">
            <v>Pago</v>
          </cell>
          <cell r="O242">
            <v>-60</v>
          </cell>
        </row>
        <row r="243">
          <cell r="E243" t="str">
            <v>2.3.7 – Peças para Veículos e Máquinas</v>
          </cell>
          <cell r="I243" t="str">
            <v>-</v>
          </cell>
          <cell r="N243" t="str">
            <v>Pago</v>
          </cell>
          <cell r="O243">
            <v>-1440</v>
          </cell>
        </row>
        <row r="244">
          <cell r="E244" t="str">
            <v>2.4.4 – Manutenção de Veículos e Máquinas</v>
          </cell>
          <cell r="I244" t="str">
            <v>-</v>
          </cell>
          <cell r="N244" t="str">
            <v>Pago</v>
          </cell>
          <cell r="O244">
            <v>-350</v>
          </cell>
        </row>
        <row r="245">
          <cell r="E245" t="str">
            <v>2.4.4 – Manutenção de Veículos e Máquinas</v>
          </cell>
          <cell r="I245" t="str">
            <v>-</v>
          </cell>
          <cell r="N245" t="str">
            <v>Pago</v>
          </cell>
          <cell r="O245">
            <v>-450</v>
          </cell>
        </row>
        <row r="246">
          <cell r="E246" t="str">
            <v>2.3.7 – Peças para Veículos e Máquinas</v>
          </cell>
          <cell r="I246" t="str">
            <v>-</v>
          </cell>
          <cell r="N246" t="str">
            <v>Pago</v>
          </cell>
          <cell r="O246">
            <v>-800.33</v>
          </cell>
        </row>
        <row r="247">
          <cell r="E247" t="str">
            <v>2.4.3 – Manutenção e Reparos</v>
          </cell>
          <cell r="I247" t="str">
            <v>-</v>
          </cell>
          <cell r="N247" t="str">
            <v>Pago</v>
          </cell>
          <cell r="O247">
            <v>-768.28</v>
          </cell>
        </row>
        <row r="248">
          <cell r="E248" t="str">
            <v>2.5.2 – Tarifas Bancárias</v>
          </cell>
          <cell r="I248" t="str">
            <v>-</v>
          </cell>
          <cell r="N248" t="str">
            <v>Pago</v>
          </cell>
          <cell r="O248">
            <v>-63.25</v>
          </cell>
        </row>
        <row r="249">
          <cell r="E249" t="str">
            <v>2.1.1 – Honorários Contábeis</v>
          </cell>
          <cell r="I249" t="str">
            <v>-</v>
          </cell>
          <cell r="N249" t="str">
            <v>Pago</v>
          </cell>
          <cell r="O249">
            <v>-4574</v>
          </cell>
        </row>
        <row r="250">
          <cell r="E250" t="str">
            <v>2.2.1 – Salários e Remunerações</v>
          </cell>
          <cell r="I250" t="str">
            <v>-</v>
          </cell>
          <cell r="N250" t="str">
            <v>Pago</v>
          </cell>
          <cell r="O250">
            <v>-3511.84</v>
          </cell>
        </row>
        <row r="251">
          <cell r="E251" t="str">
            <v>2.1.4 – Software Rural</v>
          </cell>
          <cell r="I251" t="str">
            <v>-</v>
          </cell>
          <cell r="N251" t="str">
            <v>Pago</v>
          </cell>
          <cell r="O251">
            <v>-490</v>
          </cell>
        </row>
        <row r="252">
          <cell r="E252" t="str">
            <v>2.8.1 – Distribuição de Lucros</v>
          </cell>
          <cell r="I252" t="str">
            <v>-</v>
          </cell>
          <cell r="N252" t="str">
            <v>Repassado</v>
          </cell>
          <cell r="O252">
            <v>-813.23</v>
          </cell>
        </row>
        <row r="253">
          <cell r="E253" t="str">
            <v>2.5.2 – Tarifas Bancárias</v>
          </cell>
          <cell r="I253" t="str">
            <v>-</v>
          </cell>
          <cell r="N253" t="str">
            <v>Pago</v>
          </cell>
          <cell r="O253">
            <v>-10</v>
          </cell>
        </row>
        <row r="254">
          <cell r="E254" t="str">
            <v>2.3.6 – Produtos e Peças</v>
          </cell>
          <cell r="I254" t="str">
            <v>-</v>
          </cell>
          <cell r="N254" t="str">
            <v>Pago</v>
          </cell>
          <cell r="O254">
            <v>-258</v>
          </cell>
        </row>
        <row r="255">
          <cell r="E255" t="str">
            <v>2.3.6 – Produtos e Peças</v>
          </cell>
          <cell r="I255" t="str">
            <v>-</v>
          </cell>
          <cell r="N255" t="str">
            <v>Pago</v>
          </cell>
          <cell r="O255">
            <v>-241.99</v>
          </cell>
        </row>
        <row r="256">
          <cell r="E256" t="str">
            <v>2.1.3 – Despesas com Aluguel</v>
          </cell>
          <cell r="I256" t="str">
            <v>-</v>
          </cell>
          <cell r="N256" t="str">
            <v>Pago</v>
          </cell>
          <cell r="O256">
            <v>-1880</v>
          </cell>
        </row>
        <row r="257">
          <cell r="E257" t="str">
            <v>2.7.2 – Obras e Melhorias (infraestrutura)</v>
          </cell>
          <cell r="I257" t="str">
            <v>ORDEM DE COMPRA</v>
          </cell>
          <cell r="N257" t="str">
            <v>Pago</v>
          </cell>
          <cell r="O257">
            <v>-74776.22</v>
          </cell>
        </row>
        <row r="258">
          <cell r="E258" t="str">
            <v>2.7.2 – Obras e Melhorias (infraestrutura)</v>
          </cell>
          <cell r="I258" t="str">
            <v>ORDEM DE COMPRA</v>
          </cell>
          <cell r="N258" t="str">
            <v>Pago</v>
          </cell>
          <cell r="O258">
            <v>-18694.060000000001</v>
          </cell>
        </row>
        <row r="259">
          <cell r="E259" t="str">
            <v>1.8.1 – Cooperativa Sicredi</v>
          </cell>
          <cell r="I259" t="str">
            <v>-</v>
          </cell>
          <cell r="N259" t="str">
            <v>Resgatado</v>
          </cell>
          <cell r="O259">
            <v>93500</v>
          </cell>
        </row>
        <row r="260">
          <cell r="E260" t="str">
            <v>1.9.1 – Diversos</v>
          </cell>
          <cell r="I260" t="str">
            <v>-</v>
          </cell>
          <cell r="N260" t="str">
            <v>Recebido</v>
          </cell>
          <cell r="O260">
            <v>16924.060000000001</v>
          </cell>
        </row>
        <row r="261">
          <cell r="E261" t="str">
            <v>2.9.3 – Outras Despesas Não Classificadas</v>
          </cell>
          <cell r="I261" t="str">
            <v>-</v>
          </cell>
          <cell r="N261" t="str">
            <v>Pago</v>
          </cell>
          <cell r="O261">
            <v>-16924.060000000001</v>
          </cell>
        </row>
        <row r="262">
          <cell r="E262" t="str">
            <v>2.4.7 – Serviços Diversos</v>
          </cell>
          <cell r="I262" t="str">
            <v>-</v>
          </cell>
          <cell r="N262" t="str">
            <v>Pago</v>
          </cell>
          <cell r="O262">
            <v>-1000</v>
          </cell>
        </row>
        <row r="263">
          <cell r="E263" t="str">
            <v>2.3.6 – Produtos e Peças</v>
          </cell>
          <cell r="I263" t="str">
            <v>-</v>
          </cell>
          <cell r="N263" t="str">
            <v>Pago</v>
          </cell>
          <cell r="O263">
            <v>-560</v>
          </cell>
        </row>
        <row r="264">
          <cell r="E264" t="str">
            <v>2.7.2 – Obras e Melhorias (infraestrutura)</v>
          </cell>
          <cell r="I264" t="str">
            <v>OUTRAS</v>
          </cell>
          <cell r="N264" t="str">
            <v>Pago</v>
          </cell>
          <cell r="O264">
            <v>-51227.5</v>
          </cell>
        </row>
        <row r="265">
          <cell r="E265" t="str">
            <v>1.8.1 – Cooperativa Sicredi</v>
          </cell>
          <cell r="I265" t="str">
            <v>-</v>
          </cell>
          <cell r="N265" t="str">
            <v>Resgatado</v>
          </cell>
          <cell r="O265">
            <v>51230</v>
          </cell>
        </row>
        <row r="266">
          <cell r="E266" t="str">
            <v>2.3.5 – Combustíveis e Lubrificantes</v>
          </cell>
          <cell r="I266" t="str">
            <v>-</v>
          </cell>
          <cell r="N266" t="str">
            <v>Pago</v>
          </cell>
          <cell r="O266">
            <v>-1298.53</v>
          </cell>
        </row>
        <row r="267">
          <cell r="E267" t="str">
            <v>2.3.6 – Produtos e Peças</v>
          </cell>
          <cell r="I267" t="str">
            <v>-</v>
          </cell>
          <cell r="N267" t="str">
            <v>Pago</v>
          </cell>
          <cell r="O267">
            <v>-136.63999999999999</v>
          </cell>
        </row>
        <row r="268">
          <cell r="E268" t="str">
            <v>2.1.8 – Despesas Gerais</v>
          </cell>
          <cell r="I268" t="str">
            <v>-</v>
          </cell>
          <cell r="N268" t="str">
            <v>Pago</v>
          </cell>
          <cell r="O268">
            <v>-24.16</v>
          </cell>
        </row>
        <row r="269">
          <cell r="E269" t="str">
            <v>2.1.8 – Despesas Gerais</v>
          </cell>
          <cell r="I269" t="str">
            <v>-</v>
          </cell>
          <cell r="N269" t="str">
            <v>Pago</v>
          </cell>
          <cell r="O269">
            <v>-398.91</v>
          </cell>
        </row>
        <row r="270">
          <cell r="E270" t="str">
            <v>2.3.1 – Manutenção de Benfeitorias</v>
          </cell>
          <cell r="I270" t="str">
            <v>-</v>
          </cell>
          <cell r="N270" t="str">
            <v>Pago</v>
          </cell>
          <cell r="O270">
            <v>-2145</v>
          </cell>
        </row>
        <row r="271">
          <cell r="E271" t="str">
            <v>2.3.4 – Internet Rural</v>
          </cell>
          <cell r="I271" t="str">
            <v>-</v>
          </cell>
          <cell r="N271" t="str">
            <v>Pago</v>
          </cell>
          <cell r="O271">
            <v>-235.52</v>
          </cell>
        </row>
        <row r="272">
          <cell r="E272" t="str">
            <v>2.3.1 – Manutenção de Benfeitorias</v>
          </cell>
          <cell r="I272" t="str">
            <v>-</v>
          </cell>
          <cell r="N272" t="str">
            <v>Pago</v>
          </cell>
          <cell r="O272">
            <v>-1172.6400000000001</v>
          </cell>
        </row>
        <row r="273">
          <cell r="E273" t="str">
            <v>2.3.9 – Alimentação Animal</v>
          </cell>
          <cell r="I273" t="str">
            <v>-</v>
          </cell>
          <cell r="N273" t="str">
            <v>Pago</v>
          </cell>
          <cell r="O273">
            <v>-498.93</v>
          </cell>
        </row>
        <row r="274">
          <cell r="E274" t="str">
            <v>2.4.7 – Serviços Diversos</v>
          </cell>
          <cell r="I274" t="str">
            <v>-</v>
          </cell>
          <cell r="N274" t="str">
            <v>Pago</v>
          </cell>
          <cell r="O274">
            <v>-355</v>
          </cell>
        </row>
        <row r="275">
          <cell r="E275" t="str">
            <v>2.8.1 – Distribuição de Lucros</v>
          </cell>
          <cell r="I275" t="str">
            <v>-</v>
          </cell>
          <cell r="N275" t="str">
            <v>Repassado</v>
          </cell>
          <cell r="O275">
            <v>-8606.8799999999992</v>
          </cell>
        </row>
        <row r="276">
          <cell r="E276" t="str">
            <v>2.7.2 – Obras e Melhorias (infraestrutura)</v>
          </cell>
          <cell r="I276" t="str">
            <v>ORDEM DE COMPRA</v>
          </cell>
          <cell r="N276" t="str">
            <v>Pago</v>
          </cell>
          <cell r="O276">
            <v>-10750.78</v>
          </cell>
        </row>
        <row r="277">
          <cell r="E277" t="str">
            <v>2.7.2 – Obras e Melhorias (infraestrutura)</v>
          </cell>
          <cell r="I277" t="str">
            <v>ORDEM DE COMPRA</v>
          </cell>
          <cell r="N277" t="str">
            <v>Pago</v>
          </cell>
          <cell r="O277">
            <v>-4544.6400000000003</v>
          </cell>
        </row>
        <row r="278">
          <cell r="E278" t="str">
            <v>2.7.2 – Obras e Melhorias (infraestrutura)</v>
          </cell>
          <cell r="I278" t="str">
            <v>PROJETO</v>
          </cell>
          <cell r="N278" t="str">
            <v>Pago</v>
          </cell>
          <cell r="O278">
            <v>-1144.73</v>
          </cell>
        </row>
        <row r="279">
          <cell r="E279" t="str">
            <v>2.7.2 – Obras e Melhorias (infraestrutura)</v>
          </cell>
          <cell r="I279" t="str">
            <v>PROJETO</v>
          </cell>
          <cell r="N279" t="str">
            <v>Pago</v>
          </cell>
          <cell r="O279">
            <v>-483.91</v>
          </cell>
        </row>
        <row r="280">
          <cell r="E280" t="str">
            <v>2.2.2 – Encargos Sociais (INSS, FGTS, etc.)</v>
          </cell>
          <cell r="I280" t="str">
            <v>-</v>
          </cell>
          <cell r="N280" t="str">
            <v>Pago</v>
          </cell>
          <cell r="O280">
            <v>-320</v>
          </cell>
        </row>
        <row r="281">
          <cell r="E281" t="str">
            <v>2.2.2 – Encargos Sociais (INSS, FGTS, etc.)</v>
          </cell>
          <cell r="I281" t="str">
            <v>-</v>
          </cell>
          <cell r="N281" t="str">
            <v>Pago</v>
          </cell>
          <cell r="O281">
            <v>-1556.16</v>
          </cell>
        </row>
        <row r="282">
          <cell r="E282" t="str">
            <v>2.5.2 – Tarifas Bancárias</v>
          </cell>
          <cell r="I282" t="str">
            <v>-</v>
          </cell>
          <cell r="N282" t="str">
            <v>Pago</v>
          </cell>
          <cell r="O282">
            <v>-50</v>
          </cell>
        </row>
        <row r="283">
          <cell r="E283" t="str">
            <v>2.8.3 – Pagamentos Pessoais (não operacionais)</v>
          </cell>
          <cell r="I283" t="str">
            <v>-</v>
          </cell>
          <cell r="N283" t="str">
            <v>Pago</v>
          </cell>
          <cell r="O283">
            <v>-7249.31</v>
          </cell>
        </row>
        <row r="284">
          <cell r="E284" t="str">
            <v>2.8.1 – Distribuição de Lucros</v>
          </cell>
          <cell r="I284" t="str">
            <v>-</v>
          </cell>
          <cell r="N284" t="str">
            <v>Repassado</v>
          </cell>
          <cell r="O284">
            <v>-1579.49</v>
          </cell>
        </row>
        <row r="285">
          <cell r="E285" t="str">
            <v>2.3.6 – Produtos e Peças</v>
          </cell>
          <cell r="I285" t="str">
            <v>-</v>
          </cell>
          <cell r="N285" t="str">
            <v>Pago</v>
          </cell>
          <cell r="O285">
            <v>-131</v>
          </cell>
        </row>
        <row r="286">
          <cell r="E286" t="str">
            <v>2.1.8 – Despesas Gerais</v>
          </cell>
          <cell r="I286" t="str">
            <v>-</v>
          </cell>
          <cell r="N286" t="str">
            <v>Pago</v>
          </cell>
          <cell r="O286">
            <v>-450</v>
          </cell>
        </row>
        <row r="287">
          <cell r="E287" t="str">
            <v>1.2.1 –  Venda de Soja</v>
          </cell>
          <cell r="I287" t="str">
            <v>-</v>
          </cell>
          <cell r="N287" t="str">
            <v>Recebido</v>
          </cell>
          <cell r="O287">
            <v>986902.51</v>
          </cell>
        </row>
        <row r="288">
          <cell r="E288" t="str">
            <v>2.8.1 – Distribuição de Lucros</v>
          </cell>
          <cell r="I288" t="str">
            <v>-</v>
          </cell>
          <cell r="N288" t="str">
            <v>Repassado</v>
          </cell>
          <cell r="O288">
            <v>-57090.340000000011</v>
          </cell>
        </row>
        <row r="289">
          <cell r="E289" t="str">
            <v>2.2.3 – Benefícios (vale, alimentação, etc.)</v>
          </cell>
          <cell r="I289" t="str">
            <v>-</v>
          </cell>
          <cell r="N289" t="str">
            <v>Pago</v>
          </cell>
          <cell r="O289">
            <v>-700</v>
          </cell>
        </row>
        <row r="290">
          <cell r="E290" t="str">
            <v>2.1.6 – Taxas e Impostos (ITR, INCRA, etc.)</v>
          </cell>
          <cell r="I290" t="str">
            <v>-</v>
          </cell>
          <cell r="N290" t="str">
            <v>Pago</v>
          </cell>
          <cell r="O290">
            <v>-124.2</v>
          </cell>
        </row>
        <row r="291">
          <cell r="E291" t="str">
            <v>2.3.6 – Produtos e Peças</v>
          </cell>
          <cell r="I291" t="str">
            <v>-</v>
          </cell>
          <cell r="N291" t="str">
            <v>Pago</v>
          </cell>
          <cell r="O291">
            <v>-261</v>
          </cell>
        </row>
        <row r="292">
          <cell r="E292" t="str">
            <v>2.3.7 – Peças para Veículos e Máquinas</v>
          </cell>
          <cell r="I292" t="str">
            <v>-</v>
          </cell>
          <cell r="N292" t="str">
            <v>Pago</v>
          </cell>
          <cell r="O292">
            <v>-150</v>
          </cell>
        </row>
        <row r="293">
          <cell r="E293" t="str">
            <v>2.4.4 – Manutenção de Veículos e Máquinas</v>
          </cell>
          <cell r="I293" t="str">
            <v>-</v>
          </cell>
          <cell r="N293" t="str">
            <v>Pago</v>
          </cell>
          <cell r="O293">
            <v>-350</v>
          </cell>
        </row>
        <row r="294">
          <cell r="E294" t="str">
            <v>2.3.7 – Peças para Veículos e Máquinas</v>
          </cell>
          <cell r="I294" t="str">
            <v>-</v>
          </cell>
          <cell r="N294" t="str">
            <v>Pago</v>
          </cell>
          <cell r="O294">
            <v>-800.33</v>
          </cell>
        </row>
        <row r="295">
          <cell r="E295" t="str">
            <v>2.5.2 – Tarifas Bancárias</v>
          </cell>
          <cell r="I295" t="str">
            <v>-</v>
          </cell>
          <cell r="N295" t="str">
            <v>Pago</v>
          </cell>
          <cell r="O295">
            <v>-63.25</v>
          </cell>
        </row>
        <row r="296">
          <cell r="E296" t="str">
            <v>2.1.1 – Honorários Contábeis</v>
          </cell>
          <cell r="I296" t="str">
            <v>-</v>
          </cell>
          <cell r="N296" t="str">
            <v>Pago</v>
          </cell>
          <cell r="O296">
            <v>-4574</v>
          </cell>
        </row>
        <row r="297">
          <cell r="E297" t="str">
            <v>2.2.1 – Salários e Remunerações</v>
          </cell>
          <cell r="I297" t="str">
            <v>-</v>
          </cell>
          <cell r="N297" t="str">
            <v>Pago</v>
          </cell>
          <cell r="O297">
            <v>-3511.84</v>
          </cell>
        </row>
        <row r="298">
          <cell r="E298" t="str">
            <v>1.8.1 – Cooperativa Sicredi</v>
          </cell>
          <cell r="I298" t="str">
            <v>-</v>
          </cell>
          <cell r="N298" t="str">
            <v>Resgatado</v>
          </cell>
          <cell r="O298">
            <v>23367.57</v>
          </cell>
        </row>
        <row r="299">
          <cell r="E299" t="str">
            <v>2.7.2 – Obras e Melhorias (infraestrutura)</v>
          </cell>
          <cell r="I299" t="str">
            <v>ORDEM DE COMPRA</v>
          </cell>
          <cell r="N299" t="str">
            <v>Pago</v>
          </cell>
          <cell r="O299">
            <v>-23367.57</v>
          </cell>
        </row>
        <row r="300">
          <cell r="E300" t="str">
            <v>2.8.1 – Distribuição de Lucros</v>
          </cell>
          <cell r="I300" t="str">
            <v>-</v>
          </cell>
          <cell r="N300" t="str">
            <v>Repassado</v>
          </cell>
          <cell r="O300">
            <v>-2302.89</v>
          </cell>
        </row>
        <row r="301">
          <cell r="E301" t="str">
            <v>2.4.7 – Serviços Diversos</v>
          </cell>
          <cell r="I301" t="str">
            <v>-</v>
          </cell>
          <cell r="N301" t="str">
            <v>Pago</v>
          </cell>
          <cell r="O301">
            <v>-275</v>
          </cell>
        </row>
        <row r="302">
          <cell r="E302" t="str">
            <v>2.5.2 – Tarifas Bancárias</v>
          </cell>
          <cell r="I302" t="str">
            <v>-</v>
          </cell>
          <cell r="N302" t="str">
            <v>Pago</v>
          </cell>
          <cell r="O302">
            <v>-10</v>
          </cell>
        </row>
        <row r="303">
          <cell r="E303" t="str">
            <v>2.1.3 – Despesas com Aluguel</v>
          </cell>
          <cell r="I303" t="str">
            <v>-</v>
          </cell>
          <cell r="N303" t="str">
            <v>Pago</v>
          </cell>
          <cell r="O303">
            <v>-1880</v>
          </cell>
        </row>
        <row r="304">
          <cell r="E304" t="str">
            <v>2.3.6 – Produtos e Peças</v>
          </cell>
          <cell r="I304" t="str">
            <v>-</v>
          </cell>
          <cell r="N304" t="str">
            <v>Pago</v>
          </cell>
          <cell r="O304">
            <v>-136.63999999999999</v>
          </cell>
        </row>
        <row r="305">
          <cell r="E305" t="str">
            <v>1.8.1 – Cooperativa Sicredi</v>
          </cell>
          <cell r="I305" t="str">
            <v>-</v>
          </cell>
          <cell r="N305" t="str">
            <v>Resgatado</v>
          </cell>
          <cell r="O305">
            <v>9938</v>
          </cell>
        </row>
        <row r="306">
          <cell r="E306" t="str">
            <v>2.7.2 – Obras e Melhorias (infraestrutura)</v>
          </cell>
          <cell r="I306" t="str">
            <v>OUTRAS</v>
          </cell>
          <cell r="N306" t="str">
            <v>Pago</v>
          </cell>
          <cell r="O306">
            <v>-9937.5499999999993</v>
          </cell>
        </row>
        <row r="307">
          <cell r="E307" t="str">
            <v>2.3.9 – Alimentação Animal</v>
          </cell>
          <cell r="I307" t="str">
            <v>-</v>
          </cell>
          <cell r="N307" t="str">
            <v>Pago</v>
          </cell>
          <cell r="O307">
            <v>-502.05</v>
          </cell>
        </row>
        <row r="308">
          <cell r="E308" t="str">
            <v>2.3.5 – Combustíveis e Lubrificantes</v>
          </cell>
          <cell r="I308" t="str">
            <v>-</v>
          </cell>
          <cell r="N308" t="str">
            <v>Pago</v>
          </cell>
          <cell r="O308">
            <v>-626.30999999999995</v>
          </cell>
        </row>
        <row r="309">
          <cell r="E309" t="str">
            <v>2.1.8 – Despesas Gerais</v>
          </cell>
          <cell r="I309" t="str">
            <v>-</v>
          </cell>
          <cell r="N309" t="str">
            <v>Pago</v>
          </cell>
          <cell r="O309">
            <v>-24.16</v>
          </cell>
        </row>
        <row r="310">
          <cell r="E310" t="str">
            <v>2.3.1 – Manutenção de Benfeitorias</v>
          </cell>
          <cell r="I310" t="str">
            <v>-</v>
          </cell>
          <cell r="N310" t="str">
            <v>Pago</v>
          </cell>
          <cell r="O310">
            <v>-2145</v>
          </cell>
        </row>
        <row r="311">
          <cell r="E311" t="str">
            <v>2.3.4 – Internet Rural</v>
          </cell>
          <cell r="I311" t="str">
            <v>-</v>
          </cell>
          <cell r="N311" t="str">
            <v>Pago</v>
          </cell>
          <cell r="O311">
            <v>-235.52</v>
          </cell>
        </row>
        <row r="312">
          <cell r="E312" t="str">
            <v>2.3.1 – Manutenção de Benfeitorias</v>
          </cell>
          <cell r="I312" t="str">
            <v>-</v>
          </cell>
          <cell r="N312" t="str">
            <v>Pago</v>
          </cell>
          <cell r="O312">
            <v>-1172.6300000000001</v>
          </cell>
        </row>
        <row r="313">
          <cell r="E313" t="str">
            <v>2.8.1 – Distribuição de Lucros</v>
          </cell>
          <cell r="I313" t="str">
            <v>-</v>
          </cell>
          <cell r="N313" t="str">
            <v>Repassado</v>
          </cell>
          <cell r="O313">
            <v>-493.34</v>
          </cell>
        </row>
        <row r="314">
          <cell r="E314" t="str">
            <v>2.3.6 – Produtos e Peças</v>
          </cell>
          <cell r="I314" t="str">
            <v>-</v>
          </cell>
          <cell r="N314" t="str">
            <v>Pago</v>
          </cell>
          <cell r="O314">
            <v>-263.98</v>
          </cell>
        </row>
        <row r="315">
          <cell r="E315" t="str">
            <v>2.2.2 – Encargos Sociais (INSS, FGTS, etc.)</v>
          </cell>
          <cell r="I315" t="str">
            <v>-</v>
          </cell>
          <cell r="N315" t="str">
            <v>Pago</v>
          </cell>
          <cell r="O315">
            <v>-320</v>
          </cell>
        </row>
        <row r="316">
          <cell r="E316" t="str">
            <v>2.4.7 – Serviços Diversos</v>
          </cell>
          <cell r="I316" t="str">
            <v>-</v>
          </cell>
          <cell r="N316" t="str">
            <v>Pago</v>
          </cell>
          <cell r="O316">
            <v>-805</v>
          </cell>
        </row>
        <row r="317">
          <cell r="E317" t="str">
            <v>2.2.2 – Encargos Sociais (INSS, FGTS, etc.)</v>
          </cell>
          <cell r="I317" t="str">
            <v>-</v>
          </cell>
          <cell r="N317" t="str">
            <v>Pago</v>
          </cell>
          <cell r="O317">
            <v>-1556.16</v>
          </cell>
        </row>
        <row r="318">
          <cell r="E318" t="str">
            <v>2.5.2 – Tarifas Bancárias</v>
          </cell>
          <cell r="I318" t="str">
            <v>-</v>
          </cell>
          <cell r="N318" t="str">
            <v>Pago</v>
          </cell>
          <cell r="O318">
            <v>-50</v>
          </cell>
        </row>
        <row r="319">
          <cell r="E319" t="str">
            <v>2.1.8 – Despesas Gerais</v>
          </cell>
          <cell r="I319" t="str">
            <v>-</v>
          </cell>
          <cell r="N319" t="str">
            <v>Pago</v>
          </cell>
          <cell r="O319">
            <v>-473.34</v>
          </cell>
        </row>
        <row r="320">
          <cell r="E320" t="str">
            <v>2.8.3 – Pagamentos Pessoais (não operacionais)</v>
          </cell>
          <cell r="I320" t="str">
            <v>-</v>
          </cell>
          <cell r="N320" t="str">
            <v>Pago</v>
          </cell>
          <cell r="O320">
            <v>-7383.99</v>
          </cell>
        </row>
        <row r="321">
          <cell r="E321" t="str">
            <v>2.2.5 – EPIs Operacionais</v>
          </cell>
          <cell r="I321" t="str">
            <v>-</v>
          </cell>
          <cell r="N321" t="str">
            <v>Pago</v>
          </cell>
          <cell r="O321">
            <v>-118.79</v>
          </cell>
        </row>
        <row r="322">
          <cell r="E322" t="str">
            <v>2.2.5 – EPIs Operacionais</v>
          </cell>
          <cell r="I322" t="str">
            <v>-</v>
          </cell>
          <cell r="N322" t="str">
            <v>Pago</v>
          </cell>
          <cell r="O322">
            <v>-404.77</v>
          </cell>
        </row>
        <row r="323">
          <cell r="E323" t="str">
            <v>2.8.1 – Distribuição de Lucros</v>
          </cell>
          <cell r="I323" t="str">
            <v>-</v>
          </cell>
          <cell r="N323" t="str">
            <v>Repassado</v>
          </cell>
          <cell r="O323">
            <v>-521.72</v>
          </cell>
        </row>
        <row r="324">
          <cell r="E324" t="str">
            <v>2.2.3 – Benefícios (vale, alimentação, etc.)</v>
          </cell>
          <cell r="I324" t="str">
            <v>-</v>
          </cell>
          <cell r="N324" t="str">
            <v>Pago</v>
          </cell>
          <cell r="O324">
            <v>-180</v>
          </cell>
        </row>
        <row r="325">
          <cell r="E325" t="str">
            <v>2.2.3 – Benefícios (vale, alimentação, etc.)</v>
          </cell>
          <cell r="I325" t="str">
            <v>-</v>
          </cell>
          <cell r="N325" t="str">
            <v>Pago</v>
          </cell>
          <cell r="O325">
            <v>-310</v>
          </cell>
        </row>
        <row r="326">
          <cell r="E326" t="str">
            <v>2.1.6 – Taxas e Impostos (ITR, INCRA, etc.)</v>
          </cell>
          <cell r="I326" t="str">
            <v>-</v>
          </cell>
          <cell r="N326" t="str">
            <v>Pago</v>
          </cell>
          <cell r="O326">
            <v>-48206.46</v>
          </cell>
        </row>
        <row r="327">
          <cell r="E327" t="str">
            <v>1.2.2  – Venda de Milho</v>
          </cell>
          <cell r="I327" t="str">
            <v>-</v>
          </cell>
          <cell r="N327" t="str">
            <v>Recebido</v>
          </cell>
          <cell r="O327">
            <v>156874.99</v>
          </cell>
        </row>
        <row r="328">
          <cell r="E328" t="str">
            <v>1.2.2  – Venda de Milho</v>
          </cell>
          <cell r="I328" t="str">
            <v>-</v>
          </cell>
          <cell r="N328" t="str">
            <v>Recebido</v>
          </cell>
          <cell r="O328">
            <v>737652.1</v>
          </cell>
        </row>
        <row r="329">
          <cell r="E329" t="str">
            <v>2.8.1 – Distribuição de Lucros</v>
          </cell>
          <cell r="I329" t="str">
            <v>-</v>
          </cell>
          <cell r="N329" t="str">
            <v>Repassado</v>
          </cell>
          <cell r="O329">
            <v>-156875</v>
          </cell>
        </row>
        <row r="330">
          <cell r="E330" t="str">
            <v>2.1.8 – Despesas Gerais</v>
          </cell>
          <cell r="I330" t="str">
            <v>-</v>
          </cell>
          <cell r="N330" t="str">
            <v>Pago</v>
          </cell>
          <cell r="O330">
            <v>-627.5</v>
          </cell>
        </row>
        <row r="331">
          <cell r="E331" t="str">
            <v>2.1.8 – Despesas Gerais</v>
          </cell>
          <cell r="I331" t="str">
            <v>-</v>
          </cell>
          <cell r="N331" t="str">
            <v>Pago</v>
          </cell>
          <cell r="O331">
            <v>-2950.57</v>
          </cell>
        </row>
        <row r="332">
          <cell r="E332" t="str">
            <v>2.1.8 – Despesas Gerais</v>
          </cell>
          <cell r="I332" t="str">
            <v>-</v>
          </cell>
          <cell r="N332" t="str">
            <v>Pago</v>
          </cell>
          <cell r="O332">
            <v>-112.42</v>
          </cell>
        </row>
        <row r="333">
          <cell r="E333" t="str">
            <v>2.3.6 – Produtos e Peças</v>
          </cell>
          <cell r="I333" t="str">
            <v>-</v>
          </cell>
          <cell r="N333" t="str">
            <v>Pago</v>
          </cell>
          <cell r="O333">
            <v>-1818.44</v>
          </cell>
        </row>
        <row r="334">
          <cell r="E334" t="str">
            <v>2.3.1 – Manutenção de Benfeitorias</v>
          </cell>
          <cell r="I334" t="str">
            <v>-</v>
          </cell>
          <cell r="N334" t="str">
            <v>Pago</v>
          </cell>
          <cell r="O334">
            <v>-2488.23</v>
          </cell>
        </row>
        <row r="335">
          <cell r="E335" t="str">
            <v>1.8.1 – Cooperativa Sicredi</v>
          </cell>
          <cell r="I335" t="str">
            <v>-</v>
          </cell>
          <cell r="N335" t="str">
            <v>Resgatado</v>
          </cell>
          <cell r="O335">
            <v>10407</v>
          </cell>
        </row>
        <row r="336">
          <cell r="E336" t="str">
            <v>2.8.1 – Distribuição de Lucros</v>
          </cell>
          <cell r="I336" t="str">
            <v>-</v>
          </cell>
          <cell r="N336" t="str">
            <v>Repassado</v>
          </cell>
          <cell r="O336">
            <v>-313343.71999999997</v>
          </cell>
        </row>
        <row r="337">
          <cell r="E337" t="str">
            <v>2.2.3 – Benefícios (vale, alimentação, etc.)</v>
          </cell>
          <cell r="I337" t="str">
            <v>-</v>
          </cell>
          <cell r="N337" t="str">
            <v>Pago</v>
          </cell>
          <cell r="O337">
            <v>-700</v>
          </cell>
        </row>
        <row r="338">
          <cell r="E338" t="str">
            <v>2.3.6 – Produtos e Peças</v>
          </cell>
          <cell r="I338" t="str">
            <v>-</v>
          </cell>
          <cell r="N338" t="str">
            <v>Pago</v>
          </cell>
          <cell r="O338">
            <v>-2031</v>
          </cell>
        </row>
        <row r="339">
          <cell r="E339" t="str">
            <v>2.3.6 – Produtos e Peças</v>
          </cell>
          <cell r="I339" t="str">
            <v>-</v>
          </cell>
          <cell r="N339" t="str">
            <v>Pago</v>
          </cell>
          <cell r="O339">
            <v>-1414.34</v>
          </cell>
        </row>
        <row r="340">
          <cell r="E340" t="str">
            <v>2.3.1 – Manutenção de Benfeitorias</v>
          </cell>
          <cell r="I340" t="str">
            <v>-</v>
          </cell>
          <cell r="N340" t="str">
            <v>Pago</v>
          </cell>
          <cell r="O340">
            <v>-1935.29</v>
          </cell>
        </row>
        <row r="341">
          <cell r="E341" t="str">
            <v>2.7.2 – Obras e Melhorias (infraestrutura)</v>
          </cell>
          <cell r="I341" t="str">
            <v>PROJETO</v>
          </cell>
          <cell r="N341" t="str">
            <v>Pago</v>
          </cell>
          <cell r="O341">
            <v>-9766.61</v>
          </cell>
        </row>
        <row r="342">
          <cell r="E342" t="str">
            <v>1.8.1 – Cooperativa Sicredi</v>
          </cell>
          <cell r="I342" t="str">
            <v>-</v>
          </cell>
          <cell r="N342" t="str">
            <v>Resgatado</v>
          </cell>
          <cell r="O342">
            <v>23367.57</v>
          </cell>
        </row>
        <row r="343">
          <cell r="E343" t="str">
            <v>2.3.9 – Alimentação Animal</v>
          </cell>
          <cell r="I343" t="str">
            <v>-</v>
          </cell>
          <cell r="N343" t="str">
            <v>Pago</v>
          </cell>
          <cell r="O343">
            <v>-669.4</v>
          </cell>
        </row>
        <row r="344">
          <cell r="E344" t="str">
            <v>2.3.6 – Produtos e Peças</v>
          </cell>
          <cell r="I344" t="str">
            <v>-</v>
          </cell>
          <cell r="N344" t="str">
            <v>Pago</v>
          </cell>
          <cell r="O344">
            <v>-125.3</v>
          </cell>
        </row>
        <row r="345">
          <cell r="E345" t="str">
            <v>2.5.2 – Tarifas Bancárias</v>
          </cell>
          <cell r="I345" t="str">
            <v>-</v>
          </cell>
          <cell r="N345" t="str">
            <v>Pago</v>
          </cell>
          <cell r="O345">
            <v>-63.25</v>
          </cell>
        </row>
        <row r="346">
          <cell r="E346" t="str">
            <v>2.7.2 – Obras e Melhorias (infraestrutura)</v>
          </cell>
          <cell r="I346" t="str">
            <v>ORDEM DE COMPRA</v>
          </cell>
          <cell r="N346" t="str">
            <v>Pago</v>
          </cell>
          <cell r="O346">
            <v>-23367.57</v>
          </cell>
        </row>
        <row r="347">
          <cell r="E347" t="str">
            <v>2.1.1 – Honorários Contábeis</v>
          </cell>
          <cell r="I347" t="str">
            <v>-</v>
          </cell>
          <cell r="N347" t="str">
            <v>Pago</v>
          </cell>
          <cell r="O347">
            <v>-4574</v>
          </cell>
        </row>
        <row r="348">
          <cell r="E348" t="str">
            <v>2.2.1 – Salários e Remunerações</v>
          </cell>
          <cell r="I348" t="str">
            <v>-</v>
          </cell>
          <cell r="N348" t="str">
            <v>Pago</v>
          </cell>
          <cell r="O348">
            <v>-3511.84</v>
          </cell>
        </row>
        <row r="349">
          <cell r="E349" t="str">
            <v>2.8.1 – Distribuição de Lucros</v>
          </cell>
          <cell r="I349" t="str">
            <v>-</v>
          </cell>
          <cell r="N349" t="str">
            <v>Repassado</v>
          </cell>
          <cell r="O349">
            <v>-492</v>
          </cell>
        </row>
        <row r="350">
          <cell r="E350" t="str">
            <v>2.3.6 – Produtos e Peças</v>
          </cell>
          <cell r="I350" t="str">
            <v>-</v>
          </cell>
          <cell r="N350" t="str">
            <v>Pago</v>
          </cell>
          <cell r="O350">
            <v>-162</v>
          </cell>
        </row>
        <row r="351">
          <cell r="E351" t="str">
            <v>2.5.2 – Tarifas Bancárias</v>
          </cell>
          <cell r="I351" t="str">
            <v>-</v>
          </cell>
          <cell r="N351" t="str">
            <v>Pago</v>
          </cell>
          <cell r="O351">
            <v>-10</v>
          </cell>
        </row>
        <row r="352">
          <cell r="E352" t="str">
            <v>2.3.6 – Produtos e Peças</v>
          </cell>
          <cell r="I352" t="str">
            <v>-</v>
          </cell>
          <cell r="N352" t="str">
            <v>Pago</v>
          </cell>
          <cell r="O352">
            <v>-136.69</v>
          </cell>
        </row>
        <row r="353">
          <cell r="E353" t="str">
            <v>2.1.3 – Despesas com Aluguel</v>
          </cell>
          <cell r="I353" t="str">
            <v>-</v>
          </cell>
          <cell r="N353" t="str">
            <v>Pago</v>
          </cell>
          <cell r="O353">
            <v>-1880</v>
          </cell>
        </row>
        <row r="354">
          <cell r="E354" t="str">
            <v>2.8.1 – Distribuição de Lucros</v>
          </cell>
          <cell r="I354" t="str">
            <v>-</v>
          </cell>
          <cell r="N354" t="str">
            <v>Repassado</v>
          </cell>
          <cell r="O354">
            <v>-1064.1199999999999</v>
          </cell>
        </row>
        <row r="355">
          <cell r="E355" t="str">
            <v>2.3.6 – Produtos e Peças</v>
          </cell>
          <cell r="I355" t="str">
            <v>-</v>
          </cell>
          <cell r="N355" t="str">
            <v>Pago</v>
          </cell>
          <cell r="O355">
            <v>-413.16</v>
          </cell>
        </row>
        <row r="356">
          <cell r="E356" t="str">
            <v>2.4.7 – Serviços Diversos</v>
          </cell>
          <cell r="I356" t="str">
            <v>-</v>
          </cell>
          <cell r="N356" t="str">
            <v>Pago</v>
          </cell>
          <cell r="O356">
            <v>-160</v>
          </cell>
        </row>
        <row r="357">
          <cell r="E357" t="str">
            <v>2.3.5 – Combustíveis e Lubrificantes</v>
          </cell>
          <cell r="I357" t="str">
            <v>-</v>
          </cell>
          <cell r="N357" t="str">
            <v>Pago</v>
          </cell>
          <cell r="O357">
            <v>-1299.01</v>
          </cell>
        </row>
        <row r="358">
          <cell r="E358" t="str">
            <v>2.4.7 – Serviços Diversos</v>
          </cell>
          <cell r="I358" t="str">
            <v>-</v>
          </cell>
          <cell r="N358" t="str">
            <v>Pago</v>
          </cell>
          <cell r="O358">
            <v>-150</v>
          </cell>
        </row>
        <row r="359">
          <cell r="E359" t="str">
            <v>2.1.8 – Despesas Gerais</v>
          </cell>
          <cell r="I359" t="str">
            <v>-</v>
          </cell>
          <cell r="N359" t="str">
            <v>Pago</v>
          </cell>
          <cell r="O359">
            <v>-24.16</v>
          </cell>
        </row>
        <row r="360">
          <cell r="E360" t="str">
            <v>2.1.8 – Despesas Gerais</v>
          </cell>
          <cell r="I360" t="str">
            <v>-</v>
          </cell>
          <cell r="N360" t="str">
            <v>Pago</v>
          </cell>
          <cell r="O360">
            <v>-398.91</v>
          </cell>
        </row>
        <row r="361">
          <cell r="E361" t="str">
            <v>2.1.8 – Despesas Gerais</v>
          </cell>
          <cell r="I361" t="str">
            <v>-</v>
          </cell>
          <cell r="N361" t="str">
            <v>Pago</v>
          </cell>
          <cell r="O361">
            <v>-259.8</v>
          </cell>
        </row>
        <row r="362">
          <cell r="E362" t="str">
            <v>2.3.1 – Manutenção de Benfeitorias</v>
          </cell>
          <cell r="I362" t="str">
            <v>-</v>
          </cell>
          <cell r="N362" t="str">
            <v>Pago</v>
          </cell>
          <cell r="O362">
            <v>-2145</v>
          </cell>
        </row>
        <row r="363">
          <cell r="E363" t="str">
            <v>2.3.4 – Internet Rural</v>
          </cell>
          <cell r="I363" t="str">
            <v>-</v>
          </cell>
          <cell r="N363" t="str">
            <v>Pago</v>
          </cell>
          <cell r="O363">
            <v>-235.52</v>
          </cell>
        </row>
        <row r="364">
          <cell r="E364" t="str">
            <v>2.3.1 – Manutenção de Benfeitorias</v>
          </cell>
          <cell r="I364" t="str">
            <v>-</v>
          </cell>
          <cell r="N364" t="str">
            <v>Pago</v>
          </cell>
          <cell r="O364">
            <v>-1172.6300000000001</v>
          </cell>
        </row>
        <row r="365">
          <cell r="E365" t="str">
            <v>2.3.6 – Produtos e Peças</v>
          </cell>
          <cell r="I365" t="str">
            <v>-</v>
          </cell>
          <cell r="N365" t="str">
            <v>Pago</v>
          </cell>
          <cell r="O365">
            <v>-550</v>
          </cell>
        </row>
        <row r="366">
          <cell r="E366" t="str">
            <v>2.3.6 – Produtos e Peças</v>
          </cell>
          <cell r="I366" t="str">
            <v>-</v>
          </cell>
          <cell r="N366" t="str">
            <v>Pago</v>
          </cell>
          <cell r="O366">
            <v>-609</v>
          </cell>
        </row>
        <row r="367">
          <cell r="E367" t="str">
            <v>2.3.6 – Produtos e Peças</v>
          </cell>
          <cell r="I367" t="str">
            <v>-</v>
          </cell>
          <cell r="N367" t="str">
            <v>Pago</v>
          </cell>
          <cell r="O367">
            <v>-253.73</v>
          </cell>
        </row>
        <row r="368">
          <cell r="E368" t="str">
            <v>2.9.3 – Outras Despesas Não Classificadas</v>
          </cell>
          <cell r="I368" t="str">
            <v>-</v>
          </cell>
          <cell r="N368" t="str">
            <v>Pago</v>
          </cell>
          <cell r="O368">
            <v>-640.01</v>
          </cell>
        </row>
        <row r="369">
          <cell r="E369" t="str">
            <v>1.9.1 – Diversos</v>
          </cell>
          <cell r="I369" t="str">
            <v>-</v>
          </cell>
          <cell r="N369" t="str">
            <v>Recebido</v>
          </cell>
          <cell r="O369">
            <v>640.01</v>
          </cell>
        </row>
        <row r="370">
          <cell r="E370" t="str">
            <v>2.7.2 – Obras e Melhorias (infraestrutura)</v>
          </cell>
          <cell r="I370" t="str">
            <v>PROJETO</v>
          </cell>
          <cell r="N370" t="str">
            <v>Pago</v>
          </cell>
          <cell r="O370">
            <v>-640.01</v>
          </cell>
        </row>
        <row r="371">
          <cell r="E371" t="str">
            <v>2.2.2 – Encargos Sociais (INSS, FGTS, etc.)</v>
          </cell>
          <cell r="I371" t="str">
            <v>-</v>
          </cell>
          <cell r="N371" t="str">
            <v>Pago</v>
          </cell>
          <cell r="O371">
            <v>-320</v>
          </cell>
        </row>
        <row r="372">
          <cell r="E372" t="str">
            <v>2.2.2 – Encargos Sociais (INSS, FGTS, etc.)</v>
          </cell>
          <cell r="I372" t="str">
            <v>-</v>
          </cell>
          <cell r="N372" t="str">
            <v>Pago</v>
          </cell>
          <cell r="O372">
            <v>-1556.16</v>
          </cell>
        </row>
        <row r="373">
          <cell r="E373" t="str">
            <v>2.5.2 – Tarifas Bancárias</v>
          </cell>
          <cell r="I373" t="str">
            <v>-</v>
          </cell>
          <cell r="N373" t="str">
            <v>Pago</v>
          </cell>
          <cell r="O373">
            <v>-50</v>
          </cell>
        </row>
        <row r="374">
          <cell r="E374" t="str">
            <v>2.8.1 – Distribuição de Lucros</v>
          </cell>
          <cell r="I374" t="str">
            <v>-</v>
          </cell>
          <cell r="N374" t="str">
            <v>Repassado</v>
          </cell>
          <cell r="O374">
            <v>-420</v>
          </cell>
        </row>
        <row r="375">
          <cell r="E375" t="str">
            <v>2.1.8 – Despesas Gerais</v>
          </cell>
          <cell r="I375" t="str">
            <v>-</v>
          </cell>
          <cell r="N375" t="str">
            <v>Pago</v>
          </cell>
          <cell r="O375">
            <v>-473.33</v>
          </cell>
        </row>
        <row r="376">
          <cell r="E376" t="str">
            <v>2.8.3 – Pagamentos Pessoais (não operacionais)</v>
          </cell>
          <cell r="I376" t="str">
            <v>-</v>
          </cell>
          <cell r="N376" t="str">
            <v>Pago</v>
          </cell>
          <cell r="O376">
            <v>-8489.33</v>
          </cell>
        </row>
        <row r="377">
          <cell r="E377" t="str">
            <v>2.8.1 – Distribuição de Lucros</v>
          </cell>
          <cell r="I377" t="str">
            <v>-</v>
          </cell>
          <cell r="N377" t="str">
            <v>Repassado</v>
          </cell>
          <cell r="O377">
            <v>-14705.24</v>
          </cell>
        </row>
        <row r="378">
          <cell r="E378" t="str">
            <v>2.2.3 – Benefícios (vale, alimentação, etc.)</v>
          </cell>
          <cell r="I378" t="str">
            <v>-</v>
          </cell>
          <cell r="N378" t="str">
            <v>Pago</v>
          </cell>
          <cell r="O378">
            <v>-180</v>
          </cell>
        </row>
        <row r="379">
          <cell r="E379" t="str">
            <v>2.2.3 – Benefícios (vale, alimentação, etc.)</v>
          </cell>
          <cell r="I379" t="str">
            <v>-</v>
          </cell>
          <cell r="N379" t="str">
            <v>Pago</v>
          </cell>
          <cell r="O379">
            <v>-310</v>
          </cell>
        </row>
        <row r="380">
          <cell r="E380" t="str">
            <v>2.2.4 – Férias</v>
          </cell>
          <cell r="I380" t="str">
            <v>-</v>
          </cell>
          <cell r="N380" t="str">
            <v>Pago</v>
          </cell>
          <cell r="O380">
            <v>-5925.17</v>
          </cell>
        </row>
        <row r="381">
          <cell r="E381" t="str">
            <v>1.8.1 – Cooperativa Sicredi</v>
          </cell>
          <cell r="I381" t="str">
            <v>-</v>
          </cell>
          <cell r="N381" t="str">
            <v>Resgatado</v>
          </cell>
          <cell r="O381">
            <v>23367.57</v>
          </cell>
        </row>
        <row r="382">
          <cell r="E382" t="str">
            <v>2.3.9 – Alimentação Animal</v>
          </cell>
          <cell r="I382" t="str">
            <v>-</v>
          </cell>
          <cell r="N382" t="str">
            <v>Pago</v>
          </cell>
          <cell r="O382">
            <v>-680</v>
          </cell>
        </row>
        <row r="383">
          <cell r="E383" t="str">
            <v>2.8.1 – Distribuição de Lucros</v>
          </cell>
          <cell r="I383" t="str">
            <v>-</v>
          </cell>
          <cell r="N383" t="str">
            <v>Repassado</v>
          </cell>
          <cell r="O383">
            <v>-380733.44</v>
          </cell>
        </row>
        <row r="384">
          <cell r="E384" t="str">
            <v>2.3.6 – Produtos e Peças</v>
          </cell>
          <cell r="I384" t="str">
            <v>-</v>
          </cell>
          <cell r="N384" t="str">
            <v>Pago</v>
          </cell>
          <cell r="O384">
            <v>-891</v>
          </cell>
        </row>
        <row r="385">
          <cell r="E385" t="str">
            <v>2.3.7 – Peças para Veículos e Máquinas</v>
          </cell>
          <cell r="I385" t="str">
            <v>-</v>
          </cell>
          <cell r="N385" t="str">
            <v>Pago</v>
          </cell>
          <cell r="O385">
            <v>-75</v>
          </cell>
        </row>
        <row r="386">
          <cell r="E386" t="str">
            <v>2.3.6 – Produtos e Peças</v>
          </cell>
          <cell r="I386" t="str">
            <v>-</v>
          </cell>
          <cell r="N386" t="str">
            <v>Pago</v>
          </cell>
          <cell r="O386">
            <v>-1414.34</v>
          </cell>
        </row>
        <row r="387">
          <cell r="E387" t="str">
            <v>2.3.6 – Produtos e Peças</v>
          </cell>
          <cell r="I387" t="str">
            <v>-</v>
          </cell>
          <cell r="N387" t="str">
            <v>Pago</v>
          </cell>
          <cell r="O387">
            <v>-255.29</v>
          </cell>
        </row>
        <row r="388">
          <cell r="E388" t="str">
            <v>2.2.3 – Benefícios (vale, alimentação, etc.)</v>
          </cell>
          <cell r="I388" t="str">
            <v>-</v>
          </cell>
          <cell r="N388" t="str">
            <v>Pago</v>
          </cell>
          <cell r="O388">
            <v>-700</v>
          </cell>
        </row>
        <row r="389">
          <cell r="E389" t="str">
            <v>2.3.6 – Produtos e Peças</v>
          </cell>
          <cell r="I389" t="str">
            <v>-</v>
          </cell>
          <cell r="N389" t="str">
            <v>Pago</v>
          </cell>
          <cell r="O389">
            <v>-125.3</v>
          </cell>
        </row>
        <row r="390">
          <cell r="E390" t="str">
            <v>2.3.1 – Manutenção de Benfeitorias</v>
          </cell>
          <cell r="I390" t="str">
            <v>-</v>
          </cell>
          <cell r="N390" t="str">
            <v>Pago</v>
          </cell>
          <cell r="O390">
            <v>-1935.29</v>
          </cell>
        </row>
        <row r="391">
          <cell r="E391" t="str">
            <v>2.3.1 – Manutenção de Benfeitorias</v>
          </cell>
          <cell r="I391" t="str">
            <v>-</v>
          </cell>
          <cell r="N391" t="str">
            <v>Pago</v>
          </cell>
          <cell r="O391">
            <v>-374.1</v>
          </cell>
        </row>
        <row r="392">
          <cell r="E392" t="str">
            <v>2.7.2 – Obras e Melhorias (infraestrutura)</v>
          </cell>
          <cell r="I392" t="str">
            <v>ORDEM DE COMPRA</v>
          </cell>
          <cell r="N392" t="str">
            <v>Pago</v>
          </cell>
          <cell r="O392">
            <v>-23367.57</v>
          </cell>
        </row>
        <row r="393">
          <cell r="E393" t="str">
            <v>2.3.9 – Alimentação Animal</v>
          </cell>
          <cell r="I393" t="str">
            <v>-</v>
          </cell>
          <cell r="N393" t="str">
            <v>Pago</v>
          </cell>
          <cell r="O393">
            <v>-753.12</v>
          </cell>
        </row>
        <row r="394">
          <cell r="E394" t="str">
            <v>2.7.2 – Obras e Melhorias (infraestrutura)</v>
          </cell>
          <cell r="I394" t="str">
            <v>ORDEM DE COMPRA</v>
          </cell>
          <cell r="N394" t="str">
            <v>Pago</v>
          </cell>
          <cell r="O394">
            <v>-4200</v>
          </cell>
        </row>
        <row r="395">
          <cell r="E395" t="str">
            <v>1.8.1 – Cooperativa Sicredi</v>
          </cell>
          <cell r="I395" t="str">
            <v>-</v>
          </cell>
          <cell r="N395" t="str">
            <v>Resgatado</v>
          </cell>
          <cell r="O395">
            <v>4200</v>
          </cell>
        </row>
        <row r="396">
          <cell r="E396" t="str">
            <v>1.8.1 – Cooperativa Sicredi</v>
          </cell>
          <cell r="I396" t="str">
            <v>-</v>
          </cell>
          <cell r="N396" t="str">
            <v>Resgatado</v>
          </cell>
          <cell r="O396">
            <v>10025</v>
          </cell>
        </row>
        <row r="397">
          <cell r="E397" t="str">
            <v>2.7.2 – Obras e Melhorias (infraestrutura)</v>
          </cell>
          <cell r="I397" t="str">
            <v>OUTRAS</v>
          </cell>
          <cell r="N397" t="str">
            <v>Pago</v>
          </cell>
          <cell r="O397">
            <v>-258</v>
          </cell>
        </row>
        <row r="398">
          <cell r="E398" t="str">
            <v>2.6.1 – Aplicações Financeiras</v>
          </cell>
          <cell r="I398" t="str">
            <v>-</v>
          </cell>
          <cell r="N398" t="str">
            <v>Aplicado</v>
          </cell>
          <cell r="O398">
            <v>-300000</v>
          </cell>
        </row>
        <row r="399">
          <cell r="E399" t="str">
            <v>2.3.6 – Produtos e Peças</v>
          </cell>
          <cell r="I399" t="str">
            <v>-</v>
          </cell>
          <cell r="N399" t="str">
            <v>Pago</v>
          </cell>
          <cell r="O399">
            <v>-103.59</v>
          </cell>
        </row>
        <row r="400">
          <cell r="E400" t="str">
            <v>2.5.2 – Tarifas Bancárias</v>
          </cell>
          <cell r="I400" t="str">
            <v>-</v>
          </cell>
          <cell r="N400" t="str">
            <v>Pago</v>
          </cell>
          <cell r="O400">
            <v>-63.25</v>
          </cell>
        </row>
        <row r="401">
          <cell r="E401" t="str">
            <v>2.1.1 – Honorários Contábeis</v>
          </cell>
          <cell r="I401" t="str">
            <v>-</v>
          </cell>
          <cell r="N401" t="str">
            <v>Pago</v>
          </cell>
          <cell r="O401">
            <v>-4574</v>
          </cell>
        </row>
        <row r="402">
          <cell r="E402" t="str">
            <v>2.2.1 – Salários e Remunerações</v>
          </cell>
          <cell r="I402" t="str">
            <v>-</v>
          </cell>
          <cell r="N402" t="str">
            <v>Pago</v>
          </cell>
          <cell r="O402">
            <v>-4198.22</v>
          </cell>
        </row>
        <row r="403">
          <cell r="E403" t="str">
            <v>2.3.8 – Insumos Agrícolas</v>
          </cell>
          <cell r="I403" t="str">
            <v>-</v>
          </cell>
          <cell r="N403" t="str">
            <v>Pago</v>
          </cell>
          <cell r="O403">
            <v>-169150.65</v>
          </cell>
        </row>
        <row r="404">
          <cell r="E404" t="str">
            <v>2.3.6 – Produtos e Peças</v>
          </cell>
          <cell r="I404" t="str">
            <v>-</v>
          </cell>
          <cell r="N404" t="str">
            <v>Pago</v>
          </cell>
          <cell r="O404">
            <v>-330</v>
          </cell>
        </row>
        <row r="405">
          <cell r="E405" t="str">
            <v>2.5.2 – Tarifas Bancárias</v>
          </cell>
          <cell r="I405" t="str">
            <v>-</v>
          </cell>
          <cell r="N405" t="str">
            <v>Pago</v>
          </cell>
          <cell r="O405">
            <v>-10</v>
          </cell>
        </row>
        <row r="406">
          <cell r="E406" t="str">
            <v>2.1.3 – Despesas com Aluguel</v>
          </cell>
          <cell r="I406" t="str">
            <v>-</v>
          </cell>
          <cell r="N406" t="str">
            <v>Pago</v>
          </cell>
          <cell r="O406">
            <v>-1974</v>
          </cell>
        </row>
        <row r="407">
          <cell r="E407" t="str">
            <v>2.1.6 – Taxas e Impostos (ITR, INCRA, etc.)</v>
          </cell>
          <cell r="I407" t="str">
            <v>-</v>
          </cell>
          <cell r="N407" t="str">
            <v>Pago</v>
          </cell>
          <cell r="O407">
            <v>-19.04</v>
          </cell>
        </row>
        <row r="408">
          <cell r="E408" t="str">
            <v>2.4.7 – Serviços Diversos</v>
          </cell>
          <cell r="I408" t="str">
            <v>-</v>
          </cell>
          <cell r="N408" t="str">
            <v>Pago</v>
          </cell>
          <cell r="O408">
            <v>-70</v>
          </cell>
        </row>
        <row r="409">
          <cell r="E409" t="str">
            <v>2.8.1 – Distribuição de Lucros</v>
          </cell>
          <cell r="I409" t="str">
            <v>-</v>
          </cell>
          <cell r="N409" t="str">
            <v>Repassado</v>
          </cell>
          <cell r="O409">
            <v>-1958.82</v>
          </cell>
        </row>
        <row r="410">
          <cell r="E410" t="str">
            <v>2.7.2 – Obras e Melhorias (infraestrutura)</v>
          </cell>
          <cell r="I410" t="str">
            <v>OUTRAS</v>
          </cell>
          <cell r="N410" t="str">
            <v>Pago</v>
          </cell>
          <cell r="O410">
            <v>-1081.6400000000001</v>
          </cell>
        </row>
        <row r="411">
          <cell r="E411" t="str">
            <v>2.7.2 – Obras e Melhorias (infraestrutura)</v>
          </cell>
          <cell r="I411" t="str">
            <v>OUTRAS</v>
          </cell>
          <cell r="N411" t="str">
            <v>Pago</v>
          </cell>
          <cell r="O411">
            <v>-751.47</v>
          </cell>
        </row>
        <row r="412">
          <cell r="E412" t="str">
            <v>2.7.2 – Obras e Melhorias (infraestrutura)</v>
          </cell>
          <cell r="I412" t="str">
            <v>OUTRAS</v>
          </cell>
          <cell r="N412" t="str">
            <v>Pago</v>
          </cell>
          <cell r="O412">
            <v>-87.8</v>
          </cell>
        </row>
        <row r="413">
          <cell r="E413" t="str">
            <v>2.3.6 – Produtos e Peças</v>
          </cell>
          <cell r="I413" t="str">
            <v>-</v>
          </cell>
          <cell r="N413" t="str">
            <v>Pago</v>
          </cell>
          <cell r="O413">
            <v>-64.849999999999994</v>
          </cell>
        </row>
        <row r="414">
          <cell r="E414" t="str">
            <v>2.7.2 – Obras e Melhorias (infraestrutura)</v>
          </cell>
          <cell r="I414" t="str">
            <v>ORDEM DE COMPRA</v>
          </cell>
          <cell r="N414" t="str">
            <v>Pago</v>
          </cell>
          <cell r="O414">
            <v>-1020</v>
          </cell>
        </row>
        <row r="415">
          <cell r="E415" t="str">
            <v>2.1.7 – Material de Escritório</v>
          </cell>
          <cell r="I415" t="str">
            <v>-</v>
          </cell>
          <cell r="N415" t="str">
            <v>Pago</v>
          </cell>
          <cell r="O415">
            <v>-157.97999999999999</v>
          </cell>
        </row>
        <row r="416">
          <cell r="E416" t="str">
            <v>2.3.5 – Combustíveis e Lubrificantes</v>
          </cell>
          <cell r="I416" t="str">
            <v>-</v>
          </cell>
          <cell r="N416" t="str">
            <v>Pago</v>
          </cell>
          <cell r="O416">
            <v>-2214.1099999999997</v>
          </cell>
        </row>
        <row r="417">
          <cell r="E417" t="str">
            <v>2.1.8 – Despesas Gerais</v>
          </cell>
          <cell r="I417" t="str">
            <v>-</v>
          </cell>
          <cell r="N417" t="str">
            <v>Pago</v>
          </cell>
          <cell r="O417">
            <v>-24.16</v>
          </cell>
        </row>
        <row r="418">
          <cell r="E418" t="str">
            <v>2.1.8 – Despesas Gerais</v>
          </cell>
          <cell r="I418" t="str">
            <v>-</v>
          </cell>
          <cell r="N418" t="str">
            <v>Pago</v>
          </cell>
          <cell r="O418">
            <v>-398.91</v>
          </cell>
        </row>
        <row r="419">
          <cell r="E419" t="str">
            <v>2.1.8 – Despesas Gerais</v>
          </cell>
          <cell r="I419" t="str">
            <v>-</v>
          </cell>
          <cell r="N419" t="str">
            <v>Pago</v>
          </cell>
          <cell r="O419">
            <v>-129.9</v>
          </cell>
        </row>
        <row r="420">
          <cell r="E420" t="str">
            <v>2.1.7 – Material de Escritório</v>
          </cell>
          <cell r="I420" t="str">
            <v>-</v>
          </cell>
          <cell r="N420" t="str">
            <v>Pago</v>
          </cell>
          <cell r="O420">
            <v>-139</v>
          </cell>
        </row>
        <row r="421">
          <cell r="E421" t="str">
            <v>2.3.4 – Internet Rural</v>
          </cell>
          <cell r="I421" t="str">
            <v>-</v>
          </cell>
          <cell r="N421" t="str">
            <v>Pago</v>
          </cell>
          <cell r="O421">
            <v>-235.52</v>
          </cell>
        </row>
        <row r="422">
          <cell r="E422" t="str">
            <v>2.7.2 – Obras e Melhorias (infraestrutura)</v>
          </cell>
          <cell r="I422" t="str">
            <v>ORDEM DE COMPRA</v>
          </cell>
          <cell r="N422" t="str">
            <v>Pago</v>
          </cell>
          <cell r="O422">
            <v>-470.2</v>
          </cell>
        </row>
        <row r="423">
          <cell r="E423" t="str">
            <v>2.7.2 – Obras e Melhorias (infraestrutura)</v>
          </cell>
          <cell r="I423" t="str">
            <v>ORDEM DE COMPRA</v>
          </cell>
          <cell r="N423" t="str">
            <v>Pago</v>
          </cell>
          <cell r="O423">
            <v>-1150</v>
          </cell>
        </row>
        <row r="424">
          <cell r="E424" t="str">
            <v>1.8.1 – Cooperativa Sicredi</v>
          </cell>
          <cell r="I424" t="str">
            <v>-</v>
          </cell>
          <cell r="N424" t="str">
            <v>Resgatado</v>
          </cell>
          <cell r="O424">
            <v>2686.39</v>
          </cell>
        </row>
        <row r="425">
          <cell r="E425" t="str">
            <v>2.8.1 – Distribuição de Lucros</v>
          </cell>
          <cell r="I425" t="str">
            <v>-</v>
          </cell>
          <cell r="N425" t="str">
            <v>Repassado</v>
          </cell>
          <cell r="O425">
            <v>-25.04</v>
          </cell>
        </row>
        <row r="426">
          <cell r="E426" t="str">
            <v>2.7.2 – Obras e Melhorias (infraestrutura)</v>
          </cell>
          <cell r="I426" t="str">
            <v>OUTRAS</v>
          </cell>
          <cell r="N426" t="str">
            <v>Pago</v>
          </cell>
          <cell r="O426">
            <v>-1345.82</v>
          </cell>
        </row>
        <row r="427">
          <cell r="E427" t="str">
            <v>2.2.5 – EPIs Operacionais</v>
          </cell>
          <cell r="I427" t="str">
            <v>-</v>
          </cell>
          <cell r="N427" t="str">
            <v>Pago</v>
          </cell>
          <cell r="O427">
            <v>-256.77999999999997</v>
          </cell>
        </row>
        <row r="428">
          <cell r="E428" t="str">
            <v>2.2.2 – Encargos Sociais (INSS, FGTS, etc.)</v>
          </cell>
          <cell r="I428" t="str">
            <v>-</v>
          </cell>
          <cell r="N428" t="str">
            <v>Pago</v>
          </cell>
          <cell r="O428">
            <v>-400</v>
          </cell>
        </row>
        <row r="429">
          <cell r="E429" t="str">
            <v>2.2.2 – Encargos Sociais (INSS, FGTS, etc.)</v>
          </cell>
          <cell r="I429" t="str">
            <v>-</v>
          </cell>
          <cell r="N429" t="str">
            <v>Pago</v>
          </cell>
          <cell r="O429">
            <v>-2269.04</v>
          </cell>
        </row>
        <row r="430">
          <cell r="E430" t="str">
            <v>2.3.6 – Produtos e Peças</v>
          </cell>
          <cell r="I430" t="str">
            <v>-</v>
          </cell>
          <cell r="N430" t="str">
            <v>Pago</v>
          </cell>
          <cell r="O430">
            <v>-268</v>
          </cell>
        </row>
        <row r="431">
          <cell r="E431" t="str">
            <v>2.1.8 – Despesas Gerais</v>
          </cell>
          <cell r="I431" t="str">
            <v>-</v>
          </cell>
          <cell r="N431" t="str">
            <v>Pago</v>
          </cell>
          <cell r="O431">
            <v>-473.33</v>
          </cell>
        </row>
        <row r="432">
          <cell r="E432" t="str">
            <v>2.7.2 – Obras e Melhorias (infraestrutura)</v>
          </cell>
          <cell r="I432" t="str">
            <v>ORDEM DE COMPRA</v>
          </cell>
          <cell r="N432" t="str">
            <v>Pago</v>
          </cell>
          <cell r="O432">
            <v>-2351</v>
          </cell>
        </row>
        <row r="433">
          <cell r="E433" t="str">
            <v>2.5.2 – Tarifas Bancárias</v>
          </cell>
          <cell r="I433" t="str">
            <v>-</v>
          </cell>
          <cell r="N433" t="str">
            <v>Pago</v>
          </cell>
          <cell r="O433">
            <v>-50</v>
          </cell>
        </row>
        <row r="434">
          <cell r="E434" t="str">
            <v>1.8.1 – Cooperativa Sicredi</v>
          </cell>
          <cell r="I434" t="str">
            <v>-</v>
          </cell>
          <cell r="N434" t="str">
            <v>Resgatado</v>
          </cell>
          <cell r="O434">
            <v>1345.82</v>
          </cell>
        </row>
        <row r="435">
          <cell r="E435" t="str">
            <v>1.9.1 – Diversos</v>
          </cell>
          <cell r="I435" t="str">
            <v>-</v>
          </cell>
          <cell r="N435" t="str">
            <v>Recebido</v>
          </cell>
          <cell r="O435">
            <v>1345.82</v>
          </cell>
        </row>
        <row r="436">
          <cell r="E436" t="str">
            <v>2.9.3 – Outras Despesas Não Classificadas</v>
          </cell>
          <cell r="I436" t="str">
            <v>-</v>
          </cell>
          <cell r="N436" t="str">
            <v>Pago</v>
          </cell>
          <cell r="O436">
            <v>-1345.82</v>
          </cell>
        </row>
        <row r="437">
          <cell r="E437" t="str">
            <v>2.7.2 – Obras e Melhorias (infraestrutura)</v>
          </cell>
          <cell r="I437" t="str">
            <v>OUTRAS</v>
          </cell>
          <cell r="N437" t="str">
            <v>Pago</v>
          </cell>
          <cell r="O437">
            <v>-142.80000000000001</v>
          </cell>
        </row>
        <row r="438">
          <cell r="E438" t="str">
            <v>2.7.2 – Obras e Melhorias (infraestrutura)</v>
          </cell>
          <cell r="I438" t="str">
            <v>MEDIÇÃO 01</v>
          </cell>
          <cell r="N438" t="str">
            <v>Pago</v>
          </cell>
          <cell r="O438">
            <v>-116663.87</v>
          </cell>
        </row>
        <row r="439">
          <cell r="E439" t="str">
            <v>2.7.2 – Obras e Melhorias (infraestrutura)</v>
          </cell>
          <cell r="I439" t="str">
            <v>ORDEM DE COMPRA</v>
          </cell>
          <cell r="N439" t="str">
            <v>Pago</v>
          </cell>
          <cell r="O439">
            <v>-120</v>
          </cell>
        </row>
        <row r="440">
          <cell r="E440" t="str">
            <v>1.8.1 – Cooperativa Sicredi</v>
          </cell>
          <cell r="I440" t="str">
            <v>-</v>
          </cell>
          <cell r="N440" t="str">
            <v>Resgatado</v>
          </cell>
          <cell r="O440">
            <v>116663.87</v>
          </cell>
        </row>
        <row r="441">
          <cell r="E441" t="str">
            <v>2.3.6 – Produtos e Peças</v>
          </cell>
          <cell r="I441" t="str">
            <v>-</v>
          </cell>
          <cell r="N441" t="str">
            <v>Pago</v>
          </cell>
          <cell r="O441">
            <v>-645.91</v>
          </cell>
        </row>
        <row r="442">
          <cell r="E442" t="str">
            <v>2.3.6 – Produtos e Peças</v>
          </cell>
          <cell r="I442" t="str">
            <v>-</v>
          </cell>
          <cell r="N442" t="str">
            <v>Pago</v>
          </cell>
          <cell r="O442">
            <v>-645.91</v>
          </cell>
        </row>
        <row r="443">
          <cell r="E443" t="str">
            <v>2.8.3 – Pagamentos Pessoais (não operacionais)</v>
          </cell>
          <cell r="I443" t="str">
            <v>-</v>
          </cell>
          <cell r="N443" t="str">
            <v>Pago</v>
          </cell>
          <cell r="O443">
            <v>-8489.33</v>
          </cell>
        </row>
        <row r="444">
          <cell r="E444" t="str">
            <v>2.7.2 – Obras e Melhorias (infraestrutura)</v>
          </cell>
          <cell r="I444" t="str">
            <v>ORDEM DE COMPRA</v>
          </cell>
          <cell r="N444" t="str">
            <v>Pago</v>
          </cell>
          <cell r="O444">
            <v>-1300</v>
          </cell>
        </row>
        <row r="445">
          <cell r="E445" t="str">
            <v>2.7.2 – Obras e Melhorias (infraestrutura)</v>
          </cell>
          <cell r="I445" t="str">
            <v>ORDEM DE COMPRA</v>
          </cell>
          <cell r="N445" t="str">
            <v>Pago</v>
          </cell>
          <cell r="O445">
            <v>-1416.39</v>
          </cell>
        </row>
        <row r="446">
          <cell r="E446" t="str">
            <v>2.3.6 – Produtos e Peças</v>
          </cell>
          <cell r="I446" t="str">
            <v>-</v>
          </cell>
          <cell r="N446" t="str">
            <v>Pago</v>
          </cell>
          <cell r="O446">
            <v>-989.57</v>
          </cell>
        </row>
        <row r="447">
          <cell r="E447" t="str">
            <v>2.3.6 – Produtos e Peças</v>
          </cell>
          <cell r="I447" t="str">
            <v>-</v>
          </cell>
          <cell r="N447" t="str">
            <v>Pago</v>
          </cell>
          <cell r="O447">
            <v>-90</v>
          </cell>
        </row>
        <row r="448">
          <cell r="E448" t="str">
            <v>2.7.2 – Obras e Melhorias (infraestrutura)</v>
          </cell>
          <cell r="I448" t="str">
            <v>ORDEM DE COMPRA</v>
          </cell>
          <cell r="N448" t="str">
            <v>Pago</v>
          </cell>
          <cell r="O448">
            <v>-2562</v>
          </cell>
        </row>
        <row r="449">
          <cell r="E449" t="str">
            <v>2.8.1 – Distribuição de Lucros</v>
          </cell>
          <cell r="I449" t="str">
            <v>-</v>
          </cell>
          <cell r="N449" t="str">
            <v>Repassado</v>
          </cell>
          <cell r="O449">
            <v>-60</v>
          </cell>
        </row>
        <row r="450">
          <cell r="E450" t="str">
            <v>2.3.8 – Insumos Agrícolas</v>
          </cell>
          <cell r="I450" t="str">
            <v>-</v>
          </cell>
          <cell r="N450" t="str">
            <v>Pago</v>
          </cell>
          <cell r="O450">
            <v>-62083.75</v>
          </cell>
        </row>
        <row r="451">
          <cell r="E451" t="str">
            <v>2.3.8 – Insumos Agrícolas</v>
          </cell>
          <cell r="I451" t="str">
            <v>-</v>
          </cell>
          <cell r="N451" t="str">
            <v>Pago</v>
          </cell>
          <cell r="O451">
            <v>-7800</v>
          </cell>
        </row>
        <row r="452">
          <cell r="E452" t="str">
            <v>2.3.7 – Peças para Veículos e Máquinas</v>
          </cell>
          <cell r="I452" t="str">
            <v>-</v>
          </cell>
          <cell r="N452" t="str">
            <v>Pago</v>
          </cell>
          <cell r="O452">
            <v>-360</v>
          </cell>
        </row>
        <row r="453">
          <cell r="E453" t="str">
            <v>1.8.1 – Cooperativa Sicredi</v>
          </cell>
          <cell r="I453" t="str">
            <v>-</v>
          </cell>
          <cell r="N453" t="str">
            <v>Resgatado</v>
          </cell>
          <cell r="O453">
            <v>100</v>
          </cell>
        </row>
        <row r="454">
          <cell r="E454" t="str">
            <v>2.1.6 – Taxas e Impostos (ITR, INCRA, etc.)</v>
          </cell>
          <cell r="I454" t="str">
            <v>-</v>
          </cell>
          <cell r="N454" t="str">
            <v>Pago</v>
          </cell>
          <cell r="O454">
            <v>-112007.07</v>
          </cell>
        </row>
        <row r="455">
          <cell r="E455" t="str">
            <v>2.7.2 – Obras e Melhorias (infraestrutura)</v>
          </cell>
          <cell r="I455" t="str">
            <v>ORDEM DE COMPRA</v>
          </cell>
          <cell r="N455" t="str">
            <v>Pago</v>
          </cell>
          <cell r="O455">
            <v>-1200</v>
          </cell>
        </row>
        <row r="456">
          <cell r="E456" t="str">
            <v>2.7.2 – Obras e Melhorias (infraestrutura)</v>
          </cell>
          <cell r="I456" t="str">
            <v>ORDEM DE COMPRA</v>
          </cell>
          <cell r="N456" t="str">
            <v>Pago</v>
          </cell>
          <cell r="O456">
            <v>-80</v>
          </cell>
        </row>
        <row r="457">
          <cell r="E457" t="str">
            <v>2.7.2 – Obras e Melhorias (infraestrutura)</v>
          </cell>
          <cell r="I457" t="str">
            <v>ORDEM DE COMPRA</v>
          </cell>
          <cell r="N457" t="str">
            <v>Pago</v>
          </cell>
          <cell r="O457">
            <v>-23367.57</v>
          </cell>
        </row>
        <row r="458">
          <cell r="E458" t="str">
            <v>2.2.3 – Benefícios (vale, alimentação, etc.)</v>
          </cell>
          <cell r="I458" t="str">
            <v>-</v>
          </cell>
          <cell r="N458" t="str">
            <v>Pago</v>
          </cell>
          <cell r="O458">
            <v>-180</v>
          </cell>
        </row>
        <row r="459">
          <cell r="E459" t="str">
            <v>2.2.3 – Benefícios (vale, alimentação, etc.)</v>
          </cell>
          <cell r="I459" t="str">
            <v>-</v>
          </cell>
          <cell r="N459" t="str">
            <v>Pago</v>
          </cell>
          <cell r="O459">
            <v>-310</v>
          </cell>
        </row>
        <row r="460">
          <cell r="E460" t="str">
            <v>1.2.1 –  Venda de Soja</v>
          </cell>
          <cell r="I460" t="str">
            <v>-</v>
          </cell>
          <cell r="N460" t="str">
            <v>Recebido</v>
          </cell>
          <cell r="O460">
            <v>297058.95</v>
          </cell>
        </row>
        <row r="461">
          <cell r="E461" t="str">
            <v>1.8.1 – Cooperativa Sicredi</v>
          </cell>
          <cell r="I461" t="str">
            <v>-</v>
          </cell>
          <cell r="N461" t="str">
            <v>Resgatado</v>
          </cell>
          <cell r="O461">
            <v>23367.57</v>
          </cell>
        </row>
        <row r="462">
          <cell r="E462" t="str">
            <v>1.8.1 – Cooperativa Sicredi</v>
          </cell>
          <cell r="I462" t="str">
            <v>-</v>
          </cell>
          <cell r="N462" t="str">
            <v>Resgatado</v>
          </cell>
          <cell r="O462">
            <v>1200</v>
          </cell>
        </row>
        <row r="463">
          <cell r="E463" t="str">
            <v>1.8.1 – Cooperativa Sicredi</v>
          </cell>
          <cell r="I463" t="str">
            <v>-</v>
          </cell>
          <cell r="N463" t="str">
            <v>Resgatado</v>
          </cell>
          <cell r="O463">
            <v>64000</v>
          </cell>
        </row>
        <row r="464">
          <cell r="E464" t="str">
            <v>2.1.7 – Material de Escritório</v>
          </cell>
          <cell r="I464" t="str">
            <v>-</v>
          </cell>
          <cell r="N464" t="str">
            <v>Pago</v>
          </cell>
          <cell r="O464">
            <v>-14.5</v>
          </cell>
        </row>
        <row r="465">
          <cell r="E465" t="str">
            <v>2.8.1 – Distribuição de Lucros</v>
          </cell>
          <cell r="I465" t="str">
            <v>-</v>
          </cell>
          <cell r="N465" t="str">
            <v>Repassado</v>
          </cell>
          <cell r="O465">
            <v>-101252.9</v>
          </cell>
        </row>
        <row r="466">
          <cell r="E466" t="str">
            <v>2.3.6 – Produtos e Peças</v>
          </cell>
          <cell r="I466" t="str">
            <v>-</v>
          </cell>
          <cell r="N466" t="str">
            <v>Pago</v>
          </cell>
          <cell r="O466">
            <v>-1020</v>
          </cell>
        </row>
        <row r="467">
          <cell r="E467" t="str">
            <v>2.1.8 – Despesas Gerais</v>
          </cell>
          <cell r="I467" t="str">
            <v>-</v>
          </cell>
          <cell r="N467" t="str">
            <v>Pago</v>
          </cell>
          <cell r="O467">
            <v>-650</v>
          </cell>
        </row>
        <row r="468">
          <cell r="E468" t="str">
            <v>2.1.7 – Material de Escritório</v>
          </cell>
          <cell r="I468" t="str">
            <v>-</v>
          </cell>
          <cell r="N468" t="str">
            <v>Pago</v>
          </cell>
          <cell r="O468">
            <v>-48</v>
          </cell>
        </row>
        <row r="469">
          <cell r="E469" t="str">
            <v>2.3.6 – Produtos e Peças</v>
          </cell>
          <cell r="I469" t="str">
            <v>-</v>
          </cell>
          <cell r="N469" t="str">
            <v>Pago</v>
          </cell>
          <cell r="O469">
            <v>-1414.33</v>
          </cell>
        </row>
        <row r="470">
          <cell r="E470" t="str">
            <v>2.3.7 – Peças para Veículos e Máquinas</v>
          </cell>
          <cell r="I470" t="str">
            <v>-</v>
          </cell>
          <cell r="N470" t="str">
            <v>Pago</v>
          </cell>
          <cell r="O470">
            <v>-340</v>
          </cell>
        </row>
        <row r="471">
          <cell r="E471" t="str">
            <v>2.2.3 – Benefícios (vale, alimentação, etc.)</v>
          </cell>
          <cell r="I471" t="str">
            <v>-</v>
          </cell>
          <cell r="N471" t="str">
            <v>Pago</v>
          </cell>
          <cell r="O471">
            <v>-700</v>
          </cell>
        </row>
        <row r="472">
          <cell r="E472" t="str">
            <v>2.3.1 – Manutenção de Benfeitorias</v>
          </cell>
          <cell r="I472" t="str">
            <v>-</v>
          </cell>
          <cell r="N472" t="str">
            <v>Pago</v>
          </cell>
          <cell r="O472">
            <v>-1935.29</v>
          </cell>
        </row>
        <row r="473">
          <cell r="E473" t="str">
            <v>2.7.2 – Obras e Melhorias (infraestrutura)</v>
          </cell>
          <cell r="I473" t="str">
            <v>OUTRAS</v>
          </cell>
          <cell r="N473" t="str">
            <v>Pago</v>
          </cell>
          <cell r="O473">
            <v>-20.04</v>
          </cell>
        </row>
        <row r="474">
          <cell r="E474" t="str">
            <v>2.7.2 – Obras e Melhorias (infraestrutura)</v>
          </cell>
          <cell r="I474" t="str">
            <v>OUTRAS</v>
          </cell>
          <cell r="N474" t="str">
            <v>Pago</v>
          </cell>
          <cell r="O474">
            <v>-261.67</v>
          </cell>
        </row>
        <row r="475">
          <cell r="E475" t="str">
            <v>2.7.2 – Obras e Melhorias (infraestrutura)</v>
          </cell>
          <cell r="I475" t="str">
            <v>OUTRAS</v>
          </cell>
          <cell r="N475" t="str">
            <v>Pago</v>
          </cell>
          <cell r="O475">
            <v>-74.819999999999993</v>
          </cell>
        </row>
        <row r="476">
          <cell r="E476" t="str">
            <v>2.7.2 – Obras e Melhorias (infraestrutura)</v>
          </cell>
          <cell r="I476" t="str">
            <v>OUTRAS</v>
          </cell>
          <cell r="N476" t="str">
            <v>Pago</v>
          </cell>
          <cell r="O476">
            <v>-1235.31</v>
          </cell>
        </row>
        <row r="477">
          <cell r="E477" t="str">
            <v>2.7.2 – Obras e Melhorias (infraestrutura)</v>
          </cell>
          <cell r="I477" t="str">
            <v>OUTRAS</v>
          </cell>
          <cell r="N477" t="str">
            <v>Pago</v>
          </cell>
          <cell r="O477">
            <v>-218.63</v>
          </cell>
        </row>
        <row r="478">
          <cell r="E478" t="str">
            <v>2.7.2 – Obras e Melhorias (infraestrutura)</v>
          </cell>
          <cell r="I478" t="str">
            <v>ORDEM DE COMPRA</v>
          </cell>
          <cell r="N478" t="str">
            <v>Pago</v>
          </cell>
          <cell r="O478">
            <v>-15230</v>
          </cell>
        </row>
        <row r="479">
          <cell r="E479" t="str">
            <v>2.7.2 – Obras e Melhorias (infraestrutura)</v>
          </cell>
          <cell r="I479" t="str">
            <v>ORDEM DE COMPRA</v>
          </cell>
          <cell r="N479" t="str">
            <v>Pago</v>
          </cell>
          <cell r="O479">
            <v>-19749.12</v>
          </cell>
        </row>
        <row r="480">
          <cell r="E480" t="str">
            <v>2.7.2 – Obras e Melhorias (infraestrutura)</v>
          </cell>
          <cell r="I480" t="str">
            <v>MEDIÇÃO 01</v>
          </cell>
          <cell r="N480" t="str">
            <v>Pago</v>
          </cell>
          <cell r="O480">
            <v>-6944.28</v>
          </cell>
        </row>
        <row r="481">
          <cell r="E481" t="str">
            <v>1.8.1 – Cooperativa Sicredi</v>
          </cell>
          <cell r="I481" t="str">
            <v>-</v>
          </cell>
          <cell r="N481" t="str">
            <v>Resgatado</v>
          </cell>
          <cell r="O481">
            <v>19749.12</v>
          </cell>
        </row>
        <row r="482">
          <cell r="E482" t="str">
            <v>1.8.1 – Cooperativa Sicredi</v>
          </cell>
          <cell r="I482" t="str">
            <v>-</v>
          </cell>
          <cell r="N482" t="str">
            <v>Resgatado</v>
          </cell>
          <cell r="O482">
            <v>6944.28</v>
          </cell>
        </row>
        <row r="483">
          <cell r="E483" t="str">
            <v>2.7.2 – Obras e Melhorias (infraestrutura)</v>
          </cell>
          <cell r="I483" t="str">
            <v>ORDEM DE COMPRA</v>
          </cell>
          <cell r="N483" t="str">
            <v>Pago</v>
          </cell>
          <cell r="O483">
            <v>-180</v>
          </cell>
        </row>
        <row r="484">
          <cell r="E484" t="str">
            <v>2.7.2 – Obras e Melhorias (infraestrutura)</v>
          </cell>
          <cell r="I484" t="str">
            <v>ORDEM DE COMPRA</v>
          </cell>
          <cell r="N484" t="str">
            <v>Pago</v>
          </cell>
          <cell r="O484">
            <v>-305</v>
          </cell>
        </row>
        <row r="485">
          <cell r="E485" t="str">
            <v>2.1.1 – Honorários Contábeis</v>
          </cell>
          <cell r="I485" t="str">
            <v>-</v>
          </cell>
          <cell r="N485" t="str">
            <v>Pago</v>
          </cell>
          <cell r="O485">
            <v>-4574</v>
          </cell>
        </row>
        <row r="486">
          <cell r="E486" t="str">
            <v>2.2.4 – Férias</v>
          </cell>
          <cell r="I486" t="str">
            <v>-</v>
          </cell>
          <cell r="N486" t="str">
            <v>Pago</v>
          </cell>
          <cell r="O486">
            <v>-3333.33</v>
          </cell>
        </row>
        <row r="487">
          <cell r="E487" t="str">
            <v>2.2.1 – Salários e Remunerações</v>
          </cell>
          <cell r="I487" t="str">
            <v>-</v>
          </cell>
          <cell r="N487" t="str">
            <v>Pago</v>
          </cell>
          <cell r="O487">
            <v>-1433.34</v>
          </cell>
        </row>
        <row r="488">
          <cell r="E488" t="str">
            <v>2.5.2 – Tarifas Bancárias</v>
          </cell>
          <cell r="I488" t="str">
            <v>-</v>
          </cell>
          <cell r="N488" t="str">
            <v>Pago</v>
          </cell>
          <cell r="O488">
            <v>-63.25</v>
          </cell>
        </row>
        <row r="489">
          <cell r="E489" t="str">
            <v>2.7.2 – Obras e Melhorias (infraestrutura)</v>
          </cell>
          <cell r="I489" t="str">
            <v>OUTRAS</v>
          </cell>
          <cell r="N489" t="str">
            <v>Pago</v>
          </cell>
          <cell r="O489">
            <v>-387</v>
          </cell>
        </row>
        <row r="490">
          <cell r="E490" t="str">
            <v>2.7.2 – Obras e Melhorias (infraestrutura)</v>
          </cell>
          <cell r="I490" t="str">
            <v>ORDEM DE COMPRA</v>
          </cell>
          <cell r="N490" t="str">
            <v>Pago</v>
          </cell>
          <cell r="O490">
            <v>-28654.93</v>
          </cell>
        </row>
        <row r="491">
          <cell r="E491" t="str">
            <v>2.7.2 – Obras e Melhorias (infraestrutura)</v>
          </cell>
          <cell r="I491" t="str">
            <v>OUTRAS</v>
          </cell>
          <cell r="N491" t="str">
            <v>Pago</v>
          </cell>
          <cell r="O491">
            <v>-1199.25</v>
          </cell>
        </row>
        <row r="492">
          <cell r="E492" t="str">
            <v>1.8.1 – Cooperativa Sicredi</v>
          </cell>
          <cell r="I492" t="str">
            <v>-</v>
          </cell>
          <cell r="N492" t="str">
            <v>Resgatado</v>
          </cell>
          <cell r="O492">
            <v>10455.15</v>
          </cell>
        </row>
        <row r="493">
          <cell r="E493" t="str">
            <v>2.8.1 – Distribuição de Lucros</v>
          </cell>
          <cell r="I493" t="str">
            <v>-</v>
          </cell>
          <cell r="N493" t="str">
            <v>Repassado</v>
          </cell>
          <cell r="O493">
            <v>-615.72</v>
          </cell>
        </row>
        <row r="494">
          <cell r="E494" t="str">
            <v>2.5.2 – Tarifas Bancárias</v>
          </cell>
          <cell r="I494" t="str">
            <v>-</v>
          </cell>
          <cell r="N494" t="str">
            <v>Pago</v>
          </cell>
          <cell r="O494">
            <v>-10</v>
          </cell>
        </row>
        <row r="495">
          <cell r="E495" t="str">
            <v>2.3.6 – Produtos e Peças</v>
          </cell>
          <cell r="I495" t="str">
            <v>-</v>
          </cell>
          <cell r="N495" t="str">
            <v>Pago</v>
          </cell>
          <cell r="O495">
            <v>-261.83999999999997</v>
          </cell>
        </row>
        <row r="496">
          <cell r="E496" t="str">
            <v>2.7.2 – Obras e Melhorias (infraestrutura)</v>
          </cell>
          <cell r="I496" t="str">
            <v>ORDEM DE COMPRA</v>
          </cell>
          <cell r="N496" t="str">
            <v>Pago</v>
          </cell>
          <cell r="O496">
            <v>-997.5</v>
          </cell>
        </row>
        <row r="497">
          <cell r="E497" t="str">
            <v>2.7.2 – Obras e Melhorias (infraestrutura)</v>
          </cell>
          <cell r="I497" t="str">
            <v>ORDEM DE COMPRA</v>
          </cell>
          <cell r="N497" t="str">
            <v>Pago</v>
          </cell>
          <cell r="O497">
            <v>-338</v>
          </cell>
        </row>
        <row r="498">
          <cell r="E498" t="str">
            <v>2.3.6 – Produtos e Peças</v>
          </cell>
          <cell r="I498" t="str">
            <v>-</v>
          </cell>
          <cell r="N498" t="str">
            <v>Pago</v>
          </cell>
          <cell r="O498">
            <v>-49.8</v>
          </cell>
        </row>
        <row r="499">
          <cell r="E499" t="str">
            <v>2.3.7 – Peças para Veículos e Máquinas</v>
          </cell>
          <cell r="I499" t="str">
            <v>-</v>
          </cell>
          <cell r="N499" t="str">
            <v>Pago</v>
          </cell>
          <cell r="O499">
            <v>-1031</v>
          </cell>
        </row>
        <row r="500">
          <cell r="E500" t="str">
            <v>2.1.3 – Despesas com Aluguel</v>
          </cell>
          <cell r="I500" t="str">
            <v>-</v>
          </cell>
          <cell r="N500" t="str">
            <v>Pago</v>
          </cell>
          <cell r="O500">
            <v>-1974</v>
          </cell>
        </row>
        <row r="501">
          <cell r="E501" t="str">
            <v>2.4.7 – Serviços Diversos</v>
          </cell>
          <cell r="I501" t="str">
            <v>-</v>
          </cell>
          <cell r="N501" t="str">
            <v>Pago</v>
          </cell>
          <cell r="O501">
            <v>-70</v>
          </cell>
        </row>
        <row r="502">
          <cell r="E502" t="str">
            <v>2.3.10 – Sanidade Animal</v>
          </cell>
          <cell r="I502" t="str">
            <v>-</v>
          </cell>
          <cell r="N502" t="str">
            <v>Pago</v>
          </cell>
          <cell r="O502">
            <v>-70</v>
          </cell>
        </row>
        <row r="503">
          <cell r="E503" t="str">
            <v>2.8.1 – Distribuição de Lucros</v>
          </cell>
          <cell r="I503" t="str">
            <v>-</v>
          </cell>
          <cell r="N503" t="str">
            <v>Repassado</v>
          </cell>
          <cell r="O503">
            <v>-1413.95</v>
          </cell>
        </row>
        <row r="504">
          <cell r="E504" t="str">
            <v>2.7.2 – Obras e Melhorias (infraestrutura)</v>
          </cell>
          <cell r="I504" t="str">
            <v>ORDEM DE COMPRA</v>
          </cell>
          <cell r="N504" t="str">
            <v>Pago</v>
          </cell>
          <cell r="O504">
            <v>-1098.4000000000001</v>
          </cell>
        </row>
        <row r="505">
          <cell r="E505" t="str">
            <v>2.7.2 – Obras e Melhorias (infraestrutura)</v>
          </cell>
          <cell r="I505" t="str">
            <v>ORDEM DE COMPRA</v>
          </cell>
          <cell r="N505" t="str">
            <v>Pago</v>
          </cell>
          <cell r="O505">
            <v>-80</v>
          </cell>
        </row>
        <row r="506">
          <cell r="E506" t="str">
            <v>2.3.7 – Peças para Veículos e Máquinas</v>
          </cell>
          <cell r="I506" t="str">
            <v>-</v>
          </cell>
          <cell r="N506" t="str">
            <v>Pago</v>
          </cell>
          <cell r="O506">
            <v>-430</v>
          </cell>
        </row>
        <row r="507">
          <cell r="E507" t="str">
            <v>2.3.5 – Combustíveis e Lubrificantes</v>
          </cell>
          <cell r="I507" t="str">
            <v>-</v>
          </cell>
          <cell r="N507" t="str">
            <v>Pago</v>
          </cell>
          <cell r="O507">
            <v>-427.12</v>
          </cell>
        </row>
        <row r="508">
          <cell r="E508" t="str">
            <v>2.1.8 – Despesas Gerais</v>
          </cell>
          <cell r="I508" t="str">
            <v>-</v>
          </cell>
          <cell r="N508" t="str">
            <v>Pago</v>
          </cell>
          <cell r="O508">
            <v>-24.16</v>
          </cell>
        </row>
        <row r="509">
          <cell r="E509" t="str">
            <v>2.1.8 – Despesas Gerais</v>
          </cell>
          <cell r="I509" t="str">
            <v>-</v>
          </cell>
          <cell r="N509" t="str">
            <v>Pago</v>
          </cell>
          <cell r="O509">
            <v>-398.91</v>
          </cell>
        </row>
        <row r="510">
          <cell r="E510" t="str">
            <v>2.3.4 – Internet Rural</v>
          </cell>
          <cell r="I510" t="str">
            <v>-</v>
          </cell>
          <cell r="N510" t="str">
            <v>Pago</v>
          </cell>
          <cell r="O510">
            <v>-235.52</v>
          </cell>
        </row>
        <row r="511">
          <cell r="E511" t="str">
            <v>2.7.2 – Obras e Melhorias (infraestrutura)</v>
          </cell>
          <cell r="I511" t="str">
            <v>ORDEM DE COMPRA</v>
          </cell>
          <cell r="N511" t="str">
            <v>Pago</v>
          </cell>
          <cell r="O511">
            <v>-7677.5</v>
          </cell>
        </row>
        <row r="512">
          <cell r="E512" t="str">
            <v>1.8.1 – Cooperativa Sicredi</v>
          </cell>
          <cell r="I512" t="str">
            <v>-</v>
          </cell>
          <cell r="N512" t="str">
            <v>Resgatado</v>
          </cell>
          <cell r="O512">
            <v>15277.41</v>
          </cell>
        </row>
        <row r="513">
          <cell r="E513" t="str">
            <v>2.3.8 – Insumos Agrícolas</v>
          </cell>
          <cell r="I513" t="str">
            <v>-</v>
          </cell>
          <cell r="N513" t="str">
            <v>Pago</v>
          </cell>
          <cell r="O513">
            <v>-33300</v>
          </cell>
        </row>
        <row r="514">
          <cell r="E514" t="str">
            <v>2.7.2 – Obras e Melhorias (infraestrutura)</v>
          </cell>
          <cell r="I514" t="str">
            <v>ORDEM DE COMPRA</v>
          </cell>
          <cell r="N514" t="str">
            <v>Pago</v>
          </cell>
          <cell r="O514">
            <v>-15230</v>
          </cell>
        </row>
        <row r="515">
          <cell r="E515" t="str">
            <v>1.8.1 – Cooperativa Sicredi</v>
          </cell>
          <cell r="I515" t="str">
            <v>-</v>
          </cell>
          <cell r="N515" t="str">
            <v>Resgatado</v>
          </cell>
          <cell r="O515">
            <v>147371.81</v>
          </cell>
        </row>
        <row r="516">
          <cell r="E516" t="str">
            <v>2.9.3 – Outras Despesas Não Classificadas</v>
          </cell>
          <cell r="I516" t="str">
            <v>-</v>
          </cell>
          <cell r="N516" t="str">
            <v>Pago</v>
          </cell>
          <cell r="O516">
            <v>-15277.41</v>
          </cell>
        </row>
        <row r="517">
          <cell r="E517" t="str">
            <v>2.3.6 – Produtos e Peças</v>
          </cell>
          <cell r="I517" t="str">
            <v>-</v>
          </cell>
          <cell r="N517" t="str">
            <v>Pago</v>
          </cell>
          <cell r="O517">
            <v>-797.75</v>
          </cell>
        </row>
        <row r="518">
          <cell r="E518" t="str">
            <v>2.8.1 – Distribuição de Lucros</v>
          </cell>
          <cell r="I518" t="str">
            <v>-</v>
          </cell>
          <cell r="N518" t="str">
            <v>Repassado</v>
          </cell>
          <cell r="O518">
            <v>-860</v>
          </cell>
        </row>
        <row r="519">
          <cell r="E519" t="str">
            <v>2.2.5 – EPIs Operacionais</v>
          </cell>
          <cell r="I519" t="str">
            <v>-</v>
          </cell>
          <cell r="N519" t="str">
            <v>Pago</v>
          </cell>
          <cell r="O519">
            <v>-256.77</v>
          </cell>
        </row>
        <row r="520">
          <cell r="E520" t="str">
            <v>2.3.7 – Peças para Veículos e Máquinas</v>
          </cell>
          <cell r="I520" t="str">
            <v>-</v>
          </cell>
          <cell r="N520" t="str">
            <v>Pago</v>
          </cell>
          <cell r="O520">
            <v>-215</v>
          </cell>
        </row>
        <row r="521">
          <cell r="E521" t="str">
            <v>1.9.1 – Diversos</v>
          </cell>
          <cell r="I521" t="str">
            <v>-</v>
          </cell>
          <cell r="N521" t="str">
            <v>Recebido</v>
          </cell>
          <cell r="O521">
            <v>15277.41</v>
          </cell>
        </row>
        <row r="522">
          <cell r="E522" t="str">
            <v>2.7.2 – Obras e Melhorias (infraestrutura)</v>
          </cell>
          <cell r="I522" t="str">
            <v>MEDIÇÃO 02</v>
          </cell>
          <cell r="N522" t="str">
            <v>Pago</v>
          </cell>
          <cell r="O522">
            <v>-147371.81</v>
          </cell>
        </row>
        <row r="523">
          <cell r="E523" t="str">
            <v>2.7.2 – Obras e Melhorias (infraestrutura)</v>
          </cell>
          <cell r="I523" t="str">
            <v>MEDIÇÃO 01</v>
          </cell>
          <cell r="N523" t="str">
            <v>Pago</v>
          </cell>
          <cell r="O523">
            <v>-15277.41</v>
          </cell>
        </row>
        <row r="524">
          <cell r="E524" t="str">
            <v>2.2.2 – Encargos Sociais (INSS, FGTS, etc.)</v>
          </cell>
          <cell r="I524" t="str">
            <v>-</v>
          </cell>
          <cell r="N524" t="str">
            <v>Pago</v>
          </cell>
          <cell r="O524">
            <v>-488.88</v>
          </cell>
        </row>
        <row r="525">
          <cell r="E525" t="str">
            <v>2.2.2 – Encargos Sociais (INSS, FGTS, etc.)</v>
          </cell>
          <cell r="I525" t="str">
            <v>-</v>
          </cell>
          <cell r="N525" t="str">
            <v>Pago</v>
          </cell>
          <cell r="O525">
            <v>-2588.9699999999998</v>
          </cell>
        </row>
        <row r="526">
          <cell r="E526" t="str">
            <v>2.5.2 – Tarifas Bancárias</v>
          </cell>
          <cell r="I526" t="str">
            <v>-</v>
          </cell>
          <cell r="N526" t="str">
            <v>Pago</v>
          </cell>
          <cell r="O526">
            <v>-50</v>
          </cell>
        </row>
        <row r="527">
          <cell r="E527" t="str">
            <v>2.7.2 – Obras e Melhorias (infraestrutura)</v>
          </cell>
          <cell r="I527" t="str">
            <v>ORDEM DE COMPRA</v>
          </cell>
          <cell r="N527" t="str">
            <v>Pago</v>
          </cell>
          <cell r="O527">
            <v>-561.5</v>
          </cell>
        </row>
        <row r="528">
          <cell r="E528" t="str">
            <v>2.8.1 – Distribuição de Lucros</v>
          </cell>
          <cell r="I528" t="str">
            <v>-</v>
          </cell>
          <cell r="N528" t="str">
            <v>Repassado</v>
          </cell>
          <cell r="O528">
            <v>-100</v>
          </cell>
        </row>
        <row r="529">
          <cell r="E529" t="str">
            <v>2.3.8 – Insumos Agrícolas</v>
          </cell>
          <cell r="I529" t="str">
            <v>-</v>
          </cell>
          <cell r="N529" t="str">
            <v>Pago</v>
          </cell>
          <cell r="O529">
            <v>-27750</v>
          </cell>
        </row>
        <row r="530">
          <cell r="E530" t="str">
            <v>2.1.1 – Honorários Contábeis</v>
          </cell>
          <cell r="I530" t="str">
            <v>-</v>
          </cell>
          <cell r="N530" t="str">
            <v>Pago</v>
          </cell>
          <cell r="O530">
            <v>-1800</v>
          </cell>
        </row>
        <row r="531">
          <cell r="E531" t="str">
            <v>2.7.2 – Obras e Melhorias (infraestrutura)</v>
          </cell>
          <cell r="I531" t="str">
            <v>ORDEM DE COMPRA</v>
          </cell>
          <cell r="N531" t="str">
            <v>Pago</v>
          </cell>
          <cell r="O531">
            <v>-2562</v>
          </cell>
        </row>
        <row r="532">
          <cell r="E532" t="str">
            <v>1.8.1 – Cooperativa Sicredi</v>
          </cell>
          <cell r="I532" t="str">
            <v>-</v>
          </cell>
          <cell r="N532" t="str">
            <v>Resgatado</v>
          </cell>
          <cell r="O532">
            <v>49000</v>
          </cell>
        </row>
        <row r="533">
          <cell r="E533" t="str">
            <v>2.8.3 – Pagamentos Pessoais (não operacionais)</v>
          </cell>
          <cell r="I533" t="str">
            <v>-</v>
          </cell>
          <cell r="N533" t="str">
            <v>Pago</v>
          </cell>
          <cell r="O533">
            <v>-8489.33</v>
          </cell>
        </row>
        <row r="534">
          <cell r="E534" t="str">
            <v>2.7.2 – Obras e Melhorias (infraestrutura)</v>
          </cell>
          <cell r="I534" t="str">
            <v>ORDEM DE COMPRA</v>
          </cell>
          <cell r="N534" t="str">
            <v>Pago</v>
          </cell>
          <cell r="O534">
            <v>-400</v>
          </cell>
        </row>
        <row r="535">
          <cell r="E535" t="str">
            <v>1.8.1 – Cooperativa Sicredi</v>
          </cell>
          <cell r="I535" t="str">
            <v>-</v>
          </cell>
          <cell r="N535" t="str">
            <v>Resgatado</v>
          </cell>
          <cell r="O535">
            <v>2562</v>
          </cell>
        </row>
        <row r="536">
          <cell r="E536" t="str">
            <v>2.7.2 – Obras e Melhorias (infraestrutura)</v>
          </cell>
          <cell r="I536" t="str">
            <v>OUTRAS</v>
          </cell>
          <cell r="N536" t="str">
            <v>Pago</v>
          </cell>
          <cell r="O536">
            <v>-49000</v>
          </cell>
        </row>
        <row r="537">
          <cell r="E537" t="str">
            <v>2.1.8 – Despesas Gerais</v>
          </cell>
          <cell r="I537" t="str">
            <v>-</v>
          </cell>
          <cell r="N537" t="str">
            <v>Pago</v>
          </cell>
          <cell r="O537">
            <v>-180</v>
          </cell>
        </row>
        <row r="538">
          <cell r="E538" t="str">
            <v>2.7.2 – Obras e Melhorias (infraestrutura)</v>
          </cell>
          <cell r="I538" t="str">
            <v>OUTRAS</v>
          </cell>
          <cell r="N538" t="str">
            <v>Pago</v>
          </cell>
          <cell r="O538">
            <v>-12200</v>
          </cell>
        </row>
        <row r="539">
          <cell r="E539" t="str">
            <v>1.8.1 – Cooperativa Sicredi</v>
          </cell>
          <cell r="I539" t="str">
            <v>-</v>
          </cell>
          <cell r="N539" t="str">
            <v>Resgatado</v>
          </cell>
          <cell r="O539">
            <v>12200</v>
          </cell>
        </row>
        <row r="540">
          <cell r="E540" t="str">
            <v>2.7.2 – Obras e Melhorias (infraestrutura)</v>
          </cell>
          <cell r="I540" t="str">
            <v>ORDEM DE COMPRA</v>
          </cell>
          <cell r="N540" t="str">
            <v>Pago</v>
          </cell>
          <cell r="O540">
            <v>-310.92</v>
          </cell>
        </row>
        <row r="541">
          <cell r="E541" t="str">
            <v>2.2.3 – Benefícios (vale, alimentação, etc.)</v>
          </cell>
          <cell r="I541" t="str">
            <v>-</v>
          </cell>
          <cell r="N541" t="str">
            <v>Pago</v>
          </cell>
          <cell r="O541">
            <v>-180</v>
          </cell>
        </row>
        <row r="542">
          <cell r="E542" t="str">
            <v>2.2.3 – Benefícios (vale, alimentação, etc.)</v>
          </cell>
          <cell r="I542" t="str">
            <v>-</v>
          </cell>
          <cell r="N542" t="str">
            <v>Pago</v>
          </cell>
          <cell r="O542">
            <v>-310</v>
          </cell>
        </row>
        <row r="543">
          <cell r="E543" t="str">
            <v>2.1.6 – Taxas e Impostos (ITR, INCRA, etc.)</v>
          </cell>
          <cell r="I543" t="str">
            <v>-</v>
          </cell>
          <cell r="N543" t="str">
            <v>Pago</v>
          </cell>
          <cell r="O543">
            <v>-36100.54</v>
          </cell>
        </row>
        <row r="544">
          <cell r="E544" t="str">
            <v>2.7.2 – Obras e Melhorias (infraestrutura)</v>
          </cell>
          <cell r="I544" t="str">
            <v>OUTRAS</v>
          </cell>
          <cell r="N544" t="str">
            <v>Pago</v>
          </cell>
          <cell r="O544">
            <v>-29500</v>
          </cell>
        </row>
        <row r="545">
          <cell r="E545" t="str">
            <v>2.7.2 – Obras e Melhorias (infraestrutura)</v>
          </cell>
          <cell r="I545" t="str">
            <v>OUTRAS</v>
          </cell>
          <cell r="N545" t="str">
            <v>Pago</v>
          </cell>
          <cell r="O545">
            <v>-1896.84</v>
          </cell>
        </row>
        <row r="546">
          <cell r="E546" t="str">
            <v>2.7.2 – Obras e Melhorias (infraestrutura)</v>
          </cell>
          <cell r="I546" t="str">
            <v>OUTRAS</v>
          </cell>
          <cell r="N546" t="str">
            <v>Pago</v>
          </cell>
          <cell r="O546">
            <v>-1066.17</v>
          </cell>
        </row>
        <row r="547">
          <cell r="E547" t="str">
            <v>2.3.6 – Produtos e Peças</v>
          </cell>
          <cell r="I547" t="str">
            <v>-</v>
          </cell>
          <cell r="N547" t="str">
            <v>Pago</v>
          </cell>
          <cell r="O547">
            <v>-201.05</v>
          </cell>
        </row>
        <row r="548">
          <cell r="E548" t="str">
            <v>1.8.1 – Cooperativa Sicredi</v>
          </cell>
          <cell r="I548" t="str">
            <v>-</v>
          </cell>
          <cell r="N548" t="str">
            <v>Resgatado</v>
          </cell>
          <cell r="O548">
            <v>1066.17</v>
          </cell>
        </row>
        <row r="549">
          <cell r="E549" t="str">
            <v>1.8.1 – Cooperativa Sicredi</v>
          </cell>
          <cell r="I549" t="str">
            <v>-</v>
          </cell>
          <cell r="N549" t="str">
            <v>Resgatado</v>
          </cell>
          <cell r="O549">
            <v>21900</v>
          </cell>
        </row>
        <row r="550">
          <cell r="E550" t="str">
            <v>1.8.1 – Cooperativa Sicredi</v>
          </cell>
          <cell r="I550" t="str">
            <v>-</v>
          </cell>
          <cell r="N550" t="str">
            <v>Resgatado</v>
          </cell>
          <cell r="O550">
            <v>29500</v>
          </cell>
        </row>
        <row r="551">
          <cell r="E551" t="str">
            <v>2.7.2 – Obras e Melhorias (infraestrutura)</v>
          </cell>
          <cell r="I551" t="str">
            <v>OUTRAS</v>
          </cell>
          <cell r="N551" t="str">
            <v>Pago</v>
          </cell>
          <cell r="O551">
            <v>-4411.0200000000004</v>
          </cell>
        </row>
        <row r="552">
          <cell r="E552" t="str">
            <v>2.7.2 – Obras e Melhorias (infraestrutura)</v>
          </cell>
          <cell r="I552" t="str">
            <v>OUTRAS</v>
          </cell>
          <cell r="N552" t="str">
            <v>Pago</v>
          </cell>
          <cell r="O552">
            <v>-758.74</v>
          </cell>
        </row>
        <row r="553">
          <cell r="E553" t="str">
            <v>2.7.2 – Obras e Melhorias (infraestrutura)</v>
          </cell>
          <cell r="I553" t="str">
            <v>OUTRAS</v>
          </cell>
          <cell r="N553" t="str">
            <v>Pago</v>
          </cell>
          <cell r="O553">
            <v>-2561.37</v>
          </cell>
        </row>
        <row r="554">
          <cell r="E554" t="str">
            <v>2.7.2 – Obras e Melhorias (infraestrutura)</v>
          </cell>
          <cell r="I554" t="str">
            <v>OUTRAS</v>
          </cell>
          <cell r="N554" t="str">
            <v>Pago</v>
          </cell>
          <cell r="O554">
            <v>-10896.5</v>
          </cell>
        </row>
        <row r="555">
          <cell r="E555" t="str">
            <v>2.7.2 – Obras e Melhorias (infraestrutura)</v>
          </cell>
          <cell r="I555" t="str">
            <v>OUTRAS</v>
          </cell>
          <cell r="N555" t="str">
            <v>Pago</v>
          </cell>
          <cell r="O555">
            <v>-1375.53</v>
          </cell>
        </row>
        <row r="556">
          <cell r="E556" t="str">
            <v>2.7.2 – Obras e Melhorias (infraestrutura)</v>
          </cell>
          <cell r="I556" t="str">
            <v>ORDEM DE COMPRA</v>
          </cell>
          <cell r="N556" t="str">
            <v>Pago</v>
          </cell>
          <cell r="O556">
            <v>-7677.5</v>
          </cell>
        </row>
        <row r="557">
          <cell r="E557" t="str">
            <v>1.8.1 – Cooperativa Sicredi</v>
          </cell>
          <cell r="I557" t="str">
            <v>-</v>
          </cell>
          <cell r="N557" t="str">
            <v>Resgatado</v>
          </cell>
          <cell r="O557">
            <v>1665.0699999999997</v>
          </cell>
        </row>
        <row r="558">
          <cell r="E558" t="str">
            <v>1.8.1 – Cooperativa Sicredi</v>
          </cell>
          <cell r="I558" t="str">
            <v>-</v>
          </cell>
          <cell r="N558" t="str">
            <v>Resgatado</v>
          </cell>
          <cell r="O558">
            <v>7677.5</v>
          </cell>
        </row>
        <row r="559">
          <cell r="E559" t="str">
            <v>2.4.4 – Manutenção de Veículos e Máquinas</v>
          </cell>
          <cell r="I559" t="str">
            <v>-</v>
          </cell>
          <cell r="N559" t="str">
            <v>Pago</v>
          </cell>
          <cell r="O559">
            <v>-1100</v>
          </cell>
        </row>
        <row r="560">
          <cell r="E560" t="str">
            <v>2.3.9 – Alimentação Animal</v>
          </cell>
          <cell r="I560" t="str">
            <v>-</v>
          </cell>
          <cell r="N560" t="str">
            <v>Pago</v>
          </cell>
          <cell r="O560">
            <v>-850</v>
          </cell>
        </row>
        <row r="561">
          <cell r="E561" t="str">
            <v>2.8.1 – Distribuição de Lucros</v>
          </cell>
          <cell r="I561" t="str">
            <v>-</v>
          </cell>
          <cell r="N561" t="str">
            <v>Repassado</v>
          </cell>
          <cell r="O561">
            <v>-76602.45</v>
          </cell>
        </row>
        <row r="562">
          <cell r="E562" t="str">
            <v>2.3.6 – Produtos e Peças</v>
          </cell>
          <cell r="I562" t="str">
            <v>-</v>
          </cell>
          <cell r="N562" t="str">
            <v>Pago</v>
          </cell>
          <cell r="O562">
            <v>-805</v>
          </cell>
        </row>
        <row r="563">
          <cell r="E563" t="str">
            <v>2.2.3 – Benefícios (vale, alimentação, etc.)</v>
          </cell>
          <cell r="I563" t="str">
            <v>-</v>
          </cell>
          <cell r="N563" t="str">
            <v>Pago</v>
          </cell>
          <cell r="O563">
            <v>-700</v>
          </cell>
        </row>
        <row r="564">
          <cell r="E564" t="str">
            <v>2.4.4 – Manutenção de Veículos e Máquinas</v>
          </cell>
          <cell r="I564" t="str">
            <v>-</v>
          </cell>
          <cell r="N564" t="str">
            <v>Pago</v>
          </cell>
          <cell r="O564">
            <v>-40</v>
          </cell>
        </row>
        <row r="565">
          <cell r="E565" t="str">
            <v>2.7.2 – Obras e Melhorias (infraestrutura)</v>
          </cell>
          <cell r="I565" t="str">
            <v>OUTRAS</v>
          </cell>
          <cell r="N565" t="str">
            <v>Pago</v>
          </cell>
          <cell r="O565">
            <v>-230.35</v>
          </cell>
        </row>
        <row r="566">
          <cell r="E566" t="str">
            <v>2.3.9 – Alimentação Animal</v>
          </cell>
          <cell r="I566" t="str">
            <v>-</v>
          </cell>
          <cell r="N566" t="str">
            <v>Pago</v>
          </cell>
          <cell r="O566">
            <v>-585.29999999999995</v>
          </cell>
        </row>
        <row r="567">
          <cell r="E567" t="str">
            <v>2.1.2 – Honorários Jurídicos</v>
          </cell>
          <cell r="I567" t="str">
            <v>-</v>
          </cell>
          <cell r="N567" t="str">
            <v>Pago</v>
          </cell>
          <cell r="O567">
            <v>-700</v>
          </cell>
        </row>
        <row r="568">
          <cell r="E568" t="str">
            <v>2.5.2 – Tarifas Bancárias</v>
          </cell>
          <cell r="I568" t="str">
            <v>-</v>
          </cell>
          <cell r="N568" t="str">
            <v>Pago</v>
          </cell>
          <cell r="O568">
            <v>-63.25</v>
          </cell>
        </row>
        <row r="569">
          <cell r="E569" t="str">
            <v>1.8.1 – Cooperativa Sicredi</v>
          </cell>
          <cell r="I569" t="str">
            <v>-</v>
          </cell>
          <cell r="N569" t="str">
            <v>Resgatado</v>
          </cell>
          <cell r="O569">
            <v>14443.86</v>
          </cell>
        </row>
        <row r="570">
          <cell r="E570" t="str">
            <v>2.1.1 – Honorários Contábeis</v>
          </cell>
          <cell r="I570" t="str">
            <v>-</v>
          </cell>
          <cell r="N570" t="str">
            <v>Pago</v>
          </cell>
          <cell r="O570">
            <v>-4574</v>
          </cell>
        </row>
        <row r="571">
          <cell r="E571" t="str">
            <v>2.2.1 – Salários e Remunerações</v>
          </cell>
          <cell r="I571" t="str">
            <v>-</v>
          </cell>
          <cell r="N571" t="str">
            <v>Pago</v>
          </cell>
          <cell r="O571">
            <v>-4198.22</v>
          </cell>
        </row>
        <row r="572">
          <cell r="E572" t="str">
            <v>2.7.2 – Obras e Melhorias (infraestrutura)</v>
          </cell>
          <cell r="I572" t="str">
            <v>OUTRAS</v>
          </cell>
          <cell r="N572" t="str">
            <v>Pago</v>
          </cell>
          <cell r="O572">
            <v>-3807.15</v>
          </cell>
        </row>
        <row r="573">
          <cell r="E573" t="str">
            <v>2.7.2 – Obras e Melhorias (infraestrutura)</v>
          </cell>
          <cell r="I573" t="str">
            <v>OUTRAS</v>
          </cell>
          <cell r="N573" t="str">
            <v>Pago</v>
          </cell>
          <cell r="O573">
            <v>-13000</v>
          </cell>
        </row>
        <row r="574">
          <cell r="E574" t="str">
            <v>2.7.2 – Obras e Melhorias (infraestrutura)</v>
          </cell>
          <cell r="I574" t="str">
            <v>ORDEM DE COMPRA</v>
          </cell>
          <cell r="N574" t="str">
            <v>Pago</v>
          </cell>
          <cell r="O574">
            <v>-14443.86</v>
          </cell>
        </row>
        <row r="575">
          <cell r="E575" t="str">
            <v>2.3.10 – Sanidade Animal</v>
          </cell>
          <cell r="I575" t="str">
            <v>-</v>
          </cell>
          <cell r="N575" t="str">
            <v>Pago</v>
          </cell>
          <cell r="O575">
            <v>-831.5</v>
          </cell>
        </row>
        <row r="576">
          <cell r="E576" t="str">
            <v>1.8.1 – Cooperativa Sicredi</v>
          </cell>
          <cell r="I576" t="str">
            <v>-</v>
          </cell>
          <cell r="N576" t="str">
            <v>Resgatado</v>
          </cell>
          <cell r="O576">
            <v>3807.15</v>
          </cell>
        </row>
        <row r="577">
          <cell r="E577" t="str">
            <v>1.8.1 – Cooperativa Sicredi</v>
          </cell>
          <cell r="I577" t="str">
            <v>-</v>
          </cell>
          <cell r="N577" t="str">
            <v>Resgatado</v>
          </cell>
          <cell r="O577">
            <v>13000</v>
          </cell>
        </row>
        <row r="578">
          <cell r="E578" t="str">
            <v>1.8.1 – Cooperativa Sicredi</v>
          </cell>
          <cell r="I578" t="str">
            <v>-</v>
          </cell>
          <cell r="N578" t="str">
            <v>Resgatado</v>
          </cell>
          <cell r="O578">
            <v>9800</v>
          </cell>
        </row>
        <row r="579">
          <cell r="E579" t="str">
            <v>1.8.1 – Cooperativa Sicredi</v>
          </cell>
          <cell r="I579" t="str">
            <v>-</v>
          </cell>
          <cell r="N579" t="str">
            <v>Resgatado</v>
          </cell>
          <cell r="O579">
            <v>8772.1299999999992</v>
          </cell>
        </row>
        <row r="580">
          <cell r="E580" t="str">
            <v>2.3.7 – Peças para Veículos e Máquinas</v>
          </cell>
          <cell r="I580" t="str">
            <v>-</v>
          </cell>
          <cell r="N580" t="str">
            <v>Pago</v>
          </cell>
          <cell r="O580">
            <v>-458</v>
          </cell>
        </row>
        <row r="581">
          <cell r="E581" t="str">
            <v>2.5.2 – Tarifas Bancárias</v>
          </cell>
          <cell r="I581" t="str">
            <v>-</v>
          </cell>
          <cell r="N581" t="str">
            <v>Pago</v>
          </cell>
          <cell r="O581">
            <v>-10</v>
          </cell>
        </row>
        <row r="582">
          <cell r="E582" t="str">
            <v>2.7.2 – Obras e Melhorias (infraestrutura)</v>
          </cell>
          <cell r="I582" t="str">
            <v>OUTRAS</v>
          </cell>
          <cell r="N582" t="str">
            <v>Pago</v>
          </cell>
          <cell r="O582">
            <v>-9800</v>
          </cell>
        </row>
        <row r="583">
          <cell r="E583" t="str">
            <v>2.7.2 – Obras e Melhorias (infraestrutura)</v>
          </cell>
          <cell r="I583" t="str">
            <v>MEDIÇÃO 02</v>
          </cell>
          <cell r="N583" t="str">
            <v>Pago</v>
          </cell>
          <cell r="O583">
            <v>-8772.1299999999992</v>
          </cell>
        </row>
        <row r="584">
          <cell r="E584" t="str">
            <v>2.1.3 – Despesas com Aluguel</v>
          </cell>
          <cell r="I584" t="str">
            <v>-</v>
          </cell>
          <cell r="N584" t="str">
            <v>Pago</v>
          </cell>
          <cell r="O584">
            <v>-1974</v>
          </cell>
        </row>
        <row r="585">
          <cell r="E585" t="str">
            <v>2.4.7 – Serviços Diversos</v>
          </cell>
          <cell r="I585" t="str">
            <v>-</v>
          </cell>
          <cell r="N585" t="str">
            <v>Pago</v>
          </cell>
          <cell r="O585">
            <v>-70</v>
          </cell>
        </row>
        <row r="586">
          <cell r="E586" t="str">
            <v>2.7.2 – Obras e Melhorias (infraestrutura)</v>
          </cell>
          <cell r="I586" t="str">
            <v>OUTRAS</v>
          </cell>
          <cell r="N586" t="str">
            <v>Pago</v>
          </cell>
          <cell r="O586">
            <v>-265.76</v>
          </cell>
        </row>
        <row r="587">
          <cell r="E587" t="str">
            <v>2.3.10 – Sanidade Animal</v>
          </cell>
          <cell r="I587" t="str">
            <v>-</v>
          </cell>
          <cell r="N587" t="str">
            <v>Pago</v>
          </cell>
          <cell r="O587">
            <v>-1385</v>
          </cell>
        </row>
        <row r="588">
          <cell r="E588" t="str">
            <v>2.8.1 – Distribuição de Lucros</v>
          </cell>
          <cell r="I588" t="str">
            <v>-</v>
          </cell>
          <cell r="N588" t="str">
            <v>Repassado</v>
          </cell>
          <cell r="O588">
            <v>-1057.33</v>
          </cell>
        </row>
        <row r="589">
          <cell r="E589" t="str">
            <v>1.8.1 – Cooperativa Sicredi</v>
          </cell>
          <cell r="I589" t="str">
            <v>-</v>
          </cell>
          <cell r="N589" t="str">
            <v>Resgatado</v>
          </cell>
          <cell r="O589">
            <v>804</v>
          </cell>
        </row>
        <row r="590">
          <cell r="E590" t="str">
            <v>2.7.2 – Obras e Melhorias (infraestrutura)</v>
          </cell>
          <cell r="I590" t="str">
            <v>ORDEM DE COMPRA</v>
          </cell>
          <cell r="N590" t="str">
            <v>Pago</v>
          </cell>
          <cell r="O590">
            <v>-804</v>
          </cell>
        </row>
        <row r="591">
          <cell r="E591" t="str">
            <v>2.3.6 – Produtos e Peças</v>
          </cell>
          <cell r="I591" t="str">
            <v>-</v>
          </cell>
          <cell r="N591" t="str">
            <v>Pago</v>
          </cell>
          <cell r="O591">
            <v>-23.78</v>
          </cell>
        </row>
        <row r="592">
          <cell r="E592" t="str">
            <v>2.3.5 – Combustíveis e Lubrificantes</v>
          </cell>
          <cell r="I592" t="str">
            <v>-</v>
          </cell>
          <cell r="N592" t="str">
            <v>Pago</v>
          </cell>
          <cell r="O592">
            <v>-749</v>
          </cell>
        </row>
        <row r="593">
          <cell r="E593" t="str">
            <v>2.3.7 – Peças para Veículos e Máquinas</v>
          </cell>
          <cell r="I593" t="str">
            <v>-</v>
          </cell>
          <cell r="N593" t="str">
            <v>Pago</v>
          </cell>
          <cell r="O593">
            <v>-430</v>
          </cell>
        </row>
        <row r="594">
          <cell r="E594" t="str">
            <v>2.1.8 – Despesas Gerais</v>
          </cell>
          <cell r="I594" t="str">
            <v>-</v>
          </cell>
          <cell r="N594" t="str">
            <v>Pago</v>
          </cell>
          <cell r="O594">
            <v>-24.24</v>
          </cell>
        </row>
        <row r="595">
          <cell r="E595" t="str">
            <v>2.1.8 – Despesas Gerais</v>
          </cell>
          <cell r="I595" t="str">
            <v>-</v>
          </cell>
          <cell r="N595" t="str">
            <v>Pago</v>
          </cell>
          <cell r="O595">
            <v>-398.91</v>
          </cell>
        </row>
        <row r="596">
          <cell r="E596" t="str">
            <v>2.1.8 – Despesas Gerais</v>
          </cell>
          <cell r="I596" t="str">
            <v>-</v>
          </cell>
          <cell r="N596" t="str">
            <v>Pago</v>
          </cell>
          <cell r="O596">
            <v>-220</v>
          </cell>
        </row>
        <row r="597">
          <cell r="E597" t="str">
            <v>2.3.4 – Internet Rural</v>
          </cell>
          <cell r="I597" t="str">
            <v>-</v>
          </cell>
          <cell r="N597" t="str">
            <v>Pago</v>
          </cell>
          <cell r="O597">
            <v>-235.52</v>
          </cell>
        </row>
        <row r="598">
          <cell r="E598" t="str">
            <v>2.7.2 – Obras e Melhorias (infraestrutura)</v>
          </cell>
          <cell r="I598" t="str">
            <v>OUTRAS</v>
          </cell>
          <cell r="N598" t="str">
            <v>Pago</v>
          </cell>
          <cell r="O598">
            <v>-1168.96</v>
          </cell>
        </row>
        <row r="599">
          <cell r="E599" t="str">
            <v>1.8.1 – Cooperativa Sicredi</v>
          </cell>
          <cell r="I599" t="str">
            <v>-</v>
          </cell>
          <cell r="N599" t="str">
            <v>Resgatado</v>
          </cell>
          <cell r="O599">
            <v>6225</v>
          </cell>
        </row>
        <row r="600">
          <cell r="E600" t="str">
            <v>2.7.2 – Obras e Melhorias (infraestrutura)</v>
          </cell>
          <cell r="I600" t="str">
            <v>OUTRAS</v>
          </cell>
          <cell r="N600" t="str">
            <v>Pago</v>
          </cell>
          <cell r="O600">
            <v>-6225</v>
          </cell>
        </row>
        <row r="601">
          <cell r="E601" t="str">
            <v>2.3.6 – Produtos e Peças</v>
          </cell>
          <cell r="I601" t="str">
            <v>-</v>
          </cell>
          <cell r="N601" t="str">
            <v>Pago</v>
          </cell>
          <cell r="O601">
            <v>-184.87</v>
          </cell>
        </row>
        <row r="602">
          <cell r="E602" t="str">
            <v>2.3.1 – Manutenção de Benfeitorias</v>
          </cell>
          <cell r="I602" t="str">
            <v>-</v>
          </cell>
          <cell r="N602" t="str">
            <v>Pago</v>
          </cell>
          <cell r="O602">
            <v>-777.75</v>
          </cell>
        </row>
        <row r="603">
          <cell r="E603" t="str">
            <v>1.8.1 – Cooperativa Sicredi</v>
          </cell>
          <cell r="I603" t="str">
            <v>-</v>
          </cell>
          <cell r="N603" t="str">
            <v>Resgatado</v>
          </cell>
          <cell r="O603">
            <v>19298.689999999999</v>
          </cell>
        </row>
        <row r="604">
          <cell r="E604" t="str">
            <v>1.8.1 – Cooperativa Sicredi</v>
          </cell>
          <cell r="I604" t="str">
            <v>-</v>
          </cell>
          <cell r="N604" t="str">
            <v>Resgatado</v>
          </cell>
          <cell r="O604">
            <v>1465.63</v>
          </cell>
        </row>
        <row r="605">
          <cell r="E605" t="str">
            <v>1.8.1 – Cooperativa Sicredi</v>
          </cell>
          <cell r="I605" t="str">
            <v>-</v>
          </cell>
          <cell r="N605" t="str">
            <v>Resgatado</v>
          </cell>
          <cell r="O605">
            <v>70658</v>
          </cell>
        </row>
        <row r="606">
          <cell r="E606" t="str">
            <v>1.8.1 – Cooperativa Sicredi</v>
          </cell>
          <cell r="I606" t="str">
            <v>-</v>
          </cell>
          <cell r="N606" t="str">
            <v>Resgatado</v>
          </cell>
          <cell r="O606">
            <v>4176.9799999999996</v>
          </cell>
        </row>
        <row r="607">
          <cell r="E607" t="str">
            <v>2.3.6 – Produtos e Peças</v>
          </cell>
          <cell r="I607" t="str">
            <v>-</v>
          </cell>
          <cell r="N607" t="str">
            <v>Pago</v>
          </cell>
          <cell r="O607">
            <v>-140.83000000000001</v>
          </cell>
        </row>
        <row r="608">
          <cell r="E608" t="str">
            <v>2.3.6 – Produtos e Peças</v>
          </cell>
          <cell r="I608" t="str">
            <v>-</v>
          </cell>
          <cell r="N608" t="str">
            <v>Pago</v>
          </cell>
          <cell r="O608">
            <v>-260.58999999999997</v>
          </cell>
        </row>
        <row r="609">
          <cell r="E609" t="str">
            <v>2.7.2 – Obras e Melhorias (infraestrutura)</v>
          </cell>
          <cell r="I609" t="str">
            <v>MEDIÇÃO 02</v>
          </cell>
          <cell r="N609" t="str">
            <v>Pago</v>
          </cell>
          <cell r="O609">
            <v>-19298.689999999999</v>
          </cell>
        </row>
        <row r="610">
          <cell r="E610" t="str">
            <v>2.2.2 – Encargos Sociais (INSS, FGTS, etc.)</v>
          </cell>
          <cell r="I610" t="str">
            <v>-</v>
          </cell>
          <cell r="N610" t="str">
            <v>Pago</v>
          </cell>
          <cell r="O610">
            <v>-1844.58</v>
          </cell>
        </row>
        <row r="611">
          <cell r="E611" t="str">
            <v>1.9.1 – Diversos</v>
          </cell>
          <cell r="I611" t="str">
            <v>-</v>
          </cell>
          <cell r="N611" t="str">
            <v>Recebido</v>
          </cell>
          <cell r="O611">
            <v>19298.689999999999</v>
          </cell>
        </row>
        <row r="612">
          <cell r="E612" t="str">
            <v>2.3.9 – Alimentação Animal</v>
          </cell>
          <cell r="I612" t="str">
            <v>-</v>
          </cell>
          <cell r="N612" t="str">
            <v>Pago</v>
          </cell>
          <cell r="O612">
            <v>-850</v>
          </cell>
        </row>
        <row r="613">
          <cell r="E613" t="str">
            <v>2.9.3 – Outras Despesas Não Classificadas</v>
          </cell>
          <cell r="I613" t="str">
            <v>-</v>
          </cell>
          <cell r="N613" t="str">
            <v>Pago</v>
          </cell>
          <cell r="O613">
            <v>-19298.689999999999</v>
          </cell>
        </row>
        <row r="614">
          <cell r="E614" t="str">
            <v>2.7.2 – Obras e Melhorias (infraestrutura)</v>
          </cell>
          <cell r="I614" t="str">
            <v>OUTRAS</v>
          </cell>
          <cell r="N614" t="str">
            <v>Pago</v>
          </cell>
          <cell r="O614">
            <v>-1465.63</v>
          </cell>
        </row>
        <row r="615">
          <cell r="E615" t="str">
            <v>2.7.2 – Obras e Melhorias (infraestrutura)</v>
          </cell>
          <cell r="I615" t="str">
            <v>MEDIÇÃO 03</v>
          </cell>
          <cell r="N615" t="str">
            <v>Pago</v>
          </cell>
          <cell r="O615">
            <v>-70658.009999999995</v>
          </cell>
        </row>
        <row r="616">
          <cell r="E616" t="str">
            <v>2.2.2 – Encargos Sociais (INSS, FGTS, etc.)</v>
          </cell>
          <cell r="I616" t="str">
            <v>-</v>
          </cell>
          <cell r="N616" t="str">
            <v>Pago</v>
          </cell>
          <cell r="O616">
            <v>-400</v>
          </cell>
        </row>
        <row r="617">
          <cell r="E617" t="str">
            <v>2.7.2 – Obras e Melhorias (infraestrutura)</v>
          </cell>
          <cell r="I617" t="str">
            <v>ORDEM DE COMPRA</v>
          </cell>
          <cell r="N617" t="str">
            <v>Pago</v>
          </cell>
          <cell r="O617">
            <v>-4176.9799999999996</v>
          </cell>
        </row>
        <row r="618">
          <cell r="E618" t="str">
            <v>2.5.2 – Tarifas Bancárias</v>
          </cell>
          <cell r="I618" t="str">
            <v>-</v>
          </cell>
          <cell r="N618" t="str">
            <v>Pago</v>
          </cell>
          <cell r="O618">
            <v>-50</v>
          </cell>
        </row>
        <row r="619">
          <cell r="E619" t="str">
            <v>2.8.1 – Distribuição de Lucros</v>
          </cell>
          <cell r="I619" t="str">
            <v>-</v>
          </cell>
          <cell r="N619" t="str">
            <v>Repassado</v>
          </cell>
          <cell r="O619">
            <v>-5798.61</v>
          </cell>
        </row>
        <row r="620">
          <cell r="E620" t="str">
            <v>1.8.1 – Cooperativa Sicredi</v>
          </cell>
          <cell r="I620" t="str">
            <v>-</v>
          </cell>
          <cell r="N620" t="str">
            <v>Resgatado</v>
          </cell>
          <cell r="O620">
            <v>14148.47</v>
          </cell>
        </row>
        <row r="621">
          <cell r="E621" t="str">
            <v>1.8.1 – Cooperativa Sicredi</v>
          </cell>
          <cell r="I621" t="str">
            <v>-</v>
          </cell>
          <cell r="N621" t="str">
            <v>Resgatado</v>
          </cell>
          <cell r="O621">
            <v>26335.45</v>
          </cell>
        </row>
        <row r="622">
          <cell r="E622" t="str">
            <v>1.8.1 – Cooperativa Sicredi</v>
          </cell>
          <cell r="I622" t="str">
            <v>-</v>
          </cell>
          <cell r="N622" t="str">
            <v>Resgatado</v>
          </cell>
          <cell r="O622">
            <v>400</v>
          </cell>
        </row>
        <row r="623">
          <cell r="E623" t="str">
            <v>2.1.1 – Honorários Contábeis</v>
          </cell>
          <cell r="I623" t="str">
            <v>-</v>
          </cell>
          <cell r="N623" t="str">
            <v>Pago</v>
          </cell>
          <cell r="O623">
            <v>-2287</v>
          </cell>
        </row>
        <row r="624">
          <cell r="E624" t="str">
            <v>2.3.7 – Peças para Veículos e Máquinas</v>
          </cell>
          <cell r="I624" t="str">
            <v>-</v>
          </cell>
          <cell r="N624" t="str">
            <v>Pago</v>
          </cell>
          <cell r="O624">
            <v>-200</v>
          </cell>
        </row>
        <row r="625">
          <cell r="E625" t="str">
            <v>2.8.3 – Pagamentos Pessoais (não operacionais)</v>
          </cell>
          <cell r="I625" t="str">
            <v>-</v>
          </cell>
          <cell r="N625" t="str">
            <v>Pago</v>
          </cell>
          <cell r="O625">
            <v>-8489.33</v>
          </cell>
        </row>
        <row r="626">
          <cell r="E626" t="str">
            <v>2.2.1 – Salários e Remunerações</v>
          </cell>
          <cell r="I626" t="str">
            <v>-</v>
          </cell>
          <cell r="N626" t="str">
            <v>Pago</v>
          </cell>
          <cell r="O626">
            <v>-2500</v>
          </cell>
        </row>
        <row r="627">
          <cell r="E627" t="str">
            <v>2.7.2 – Obras e Melhorias (infraestrutura)</v>
          </cell>
          <cell r="I627" t="str">
            <v>ORDEM DE COMPRA</v>
          </cell>
          <cell r="N627" t="str">
            <v>Pago</v>
          </cell>
          <cell r="O627">
            <v>-400</v>
          </cell>
        </row>
        <row r="628">
          <cell r="E628" t="str">
            <v>2.7.2 – Obras e Melhorias (infraestrutura)</v>
          </cell>
          <cell r="I628" t="str">
            <v>ORDEM DE COMPRA</v>
          </cell>
          <cell r="N628" t="str">
            <v>Pago</v>
          </cell>
          <cell r="O628">
            <v>-26335.45</v>
          </cell>
        </row>
        <row r="629">
          <cell r="E629" t="str">
            <v>2.7.2 – Obras e Melhorias (infraestrutura)</v>
          </cell>
          <cell r="I629" t="str">
            <v>ORDEM DE COMPRA</v>
          </cell>
          <cell r="N629" t="str">
            <v>Pago</v>
          </cell>
          <cell r="O629">
            <v>-14148.47</v>
          </cell>
        </row>
        <row r="630">
          <cell r="E630" t="str">
            <v>2.2.3 – Benefícios (vale, alimentação, etc.)</v>
          </cell>
          <cell r="I630" t="str">
            <v>-</v>
          </cell>
          <cell r="N630" t="str">
            <v>Pago</v>
          </cell>
          <cell r="O630">
            <v>-180</v>
          </cell>
        </row>
        <row r="631">
          <cell r="E631" t="str">
            <v>2.2.3 – Benefícios (vale, alimentação, etc.)</v>
          </cell>
          <cell r="I631" t="str">
            <v>-</v>
          </cell>
          <cell r="N631" t="str">
            <v>Pago</v>
          </cell>
          <cell r="O631">
            <v>-310</v>
          </cell>
        </row>
        <row r="632">
          <cell r="E632" t="str">
            <v>2.7.2 – Obras e Melhorias (infraestrutura)</v>
          </cell>
          <cell r="I632" t="str">
            <v>OUTRAS</v>
          </cell>
          <cell r="N632" t="str">
            <v>Pago</v>
          </cell>
          <cell r="O632">
            <v>-1962.5</v>
          </cell>
        </row>
        <row r="633">
          <cell r="E633" t="str">
            <v>1.8.1 – Cooperativa Sicredi</v>
          </cell>
          <cell r="I633" t="str">
            <v>-</v>
          </cell>
          <cell r="N633" t="str">
            <v>Resgatado</v>
          </cell>
          <cell r="O633">
            <v>1962.5</v>
          </cell>
        </row>
        <row r="634">
          <cell r="E634" t="str">
            <v>1.8.1 – Cooperativa Sicredi</v>
          </cell>
          <cell r="I634" t="str">
            <v>-</v>
          </cell>
          <cell r="N634" t="str">
            <v>Resgatado</v>
          </cell>
          <cell r="O634">
            <v>411.1</v>
          </cell>
        </row>
        <row r="635">
          <cell r="E635" t="str">
            <v>1.8.1 – Cooperativa Sicredi</v>
          </cell>
          <cell r="I635" t="str">
            <v>-</v>
          </cell>
          <cell r="N635" t="str">
            <v>Resgatado</v>
          </cell>
          <cell r="O635">
            <v>12200</v>
          </cell>
        </row>
        <row r="636">
          <cell r="E636" t="str">
            <v>2.7.2 – Obras e Melhorias (infraestrutura)</v>
          </cell>
          <cell r="I636" t="str">
            <v>OUTRAS</v>
          </cell>
          <cell r="N636" t="str">
            <v>Pago</v>
          </cell>
          <cell r="O636">
            <v>-12200</v>
          </cell>
        </row>
        <row r="637">
          <cell r="E637" t="str">
            <v>2.7.2 – Obras e Melhorias (infraestrutura)</v>
          </cell>
          <cell r="I637" t="str">
            <v>OUTRAS</v>
          </cell>
          <cell r="N637" t="str">
            <v>Pago</v>
          </cell>
          <cell r="O637">
            <v>-411.1</v>
          </cell>
        </row>
        <row r="638">
          <cell r="E638" t="str">
            <v>1.8.1 – Cooperativa Sicredi</v>
          </cell>
          <cell r="I638" t="str">
            <v>-</v>
          </cell>
          <cell r="N638" t="str">
            <v>Resgatado</v>
          </cell>
          <cell r="O638">
            <v>697.79</v>
          </cell>
        </row>
        <row r="639">
          <cell r="E639" t="str">
            <v>2.7.2 – Obras e Melhorias (infraestrutura)</v>
          </cell>
          <cell r="I639" t="str">
            <v>ORDEM DE COMPRA</v>
          </cell>
          <cell r="N639" t="str">
            <v>Pago</v>
          </cell>
          <cell r="O639">
            <v>-190</v>
          </cell>
        </row>
        <row r="640">
          <cell r="E640" t="str">
            <v>2.8.1 – Distribuição de Lucros</v>
          </cell>
          <cell r="I640" t="str">
            <v>-</v>
          </cell>
          <cell r="N640" t="str">
            <v>Repassado</v>
          </cell>
          <cell r="O640">
            <v>-90977.59</v>
          </cell>
        </row>
        <row r="641">
          <cell r="E641" t="str">
            <v>2.3.7 – Peças para Veículos e Máquinas</v>
          </cell>
          <cell r="I641" t="str">
            <v>-</v>
          </cell>
          <cell r="N641" t="str">
            <v>Pago</v>
          </cell>
          <cell r="O641">
            <v>-430</v>
          </cell>
        </row>
        <row r="642">
          <cell r="E642" t="str">
            <v>2.3.6 – Produtos e Peças</v>
          </cell>
          <cell r="I642" t="str">
            <v>-</v>
          </cell>
          <cell r="N642" t="str">
            <v>Pago</v>
          </cell>
          <cell r="O642">
            <v>-1466</v>
          </cell>
        </row>
        <row r="643">
          <cell r="E643" t="str">
            <v>1.8.1 – Cooperativa Sicredi</v>
          </cell>
          <cell r="I643" t="str">
            <v>-</v>
          </cell>
          <cell r="N643" t="str">
            <v>Resgatado</v>
          </cell>
          <cell r="O643">
            <v>3200</v>
          </cell>
        </row>
        <row r="644">
          <cell r="E644" t="str">
            <v>2.7.2 – Obras e Melhorias (infraestrutura)</v>
          </cell>
          <cell r="I644" t="str">
            <v>OUTRAS</v>
          </cell>
          <cell r="N644" t="str">
            <v>Pago</v>
          </cell>
          <cell r="O644">
            <v>-3200</v>
          </cell>
        </row>
        <row r="645">
          <cell r="E645" t="str">
            <v>2.2.3 – Benefícios (vale, alimentação, etc.)</v>
          </cell>
          <cell r="I645" t="str">
            <v>-</v>
          </cell>
          <cell r="N645" t="str">
            <v>Pago</v>
          </cell>
          <cell r="O645">
            <v>-700</v>
          </cell>
        </row>
        <row r="646">
          <cell r="E646" t="str">
            <v>2.7.2 – Obras e Melhorias (infraestrutura)</v>
          </cell>
          <cell r="I646" t="str">
            <v>OUTRAS</v>
          </cell>
          <cell r="N646" t="str">
            <v>Pago</v>
          </cell>
          <cell r="O646">
            <v>-160</v>
          </cell>
        </row>
        <row r="647">
          <cell r="E647" t="str">
            <v>1.8.1 – Cooperativa Sicredi</v>
          </cell>
          <cell r="I647" t="str">
            <v>-</v>
          </cell>
          <cell r="N647" t="str">
            <v>Resgatado</v>
          </cell>
          <cell r="O647">
            <v>3700</v>
          </cell>
        </row>
        <row r="648">
          <cell r="E648" t="str">
            <v>1.8.1 – Cooperativa Sicredi</v>
          </cell>
          <cell r="I648" t="str">
            <v>-</v>
          </cell>
          <cell r="N648" t="str">
            <v>Resgatado</v>
          </cell>
          <cell r="O648">
            <v>160</v>
          </cell>
        </row>
        <row r="649">
          <cell r="E649" t="str">
            <v>2.7.2 – Obras e Melhorias (infraestrutura)</v>
          </cell>
          <cell r="I649" t="str">
            <v>OUTRAS</v>
          </cell>
          <cell r="N649" t="str">
            <v>Pago</v>
          </cell>
          <cell r="O649">
            <v>-6425</v>
          </cell>
        </row>
        <row r="650">
          <cell r="E650" t="str">
            <v>1.8.1 – Cooperativa Sicredi</v>
          </cell>
          <cell r="I650" t="str">
            <v>-</v>
          </cell>
          <cell r="N650" t="str">
            <v>Resgatado</v>
          </cell>
          <cell r="O650">
            <v>5025</v>
          </cell>
        </row>
        <row r="651">
          <cell r="E651" t="str">
            <v>2.8.1 – Distribuição de Lucros</v>
          </cell>
          <cell r="I651" t="str">
            <v>-</v>
          </cell>
          <cell r="N651" t="str">
            <v>Repassado</v>
          </cell>
          <cell r="O651">
            <v>-1071.1400000000001</v>
          </cell>
        </row>
        <row r="652">
          <cell r="E652" t="str">
            <v>2.3.9 – Alimentação Animal</v>
          </cell>
          <cell r="I652" t="str">
            <v>-</v>
          </cell>
          <cell r="N652" t="str">
            <v>Pago</v>
          </cell>
          <cell r="O652">
            <v>-586.89</v>
          </cell>
        </row>
        <row r="653">
          <cell r="E653" t="str">
            <v>2.1.1 – Honorários Contábeis</v>
          </cell>
          <cell r="I653" t="str">
            <v>-</v>
          </cell>
          <cell r="N653" t="str">
            <v>Pago</v>
          </cell>
          <cell r="O653">
            <v>-4574</v>
          </cell>
        </row>
        <row r="654">
          <cell r="E654" t="str">
            <v>2.3.6 – Produtos e Peças</v>
          </cell>
          <cell r="I654" t="str">
            <v>-</v>
          </cell>
          <cell r="N654" t="str">
            <v>Pago</v>
          </cell>
          <cell r="O654">
            <v>-180.58</v>
          </cell>
        </row>
        <row r="655">
          <cell r="E655" t="str">
            <v>2.2.1 – Salários e Remunerações</v>
          </cell>
          <cell r="I655" t="str">
            <v>-</v>
          </cell>
          <cell r="N655" t="str">
            <v>Pago</v>
          </cell>
          <cell r="O655">
            <v>-4198.22</v>
          </cell>
        </row>
        <row r="656">
          <cell r="E656" t="str">
            <v>1.8.1 – Cooperativa Sicredi</v>
          </cell>
          <cell r="I656" t="str">
            <v>-</v>
          </cell>
          <cell r="N656" t="str">
            <v>Resgatado</v>
          </cell>
          <cell r="O656">
            <v>1400</v>
          </cell>
        </row>
        <row r="657">
          <cell r="E657" t="str">
            <v>2.7.2 – Obras e Melhorias (infraestrutura)</v>
          </cell>
          <cell r="I657" t="str">
            <v>OUTRAS</v>
          </cell>
          <cell r="N657" t="str">
            <v>Pago</v>
          </cell>
          <cell r="O657">
            <v>-129</v>
          </cell>
        </row>
        <row r="658">
          <cell r="E658" t="str">
            <v>2.7.2 – Obras e Melhorias (infraestrutura)</v>
          </cell>
          <cell r="I658" t="str">
            <v>OUTRAS</v>
          </cell>
          <cell r="N658" t="str">
            <v>Pago</v>
          </cell>
          <cell r="O658">
            <v>-3700</v>
          </cell>
        </row>
        <row r="659">
          <cell r="E659" t="str">
            <v>2.5.2 – Tarifas Bancárias</v>
          </cell>
          <cell r="I659" t="str">
            <v>-</v>
          </cell>
          <cell r="N659" t="str">
            <v>Pago</v>
          </cell>
          <cell r="O659">
            <v>-63.25</v>
          </cell>
        </row>
        <row r="660">
          <cell r="E660" t="str">
            <v>1.8.1 – Cooperativa Sicredi</v>
          </cell>
          <cell r="I660" t="str">
            <v>-</v>
          </cell>
          <cell r="N660" t="str">
            <v>Resgatado</v>
          </cell>
          <cell r="O660">
            <v>13000</v>
          </cell>
        </row>
        <row r="661">
          <cell r="E661" t="str">
            <v>1.8.1 – Cooperativa Sicredi</v>
          </cell>
          <cell r="I661" t="str">
            <v>-</v>
          </cell>
          <cell r="N661" t="str">
            <v>Resgatado</v>
          </cell>
          <cell r="O661">
            <v>3765.34</v>
          </cell>
        </row>
        <row r="662">
          <cell r="E662" t="str">
            <v>2.7.2 – Obras e Melhorias (infraestrutura)</v>
          </cell>
          <cell r="I662" t="str">
            <v>OUTRAS</v>
          </cell>
          <cell r="N662" t="str">
            <v>Pago</v>
          </cell>
          <cell r="O662">
            <v>-13000</v>
          </cell>
        </row>
        <row r="663">
          <cell r="E663" t="str">
            <v>2.7.2 – Obras e Melhorias (infraestrutura)</v>
          </cell>
          <cell r="I663" t="str">
            <v>ORDEM DE COMPRA</v>
          </cell>
          <cell r="N663" t="str">
            <v>Pago</v>
          </cell>
          <cell r="O663">
            <v>-127</v>
          </cell>
        </row>
        <row r="664">
          <cell r="E664" t="str">
            <v>2.3.7 – Peças para Veículos e Máquinas</v>
          </cell>
          <cell r="I664" t="str">
            <v>-</v>
          </cell>
          <cell r="N664" t="str">
            <v>Pago</v>
          </cell>
          <cell r="O664">
            <v>-157</v>
          </cell>
        </row>
        <row r="665">
          <cell r="E665" t="str">
            <v>2.3.10 – Sanidade Animal</v>
          </cell>
          <cell r="I665" t="str">
            <v>-</v>
          </cell>
          <cell r="N665" t="str">
            <v>Pago</v>
          </cell>
          <cell r="O665">
            <v>-167</v>
          </cell>
        </row>
        <row r="666">
          <cell r="E666" t="str">
            <v>2.7.2 – Obras e Melhorias (infraestrutura)</v>
          </cell>
          <cell r="I666" t="str">
            <v>OUTRAS</v>
          </cell>
          <cell r="N666" t="str">
            <v>Pago</v>
          </cell>
          <cell r="O666">
            <v>-3765.34</v>
          </cell>
        </row>
        <row r="667">
          <cell r="E667" t="str">
            <v>2.7.2 – Obras e Melhorias (infraestrutura)</v>
          </cell>
          <cell r="I667" t="str">
            <v>OUTRAS</v>
          </cell>
          <cell r="N667" t="str">
            <v>Pago</v>
          </cell>
          <cell r="O667">
            <v>-141.57</v>
          </cell>
        </row>
        <row r="668">
          <cell r="E668" t="str">
            <v>2.1.8 – Despesas Gerais</v>
          </cell>
          <cell r="I668" t="str">
            <v>-</v>
          </cell>
          <cell r="N668" t="str">
            <v>Pago</v>
          </cell>
          <cell r="O668">
            <v>-10000</v>
          </cell>
        </row>
        <row r="669">
          <cell r="E669" t="str">
            <v>1.9.1 – Diversos</v>
          </cell>
          <cell r="I669" t="str">
            <v>-</v>
          </cell>
          <cell r="N669" t="str">
            <v>Recebido</v>
          </cell>
          <cell r="O669">
            <v>10000</v>
          </cell>
        </row>
        <row r="670">
          <cell r="E670" t="str">
            <v>2.6.1 – Aplicações Financeiras</v>
          </cell>
          <cell r="I670" t="str">
            <v>-</v>
          </cell>
          <cell r="N670" t="str">
            <v>Aplicado</v>
          </cell>
          <cell r="O670">
            <v>-10000</v>
          </cell>
        </row>
        <row r="671">
          <cell r="E671" t="str">
            <v>1.8.1 – Cooperativa Sicredi</v>
          </cell>
          <cell r="I671" t="str">
            <v>-</v>
          </cell>
          <cell r="N671" t="str">
            <v>Resgatado</v>
          </cell>
          <cell r="O671">
            <v>4205.83</v>
          </cell>
        </row>
        <row r="672">
          <cell r="E672" t="str">
            <v>2.5.2 – Tarifas Bancárias</v>
          </cell>
          <cell r="I672" t="str">
            <v>-</v>
          </cell>
          <cell r="N672" t="str">
            <v>Pago</v>
          </cell>
          <cell r="O672">
            <v>-10</v>
          </cell>
        </row>
        <row r="673">
          <cell r="E673" t="str">
            <v>1.8.1 – Cooperativa Sicredi</v>
          </cell>
          <cell r="I673" t="str">
            <v>-</v>
          </cell>
          <cell r="N673" t="str">
            <v>Resgatado</v>
          </cell>
          <cell r="O673">
            <v>9800</v>
          </cell>
        </row>
        <row r="674">
          <cell r="E674" t="str">
            <v>2.7.2 – Obras e Melhorias (infraestrutura)</v>
          </cell>
          <cell r="I674" t="str">
            <v>OUTRAS</v>
          </cell>
          <cell r="N674" t="str">
            <v>Pago</v>
          </cell>
          <cell r="O674">
            <v>-68.62</v>
          </cell>
        </row>
        <row r="675">
          <cell r="E675" t="str">
            <v>1.9.1 – Diversos</v>
          </cell>
          <cell r="I675" t="str">
            <v>-</v>
          </cell>
          <cell r="N675" t="str">
            <v>Recebido</v>
          </cell>
          <cell r="O675">
            <v>180000</v>
          </cell>
        </row>
        <row r="676">
          <cell r="E676" t="str">
            <v>1.8.1 – Cooperativa Sicredi</v>
          </cell>
          <cell r="I676" t="str">
            <v>-</v>
          </cell>
          <cell r="N676" t="str">
            <v>Resgatado</v>
          </cell>
          <cell r="O676">
            <v>68.62</v>
          </cell>
        </row>
        <row r="677">
          <cell r="E677" t="str">
            <v>1.8.1 – Cooperativa Sicredi</v>
          </cell>
          <cell r="I677" t="str">
            <v>-</v>
          </cell>
          <cell r="N677" t="str">
            <v>Resgatado</v>
          </cell>
          <cell r="O677">
            <v>100000</v>
          </cell>
        </row>
        <row r="678">
          <cell r="E678" t="str">
            <v>2.7.2 – Obras e Melhorias (infraestrutura)</v>
          </cell>
          <cell r="I678" t="str">
            <v>MEDIÇÃO 04</v>
          </cell>
          <cell r="N678" t="str">
            <v>Pago</v>
          </cell>
          <cell r="O678">
            <v>-100000.02</v>
          </cell>
        </row>
        <row r="679">
          <cell r="E679" t="str">
            <v>2.3.5 – Combustíveis e Lubrificantes</v>
          </cell>
          <cell r="I679" t="str">
            <v>-</v>
          </cell>
          <cell r="N679" t="str">
            <v>Pago</v>
          </cell>
          <cell r="O679">
            <v>-70</v>
          </cell>
        </row>
        <row r="680">
          <cell r="E680" t="str">
            <v>2.8.1 – Distribuição de Lucros</v>
          </cell>
          <cell r="I680" t="str">
            <v>-</v>
          </cell>
          <cell r="N680" t="str">
            <v>Repassado</v>
          </cell>
          <cell r="O680">
            <v>-841.32</v>
          </cell>
        </row>
        <row r="681">
          <cell r="E681" t="str">
            <v>2.6.1 – Aplicações Financeiras</v>
          </cell>
          <cell r="I681" t="str">
            <v>-</v>
          </cell>
          <cell r="N681" t="str">
            <v>Aplicado</v>
          </cell>
          <cell r="O681">
            <v>-180000</v>
          </cell>
        </row>
        <row r="682">
          <cell r="E682" t="str">
            <v>2.5.2 – Tarifas Bancárias</v>
          </cell>
          <cell r="I682" t="str">
            <v>-</v>
          </cell>
          <cell r="N682" t="str">
            <v>Pago</v>
          </cell>
          <cell r="O682">
            <v>-56.5</v>
          </cell>
        </row>
        <row r="683">
          <cell r="E683" t="str">
            <v>2.1.3 – Despesas com Aluguel</v>
          </cell>
          <cell r="I683" t="str">
            <v>-</v>
          </cell>
          <cell r="N683" t="str">
            <v>Pago</v>
          </cell>
          <cell r="O683">
            <v>-1974</v>
          </cell>
        </row>
        <row r="684">
          <cell r="E684" t="str">
            <v>2.4.7 – Serviços Diversos</v>
          </cell>
          <cell r="I684" t="str">
            <v>-</v>
          </cell>
          <cell r="N684" t="str">
            <v>Pago</v>
          </cell>
          <cell r="O684">
            <v>-70</v>
          </cell>
        </row>
        <row r="685">
          <cell r="E685" t="str">
            <v>2.7.2 – Obras e Melhorias (infraestrutura)</v>
          </cell>
          <cell r="I685" t="str">
            <v>OUTRAS</v>
          </cell>
          <cell r="N685" t="str">
            <v>Pago</v>
          </cell>
          <cell r="O685">
            <v>-9800</v>
          </cell>
        </row>
        <row r="686">
          <cell r="E686" t="str">
            <v>2.7.2 – Obras e Melhorias (infraestrutura)</v>
          </cell>
          <cell r="I686" t="str">
            <v>MEDIÇÃO 03</v>
          </cell>
          <cell r="N686" t="str">
            <v>Pago</v>
          </cell>
          <cell r="O686">
            <v>-4205.83</v>
          </cell>
        </row>
        <row r="687">
          <cell r="E687" t="str">
            <v>1.8.1 – Cooperativa Sicredi</v>
          </cell>
          <cell r="I687" t="str">
            <v>-</v>
          </cell>
          <cell r="N687" t="str">
            <v>Resgatado</v>
          </cell>
          <cell r="O687">
            <v>1797.42</v>
          </cell>
        </row>
        <row r="688">
          <cell r="E688" t="str">
            <v>2.7.2 – Obras e Melhorias (infraestrutura)</v>
          </cell>
          <cell r="I688" t="str">
            <v>OUTRAS</v>
          </cell>
          <cell r="N688" t="str">
            <v>Pago</v>
          </cell>
          <cell r="O688">
            <v>-1426.4</v>
          </cell>
        </row>
        <row r="689">
          <cell r="E689" t="str">
            <v>1.8.1 – Cooperativa Sicredi</v>
          </cell>
          <cell r="I689" t="str">
            <v>-</v>
          </cell>
          <cell r="N689" t="str">
            <v>Resgatado</v>
          </cell>
          <cell r="O689">
            <v>1426.4</v>
          </cell>
        </row>
        <row r="690">
          <cell r="E690" t="str">
            <v>2.3.6 – Produtos e Peças</v>
          </cell>
          <cell r="I690" t="str">
            <v>-</v>
          </cell>
          <cell r="N690" t="str">
            <v>Pago</v>
          </cell>
          <cell r="O690">
            <v>-57</v>
          </cell>
        </row>
        <row r="691">
          <cell r="E691" t="str">
            <v>2.8.1 – Distribuição de Lucros</v>
          </cell>
          <cell r="I691" t="str">
            <v>-</v>
          </cell>
          <cell r="N691" t="str">
            <v>Repassado</v>
          </cell>
          <cell r="O691">
            <v>-100</v>
          </cell>
        </row>
        <row r="692">
          <cell r="E692" t="str">
            <v>2.6.1 – Aplicações Financeiras</v>
          </cell>
          <cell r="I692" t="str">
            <v>-</v>
          </cell>
          <cell r="N692" t="str">
            <v>Aplicado</v>
          </cell>
          <cell r="O692">
            <v>-180000</v>
          </cell>
        </row>
        <row r="693">
          <cell r="E693" t="str">
            <v>1.8.1 – Cooperativa Sicredi</v>
          </cell>
          <cell r="I693" t="str">
            <v>-</v>
          </cell>
          <cell r="N693" t="str">
            <v>Resgatado</v>
          </cell>
          <cell r="O693">
            <v>180000</v>
          </cell>
        </row>
        <row r="694">
          <cell r="E694" t="str">
            <v>2.3.6 – Produtos e Peças</v>
          </cell>
          <cell r="I694" t="str">
            <v>-</v>
          </cell>
          <cell r="N694" t="str">
            <v>Pago</v>
          </cell>
          <cell r="O694">
            <v>-1695</v>
          </cell>
        </row>
        <row r="695">
          <cell r="E695" t="str">
            <v>2.7.2 – Obras e Melhorias (infraestrutura)</v>
          </cell>
          <cell r="I695" t="str">
            <v>OUTRAS</v>
          </cell>
          <cell r="N695" t="str">
            <v>Pago</v>
          </cell>
          <cell r="O695">
            <v>-1797.42</v>
          </cell>
        </row>
        <row r="696">
          <cell r="E696" t="str">
            <v>2.3.7 – Peças para Veículos e Máquinas</v>
          </cell>
          <cell r="I696" t="str">
            <v>-</v>
          </cell>
          <cell r="N696" t="str">
            <v>Pago</v>
          </cell>
          <cell r="O696">
            <v>-300</v>
          </cell>
        </row>
        <row r="697">
          <cell r="E697" t="str">
            <v>2.7.2 – Obras e Melhorias (infraestrutura)</v>
          </cell>
          <cell r="I697" t="str">
            <v>OUTRAS</v>
          </cell>
          <cell r="N697" t="str">
            <v>Pago</v>
          </cell>
          <cell r="O697">
            <v>-110.2</v>
          </cell>
        </row>
        <row r="698">
          <cell r="E698" t="str">
            <v>2.3.5 – Combustíveis e Lubrificantes</v>
          </cell>
          <cell r="I698" t="str">
            <v>-</v>
          </cell>
          <cell r="N698" t="str">
            <v>Pago</v>
          </cell>
          <cell r="O698">
            <v>-765.94</v>
          </cell>
        </row>
        <row r="699">
          <cell r="E699" t="str">
            <v>2.1.8 – Despesas Gerais</v>
          </cell>
          <cell r="I699" t="str">
            <v>-</v>
          </cell>
          <cell r="N699" t="str">
            <v>Pago</v>
          </cell>
          <cell r="O699">
            <v>-24.16</v>
          </cell>
        </row>
        <row r="700">
          <cell r="E700" t="str">
            <v>2.1.8 – Despesas Gerais</v>
          </cell>
          <cell r="I700" t="str">
            <v>-</v>
          </cell>
          <cell r="N700" t="str">
            <v>Pago</v>
          </cell>
          <cell r="O700">
            <v>-398.91</v>
          </cell>
        </row>
        <row r="701">
          <cell r="E701" t="str">
            <v>2.3.4 – Internet Rural</v>
          </cell>
          <cell r="I701" t="str">
            <v>-</v>
          </cell>
          <cell r="N701" t="str">
            <v>Pago</v>
          </cell>
          <cell r="O701">
            <v>-235.52</v>
          </cell>
        </row>
        <row r="702">
          <cell r="E702" t="str">
            <v>2.1.1 – Honorários Contábeis</v>
          </cell>
          <cell r="I702" t="str">
            <v>-</v>
          </cell>
          <cell r="N702" t="str">
            <v>Pago</v>
          </cell>
          <cell r="O702">
            <v>-2287</v>
          </cell>
        </row>
        <row r="703">
          <cell r="E703" t="str">
            <v>1.8.1 – Cooperativa Sicredi</v>
          </cell>
          <cell r="I703" t="str">
            <v>-</v>
          </cell>
          <cell r="N703" t="str">
            <v>Resgatado</v>
          </cell>
          <cell r="O703">
            <v>804</v>
          </cell>
        </row>
        <row r="704">
          <cell r="E704" t="str">
            <v>2.7.2 – Obras e Melhorias (infraestrutura)</v>
          </cell>
          <cell r="I704" t="str">
            <v>ORDEM DE COMPRA</v>
          </cell>
          <cell r="N704" t="str">
            <v>Pago</v>
          </cell>
          <cell r="O704">
            <v>-804</v>
          </cell>
        </row>
        <row r="705">
          <cell r="E705" t="str">
            <v>1.9.1 – Diversos</v>
          </cell>
          <cell r="I705" t="str">
            <v>-</v>
          </cell>
          <cell r="N705" t="str">
            <v>Recebido</v>
          </cell>
          <cell r="O705">
            <v>119598.61</v>
          </cell>
        </row>
        <row r="706">
          <cell r="E706" t="str">
            <v>2.6.1 – Aplicações Financeiras</v>
          </cell>
          <cell r="I706" t="str">
            <v>-</v>
          </cell>
          <cell r="N706" t="str">
            <v>Aplicado</v>
          </cell>
          <cell r="O706">
            <v>-119598.61</v>
          </cell>
        </row>
        <row r="707">
          <cell r="E707" t="str">
            <v>2.9.3 – Outras Despesas Não Classificadas</v>
          </cell>
          <cell r="I707" t="str">
            <v>-</v>
          </cell>
          <cell r="N707" t="str">
            <v>Pago</v>
          </cell>
          <cell r="O707">
            <v>-156.5</v>
          </cell>
        </row>
        <row r="708">
          <cell r="E708" t="str">
            <v>1.9.1 – Diversos</v>
          </cell>
          <cell r="I708" t="str">
            <v>-</v>
          </cell>
          <cell r="N708" t="str">
            <v>Recebido</v>
          </cell>
          <cell r="O708">
            <v>156.5</v>
          </cell>
        </row>
        <row r="709">
          <cell r="E709" t="str">
            <v>2.8.1 – Distribuição de Lucros</v>
          </cell>
          <cell r="I709" t="str">
            <v>-</v>
          </cell>
          <cell r="N709" t="str">
            <v>Repassado</v>
          </cell>
          <cell r="O709">
            <v>-3194.1800000000003</v>
          </cell>
        </row>
        <row r="710">
          <cell r="E710" t="str">
            <v>2.3.6 – Produtos e Peças</v>
          </cell>
          <cell r="I710" t="str">
            <v>-</v>
          </cell>
          <cell r="N710" t="str">
            <v>Pago</v>
          </cell>
          <cell r="O710">
            <v>-184.86</v>
          </cell>
        </row>
        <row r="711">
          <cell r="E711" t="str">
            <v>2.3.1 – Manutenção de Benfeitorias</v>
          </cell>
          <cell r="I711" t="str">
            <v>-</v>
          </cell>
          <cell r="N711" t="str">
            <v>Pago</v>
          </cell>
          <cell r="O711">
            <v>-777.75</v>
          </cell>
        </row>
        <row r="712">
          <cell r="E712" t="str">
            <v>1.8.1 – Cooperativa Sicredi</v>
          </cell>
          <cell r="I712" t="str">
            <v>-</v>
          </cell>
          <cell r="N712" t="str">
            <v>Resgatado</v>
          </cell>
          <cell r="O712">
            <v>1962.5</v>
          </cell>
        </row>
        <row r="713">
          <cell r="E713" t="str">
            <v>1.8.1 – Cooperativa Sicredi</v>
          </cell>
          <cell r="I713" t="str">
            <v>-</v>
          </cell>
          <cell r="N713" t="str">
            <v>Resgatado</v>
          </cell>
          <cell r="O713">
            <v>1348.66</v>
          </cell>
        </row>
        <row r="714">
          <cell r="E714" t="str">
            <v>2.7.2 – Obras e Melhorias (infraestrutura)</v>
          </cell>
          <cell r="I714" t="str">
            <v>OUTRAS</v>
          </cell>
          <cell r="N714" t="str">
            <v>Pago</v>
          </cell>
          <cell r="O714">
            <v>-1700.41</v>
          </cell>
        </row>
        <row r="715">
          <cell r="E715" t="str">
            <v>1.8.1 – Cooperativa Sicredi</v>
          </cell>
          <cell r="I715" t="str">
            <v>-</v>
          </cell>
          <cell r="N715" t="str">
            <v>Resgatado</v>
          </cell>
          <cell r="O715">
            <v>26129.37</v>
          </cell>
        </row>
        <row r="716">
          <cell r="E716" t="str">
            <v>2.7.2 – Obras e Melhorias (infraestrutura)</v>
          </cell>
          <cell r="I716" t="str">
            <v>OUTRAS</v>
          </cell>
          <cell r="N716" t="str">
            <v>Pago</v>
          </cell>
          <cell r="O716">
            <v>-1962.5</v>
          </cell>
        </row>
        <row r="717">
          <cell r="E717" t="str">
            <v>2.3.6 – Produtos e Peças</v>
          </cell>
          <cell r="I717" t="str">
            <v>-</v>
          </cell>
          <cell r="N717" t="str">
            <v>Pago</v>
          </cell>
          <cell r="O717">
            <v>-450</v>
          </cell>
        </row>
        <row r="718">
          <cell r="E718" t="str">
            <v>2.7.2 – Obras e Melhorias (infraestrutura)</v>
          </cell>
          <cell r="I718" t="str">
            <v>OUTRAS</v>
          </cell>
          <cell r="N718" t="str">
            <v>Pago</v>
          </cell>
          <cell r="O718">
            <v>-1348.66</v>
          </cell>
        </row>
        <row r="719">
          <cell r="E719" t="str">
            <v>1.8.1 – Cooperativa Sicredi</v>
          </cell>
          <cell r="I719" t="str">
            <v>-</v>
          </cell>
          <cell r="N719" t="str">
            <v>Resgatado</v>
          </cell>
          <cell r="O719">
            <v>4176.9799999999996</v>
          </cell>
        </row>
        <row r="720">
          <cell r="E720" t="str">
            <v>1.8.1 – Cooperativa Sicredi</v>
          </cell>
          <cell r="I720" t="str">
            <v>-</v>
          </cell>
          <cell r="N720" t="str">
            <v>Resgatado</v>
          </cell>
          <cell r="O720">
            <v>7325</v>
          </cell>
        </row>
        <row r="721">
          <cell r="E721" t="str">
            <v>2.2.3 – Benefícios (vale, alimentação, etc.)</v>
          </cell>
          <cell r="I721" t="str">
            <v>-</v>
          </cell>
          <cell r="N721" t="str">
            <v>Pago</v>
          </cell>
          <cell r="O721">
            <v>-237.98</v>
          </cell>
        </row>
        <row r="722">
          <cell r="E722" t="str">
            <v>1.8.1 – Cooperativa Sicredi</v>
          </cell>
          <cell r="I722" t="str">
            <v>-</v>
          </cell>
          <cell r="N722" t="str">
            <v>Resgatado</v>
          </cell>
          <cell r="O722">
            <v>10463.459999999999</v>
          </cell>
        </row>
        <row r="723">
          <cell r="E723" t="str">
            <v>2.7.2 – Obras e Melhorias (infraestrutura)</v>
          </cell>
          <cell r="I723" t="str">
            <v>MEDIÇÃO 05</v>
          </cell>
          <cell r="N723" t="str">
            <v>Pago</v>
          </cell>
          <cell r="O723">
            <v>-26129.37</v>
          </cell>
        </row>
        <row r="724">
          <cell r="E724" t="str">
            <v>1.8.1 – Cooperativa Sicredi</v>
          </cell>
          <cell r="I724" t="str">
            <v>-</v>
          </cell>
          <cell r="N724" t="str">
            <v>Resgatado</v>
          </cell>
          <cell r="O724">
            <v>9252.83</v>
          </cell>
        </row>
        <row r="725">
          <cell r="E725" t="str">
            <v>2.2.1 – Salários e Remunerações</v>
          </cell>
          <cell r="I725" t="str">
            <v>-</v>
          </cell>
          <cell r="N725" t="str">
            <v>Pago</v>
          </cell>
          <cell r="O725">
            <v>-4198.22</v>
          </cell>
        </row>
        <row r="726">
          <cell r="E726" t="str">
            <v>1.9.1 – Diversos</v>
          </cell>
          <cell r="I726" t="str">
            <v>-</v>
          </cell>
          <cell r="N726" t="str">
            <v>Recebido</v>
          </cell>
          <cell r="O726">
            <v>9252.83</v>
          </cell>
        </row>
        <row r="727">
          <cell r="E727" t="str">
            <v>2.7.2 – Obras e Melhorias (infraestrutura)</v>
          </cell>
          <cell r="I727" t="str">
            <v>MEDIÇÃO 03</v>
          </cell>
          <cell r="N727" t="str">
            <v>Pago</v>
          </cell>
          <cell r="O727">
            <v>-9252.83</v>
          </cell>
        </row>
        <row r="728">
          <cell r="E728" t="str">
            <v>2.3.6 – Produtos e Peças</v>
          </cell>
          <cell r="I728" t="str">
            <v>-</v>
          </cell>
          <cell r="N728" t="str">
            <v>Pago</v>
          </cell>
          <cell r="O728">
            <v>-44.28</v>
          </cell>
        </row>
        <row r="729">
          <cell r="E729" t="str">
            <v>2.2.2 – Encargos Sociais (INSS, FGTS, etc.)</v>
          </cell>
          <cell r="I729" t="str">
            <v>-</v>
          </cell>
          <cell r="N729" t="str">
            <v>Pago</v>
          </cell>
          <cell r="O729">
            <v>-600</v>
          </cell>
        </row>
        <row r="730">
          <cell r="E730" t="str">
            <v>2.7.2 – Obras e Melhorias (infraestrutura)</v>
          </cell>
          <cell r="I730" t="str">
            <v>ORDEM DE COMPRA</v>
          </cell>
          <cell r="N730" t="str">
            <v>Pago</v>
          </cell>
          <cell r="O730">
            <v>-4176.9799999999996</v>
          </cell>
        </row>
        <row r="731">
          <cell r="E731" t="str">
            <v>2.9.3 – Outras Despesas Não Classificadas</v>
          </cell>
          <cell r="I731" t="str">
            <v>-</v>
          </cell>
          <cell r="N731" t="str">
            <v>Pago</v>
          </cell>
          <cell r="O731">
            <v>-9252.83</v>
          </cell>
        </row>
        <row r="732">
          <cell r="E732" t="str">
            <v>2.7.2 – Obras e Melhorias (infraestrutura)</v>
          </cell>
          <cell r="I732" t="str">
            <v>OUTRAS</v>
          </cell>
          <cell r="N732" t="str">
            <v>Pago</v>
          </cell>
          <cell r="O732">
            <v>-7325</v>
          </cell>
        </row>
        <row r="733">
          <cell r="E733" t="str">
            <v>2.2.1 – Salários e Remunerações</v>
          </cell>
          <cell r="I733" t="str">
            <v>-</v>
          </cell>
          <cell r="N733" t="str">
            <v>Pago</v>
          </cell>
          <cell r="O733">
            <v>-1698.2200000000003</v>
          </cell>
        </row>
        <row r="734">
          <cell r="E734" t="str">
            <v>2.7.2 – Obras e Melhorias (infraestrutura)</v>
          </cell>
          <cell r="I734" t="str">
            <v>OUTRAS</v>
          </cell>
          <cell r="N734" t="str">
            <v>Pago</v>
          </cell>
          <cell r="O734">
            <v>-4174.37</v>
          </cell>
        </row>
        <row r="735">
          <cell r="E735" t="str">
            <v>1.8.1 – Cooperativa Sicredi</v>
          </cell>
          <cell r="I735" t="str">
            <v>-</v>
          </cell>
          <cell r="N735" t="str">
            <v>Resgatado</v>
          </cell>
          <cell r="O735">
            <v>4260</v>
          </cell>
        </row>
        <row r="736">
          <cell r="E736" t="str">
            <v>1.8.1 – Cooperativa Sicredi</v>
          </cell>
          <cell r="I736" t="str">
            <v>-</v>
          </cell>
          <cell r="N736" t="str">
            <v>Resgatado</v>
          </cell>
          <cell r="O736">
            <v>26335.45</v>
          </cell>
        </row>
        <row r="737">
          <cell r="E737" t="str">
            <v>2.2.2 – Encargos Sociais (INSS, FGTS, etc.)</v>
          </cell>
          <cell r="I737" t="str">
            <v>-</v>
          </cell>
          <cell r="N737" t="str">
            <v>Pago</v>
          </cell>
          <cell r="O737">
            <v>-2136.7800000000002</v>
          </cell>
        </row>
        <row r="738">
          <cell r="E738" t="str">
            <v>2.2.2 – Encargos Sociais (INSS, FGTS, etc.)</v>
          </cell>
          <cell r="I738" t="str">
            <v>-</v>
          </cell>
          <cell r="N738" t="str">
            <v>Pago</v>
          </cell>
          <cell r="O738">
            <v>-1844.58</v>
          </cell>
        </row>
        <row r="739">
          <cell r="E739" t="str">
            <v>2.7.2 – Obras e Melhorias (infraestrutura)</v>
          </cell>
          <cell r="I739" t="str">
            <v>ORDEM DE COMPRA</v>
          </cell>
          <cell r="N739" t="str">
            <v>Pago</v>
          </cell>
          <cell r="O739">
            <v>-2583.19</v>
          </cell>
        </row>
        <row r="740">
          <cell r="E740" t="str">
            <v>2.7.2 – Obras e Melhorias (infraestrutura)</v>
          </cell>
          <cell r="I740" t="str">
            <v>ORDEM DE COMPRA</v>
          </cell>
          <cell r="N740" t="str">
            <v>Pago</v>
          </cell>
          <cell r="O740">
            <v>-6027.45</v>
          </cell>
        </row>
        <row r="741">
          <cell r="E741" t="str">
            <v>2.5.2 – Tarifas Bancárias</v>
          </cell>
          <cell r="I741" t="str">
            <v>-</v>
          </cell>
          <cell r="N741" t="str">
            <v>Pago</v>
          </cell>
          <cell r="O741">
            <v>-50</v>
          </cell>
        </row>
        <row r="742">
          <cell r="E742" t="str">
            <v>2.6.1 – Aplicações Financeiras</v>
          </cell>
          <cell r="I742" t="str">
            <v>-</v>
          </cell>
          <cell r="N742" t="str">
            <v>Aplicado</v>
          </cell>
          <cell r="O742">
            <v>-85.63</v>
          </cell>
        </row>
        <row r="743">
          <cell r="E743" t="str">
            <v>2.7.2 – Obras e Melhorias (infraestrutura)</v>
          </cell>
          <cell r="I743" t="str">
            <v>ORDEM DE COMPRA</v>
          </cell>
          <cell r="N743" t="str">
            <v>Pago</v>
          </cell>
          <cell r="O743">
            <v>-26335.45</v>
          </cell>
        </row>
        <row r="744">
          <cell r="E744" t="str">
            <v>2.3.6 – Produtos e Peças</v>
          </cell>
          <cell r="I744" t="str">
            <v>-</v>
          </cell>
          <cell r="N744" t="str">
            <v>Pago</v>
          </cell>
          <cell r="O744">
            <v>-495</v>
          </cell>
        </row>
        <row r="745">
          <cell r="E745" t="str">
            <v>1.8.1 – Cooperativa Sicredi</v>
          </cell>
          <cell r="I745" t="str">
            <v>-</v>
          </cell>
          <cell r="N745" t="str">
            <v>Resgatado</v>
          </cell>
          <cell r="O745">
            <v>3359.68</v>
          </cell>
        </row>
        <row r="746">
          <cell r="E746" t="str">
            <v>1.8.1 – Cooperativa Sicredi</v>
          </cell>
          <cell r="I746" t="str">
            <v>-</v>
          </cell>
          <cell r="N746" t="str">
            <v>Resgatado</v>
          </cell>
          <cell r="O746">
            <v>85.63</v>
          </cell>
        </row>
        <row r="747">
          <cell r="E747" t="str">
            <v>2.8.3 – Pagamentos Pessoais (não operacionais)</v>
          </cell>
          <cell r="I747" t="str">
            <v>-</v>
          </cell>
          <cell r="N747" t="str">
            <v>Pago</v>
          </cell>
          <cell r="O747">
            <v>-8489.33</v>
          </cell>
        </row>
        <row r="748">
          <cell r="E748" t="str">
            <v>2.7.2 – Obras e Melhorias (infraestrutura)</v>
          </cell>
          <cell r="I748" t="str">
            <v>OUTRAS</v>
          </cell>
          <cell r="N748" t="str">
            <v>Pago</v>
          </cell>
          <cell r="O748">
            <v>-396</v>
          </cell>
        </row>
        <row r="749">
          <cell r="E749" t="str">
            <v>2.7.2 – Obras e Melhorias (infraestrutura)</v>
          </cell>
          <cell r="I749" t="str">
            <v>OUTRAS</v>
          </cell>
          <cell r="N749" t="str">
            <v>Pago</v>
          </cell>
          <cell r="O749">
            <v>-659.34</v>
          </cell>
        </row>
        <row r="750">
          <cell r="E750" t="str">
            <v>1.8.1 – Cooperativa Sicredi</v>
          </cell>
          <cell r="I750" t="str">
            <v>-</v>
          </cell>
          <cell r="N750" t="str">
            <v>Resgatado</v>
          </cell>
          <cell r="O750">
            <v>12200</v>
          </cell>
        </row>
        <row r="751">
          <cell r="E751" t="str">
            <v>1.8.1 – Cooperativa Sicredi</v>
          </cell>
          <cell r="I751" t="str">
            <v>-</v>
          </cell>
          <cell r="N751" t="str">
            <v>Resgatado</v>
          </cell>
          <cell r="O751">
            <v>3170.11</v>
          </cell>
        </row>
        <row r="752">
          <cell r="E752" t="str">
            <v>2.7.2 – Obras e Melhorias (infraestrutura)</v>
          </cell>
          <cell r="I752" t="str">
            <v>OUTRAS</v>
          </cell>
          <cell r="N752" t="str">
            <v>Pago</v>
          </cell>
          <cell r="O752">
            <v>-134.34</v>
          </cell>
        </row>
        <row r="753">
          <cell r="E753" t="str">
            <v>2.7.2 – Obras e Melhorias (infraestrutura)</v>
          </cell>
          <cell r="I753" t="str">
            <v>OUTRAS</v>
          </cell>
          <cell r="N753" t="str">
            <v>Pago</v>
          </cell>
          <cell r="O753">
            <v>-12200</v>
          </cell>
        </row>
        <row r="754">
          <cell r="E754" t="str">
            <v>2.7.2 – Obras e Melhorias (infraestrutura)</v>
          </cell>
          <cell r="I754" t="str">
            <v>OUTRAS</v>
          </cell>
          <cell r="N754" t="str">
            <v>Pago</v>
          </cell>
          <cell r="O754">
            <v>-2855.74</v>
          </cell>
        </row>
        <row r="755">
          <cell r="E755" t="str">
            <v>2.7.2 – Obras e Melhorias (infraestrutura)</v>
          </cell>
          <cell r="I755" t="str">
            <v>ORDEM DE COMPRA</v>
          </cell>
          <cell r="N755" t="str">
            <v>Pago</v>
          </cell>
          <cell r="O755">
            <v>-400</v>
          </cell>
        </row>
        <row r="756">
          <cell r="E756" t="str">
            <v>2.7.2 – Obras e Melhorias (infraestrutura)</v>
          </cell>
          <cell r="I756" t="str">
            <v>ORDEM DE COMPRA</v>
          </cell>
          <cell r="N756" t="str">
            <v>Pago</v>
          </cell>
          <cell r="O756">
            <v>-117.5</v>
          </cell>
        </row>
        <row r="757">
          <cell r="E757" t="str">
            <v>2.7.2 – Obras e Melhorias (infraestrutura)</v>
          </cell>
          <cell r="I757" t="str">
            <v>OUTRAS</v>
          </cell>
          <cell r="N757" t="str">
            <v>Pago</v>
          </cell>
          <cell r="O757">
            <v>-152.4</v>
          </cell>
        </row>
        <row r="758">
          <cell r="E758" t="str">
            <v>2.7.2 – Obras e Melhorias (infraestrutura)</v>
          </cell>
          <cell r="I758" t="str">
            <v>OUTRAS</v>
          </cell>
          <cell r="N758" t="str">
            <v>Pago</v>
          </cell>
          <cell r="O758">
            <v>-2052.5</v>
          </cell>
        </row>
        <row r="759">
          <cell r="E759" t="str">
            <v>2.2.3 – Benefícios (vale, alimentação, etc.)</v>
          </cell>
          <cell r="I759" t="str">
            <v>-</v>
          </cell>
          <cell r="N759" t="str">
            <v>Pago</v>
          </cell>
          <cell r="O759">
            <v>-180</v>
          </cell>
        </row>
        <row r="760">
          <cell r="E760" t="str">
            <v>2.2.3 – Benefícios (vale, alimentação, etc.)</v>
          </cell>
          <cell r="I760" t="str">
            <v>-</v>
          </cell>
          <cell r="N760" t="str">
            <v>Pago</v>
          </cell>
          <cell r="O760">
            <v>-310</v>
          </cell>
        </row>
        <row r="761">
          <cell r="E761" t="str">
            <v>2.1.6 – Taxas e Impostos (ITR, INCRA, etc.)</v>
          </cell>
          <cell r="I761" t="str">
            <v>-</v>
          </cell>
          <cell r="N761" t="str">
            <v>Pago</v>
          </cell>
          <cell r="O761">
            <v>-454</v>
          </cell>
        </row>
        <row r="762">
          <cell r="E762"/>
          <cell r="I762"/>
          <cell r="N762"/>
          <cell r="O762"/>
        </row>
        <row r="763">
          <cell r="E763"/>
          <cell r="I763"/>
          <cell r="N763"/>
          <cell r="O763"/>
        </row>
        <row r="764">
          <cell r="E764"/>
          <cell r="I764"/>
          <cell r="N764"/>
          <cell r="O764"/>
        </row>
        <row r="765">
          <cell r="E765"/>
          <cell r="I765"/>
          <cell r="N765"/>
          <cell r="O765"/>
        </row>
        <row r="766">
          <cell r="E766"/>
          <cell r="I766"/>
          <cell r="N766"/>
          <cell r="O766"/>
        </row>
        <row r="767">
          <cell r="E767"/>
          <cell r="I767"/>
          <cell r="N767"/>
          <cell r="O767"/>
        </row>
        <row r="768">
          <cell r="E768"/>
          <cell r="I768"/>
          <cell r="N768"/>
          <cell r="O768"/>
        </row>
        <row r="769">
          <cell r="E769"/>
          <cell r="I769"/>
          <cell r="N769"/>
          <cell r="O769"/>
        </row>
        <row r="770">
          <cell r="E770"/>
          <cell r="I770"/>
          <cell r="N770"/>
          <cell r="O770"/>
        </row>
        <row r="771">
          <cell r="E771"/>
          <cell r="I771"/>
          <cell r="N771"/>
          <cell r="O771"/>
        </row>
        <row r="772">
          <cell r="E772"/>
          <cell r="I772"/>
          <cell r="N772"/>
          <cell r="O772"/>
        </row>
        <row r="773">
          <cell r="E773"/>
          <cell r="I773"/>
          <cell r="N773"/>
          <cell r="O773"/>
        </row>
        <row r="774">
          <cell r="E774"/>
          <cell r="I774"/>
          <cell r="N774"/>
          <cell r="O774"/>
        </row>
        <row r="775">
          <cell r="E775"/>
          <cell r="I775"/>
          <cell r="N775"/>
          <cell r="O775"/>
        </row>
        <row r="776">
          <cell r="E776"/>
          <cell r="I776"/>
          <cell r="N776"/>
          <cell r="O776"/>
        </row>
        <row r="777">
          <cell r="E777"/>
          <cell r="I777"/>
          <cell r="N777"/>
          <cell r="O777"/>
        </row>
        <row r="778">
          <cell r="E778"/>
          <cell r="I778"/>
          <cell r="N778"/>
          <cell r="O778"/>
        </row>
        <row r="779">
          <cell r="E779"/>
          <cell r="I779"/>
          <cell r="N779"/>
          <cell r="O779"/>
        </row>
        <row r="780">
          <cell r="E780"/>
          <cell r="I780"/>
          <cell r="N780"/>
          <cell r="O780"/>
        </row>
        <row r="781">
          <cell r="E781"/>
          <cell r="I781"/>
          <cell r="N781"/>
          <cell r="O781"/>
        </row>
        <row r="782">
          <cell r="E782"/>
          <cell r="I782"/>
          <cell r="N782"/>
          <cell r="O782"/>
        </row>
        <row r="783">
          <cell r="E783"/>
          <cell r="I783"/>
          <cell r="N783"/>
          <cell r="O783"/>
        </row>
        <row r="784">
          <cell r="E784"/>
          <cell r="I784"/>
          <cell r="N784"/>
          <cell r="O784"/>
        </row>
        <row r="785">
          <cell r="E785"/>
          <cell r="I785"/>
          <cell r="N785"/>
          <cell r="O785"/>
        </row>
        <row r="786">
          <cell r="E786"/>
          <cell r="I786"/>
          <cell r="N786"/>
          <cell r="O786"/>
        </row>
        <row r="787">
          <cell r="E787"/>
          <cell r="I787"/>
          <cell r="N787"/>
          <cell r="O787"/>
        </row>
        <row r="788">
          <cell r="E788"/>
          <cell r="I788"/>
          <cell r="N788"/>
          <cell r="O788"/>
        </row>
        <row r="789">
          <cell r="E789"/>
          <cell r="I789"/>
          <cell r="N789"/>
          <cell r="O789"/>
        </row>
        <row r="790">
          <cell r="E790"/>
          <cell r="I790"/>
          <cell r="N790"/>
          <cell r="O790"/>
        </row>
        <row r="791">
          <cell r="E791"/>
          <cell r="I791"/>
          <cell r="N791"/>
          <cell r="O791"/>
        </row>
        <row r="792">
          <cell r="E792"/>
          <cell r="I792"/>
          <cell r="N792"/>
          <cell r="O792"/>
        </row>
        <row r="793">
          <cell r="E793"/>
          <cell r="I793"/>
          <cell r="N793"/>
          <cell r="O793"/>
        </row>
        <row r="794">
          <cell r="E794"/>
          <cell r="I794"/>
          <cell r="N794"/>
          <cell r="O794"/>
        </row>
        <row r="795">
          <cell r="E795"/>
          <cell r="I795"/>
          <cell r="N795"/>
          <cell r="O795"/>
        </row>
        <row r="796">
          <cell r="E796"/>
          <cell r="I796"/>
          <cell r="N796"/>
          <cell r="O796"/>
        </row>
        <row r="797">
          <cell r="E797"/>
          <cell r="I797"/>
          <cell r="N797"/>
          <cell r="O797"/>
        </row>
        <row r="798">
          <cell r="E798"/>
          <cell r="I798"/>
          <cell r="N798"/>
          <cell r="O798"/>
        </row>
        <row r="799">
          <cell r="E799"/>
          <cell r="I799"/>
          <cell r="N799"/>
          <cell r="O799"/>
        </row>
        <row r="800">
          <cell r="E800"/>
          <cell r="I800"/>
          <cell r="N800"/>
          <cell r="O800"/>
        </row>
        <row r="801">
          <cell r="E801"/>
          <cell r="I801"/>
          <cell r="N801"/>
          <cell r="O801"/>
        </row>
        <row r="802">
          <cell r="E802"/>
          <cell r="I802"/>
          <cell r="N802"/>
          <cell r="O802"/>
        </row>
        <row r="803">
          <cell r="E803"/>
          <cell r="I803"/>
          <cell r="N803"/>
          <cell r="O803"/>
        </row>
        <row r="804">
          <cell r="E804"/>
          <cell r="I804"/>
          <cell r="N804"/>
          <cell r="O804"/>
        </row>
        <row r="805">
          <cell r="E805"/>
          <cell r="I805"/>
          <cell r="N805"/>
          <cell r="O805"/>
        </row>
        <row r="806">
          <cell r="E806"/>
          <cell r="I806"/>
          <cell r="N806"/>
          <cell r="O806"/>
        </row>
        <row r="807">
          <cell r="E807"/>
          <cell r="I807"/>
          <cell r="N807"/>
          <cell r="O807"/>
        </row>
        <row r="808">
          <cell r="E808"/>
          <cell r="I808"/>
          <cell r="N808"/>
          <cell r="O808"/>
        </row>
        <row r="809">
          <cell r="E809"/>
          <cell r="I809"/>
          <cell r="N809"/>
          <cell r="O809"/>
        </row>
        <row r="810">
          <cell r="E810"/>
          <cell r="I810"/>
          <cell r="N810"/>
          <cell r="O810"/>
        </row>
        <row r="811">
          <cell r="E811"/>
          <cell r="I811"/>
          <cell r="N811"/>
          <cell r="O811"/>
        </row>
        <row r="812">
          <cell r="E812"/>
          <cell r="I812"/>
          <cell r="N812"/>
          <cell r="O812"/>
        </row>
        <row r="813">
          <cell r="E813"/>
          <cell r="I813"/>
          <cell r="N813"/>
          <cell r="O813"/>
        </row>
        <row r="814">
          <cell r="E814"/>
          <cell r="I814"/>
          <cell r="N814"/>
          <cell r="O814"/>
        </row>
        <row r="815">
          <cell r="E815"/>
          <cell r="I815"/>
          <cell r="N815"/>
          <cell r="O815"/>
        </row>
        <row r="816">
          <cell r="E816"/>
          <cell r="I816"/>
          <cell r="N816"/>
          <cell r="O816"/>
        </row>
        <row r="817">
          <cell r="E817"/>
          <cell r="I817"/>
          <cell r="N817"/>
          <cell r="O817"/>
        </row>
        <row r="818">
          <cell r="E818"/>
          <cell r="I818"/>
          <cell r="N818"/>
          <cell r="O818"/>
        </row>
        <row r="819">
          <cell r="E819"/>
          <cell r="I819"/>
          <cell r="N819"/>
          <cell r="O819"/>
        </row>
        <row r="820">
          <cell r="E820"/>
          <cell r="I820"/>
          <cell r="N820"/>
          <cell r="O820"/>
        </row>
        <row r="821">
          <cell r="E821"/>
          <cell r="I821"/>
          <cell r="N821"/>
          <cell r="O821"/>
        </row>
        <row r="822">
          <cell r="E822"/>
          <cell r="I822"/>
          <cell r="N822"/>
          <cell r="O822"/>
        </row>
        <row r="823">
          <cell r="E823"/>
          <cell r="I823"/>
          <cell r="N823"/>
          <cell r="O823"/>
        </row>
        <row r="824">
          <cell r="E824"/>
          <cell r="I824"/>
          <cell r="N824"/>
          <cell r="O824"/>
        </row>
        <row r="825">
          <cell r="E825"/>
          <cell r="I825"/>
          <cell r="N825"/>
          <cell r="O825"/>
        </row>
        <row r="826">
          <cell r="E826"/>
          <cell r="I826"/>
          <cell r="N826"/>
          <cell r="O826"/>
        </row>
        <row r="827">
          <cell r="E827"/>
          <cell r="I827"/>
          <cell r="N827"/>
          <cell r="O827"/>
        </row>
        <row r="828">
          <cell r="E828"/>
          <cell r="I828"/>
          <cell r="N828"/>
          <cell r="O828"/>
        </row>
        <row r="829">
          <cell r="E829"/>
          <cell r="I829"/>
          <cell r="N829"/>
          <cell r="O829"/>
        </row>
        <row r="830">
          <cell r="E830"/>
          <cell r="I830"/>
          <cell r="N830"/>
          <cell r="O830"/>
        </row>
        <row r="831">
          <cell r="E831"/>
          <cell r="I831"/>
          <cell r="N831"/>
          <cell r="O831"/>
        </row>
        <row r="832">
          <cell r="E832"/>
          <cell r="I832"/>
          <cell r="N832"/>
          <cell r="O832"/>
        </row>
        <row r="833">
          <cell r="E833"/>
          <cell r="I833"/>
          <cell r="N833"/>
          <cell r="O833"/>
        </row>
        <row r="834">
          <cell r="E834"/>
          <cell r="I834"/>
          <cell r="N834"/>
          <cell r="O834"/>
        </row>
        <row r="835">
          <cell r="E835"/>
          <cell r="I835"/>
          <cell r="N835"/>
          <cell r="O835"/>
        </row>
        <row r="836">
          <cell r="E836"/>
          <cell r="I836"/>
          <cell r="N836"/>
          <cell r="O836"/>
        </row>
        <row r="837">
          <cell r="E837"/>
          <cell r="I837"/>
          <cell r="N837"/>
          <cell r="O837"/>
        </row>
        <row r="838">
          <cell r="E838"/>
          <cell r="I838"/>
          <cell r="N838"/>
          <cell r="O838"/>
        </row>
        <row r="839">
          <cell r="E839"/>
          <cell r="I839"/>
          <cell r="N839"/>
          <cell r="O839"/>
        </row>
        <row r="840">
          <cell r="E840"/>
          <cell r="I840"/>
          <cell r="N840"/>
          <cell r="O840"/>
        </row>
        <row r="841">
          <cell r="E841"/>
          <cell r="I841"/>
          <cell r="N841"/>
          <cell r="O841"/>
        </row>
        <row r="842">
          <cell r="E842"/>
          <cell r="I842"/>
          <cell r="N842"/>
          <cell r="O842"/>
        </row>
        <row r="843">
          <cell r="E843"/>
          <cell r="I843"/>
          <cell r="N843"/>
          <cell r="O843"/>
        </row>
        <row r="844">
          <cell r="E844"/>
          <cell r="I844"/>
          <cell r="N844"/>
          <cell r="O844"/>
        </row>
        <row r="845">
          <cell r="E845"/>
          <cell r="I845"/>
          <cell r="N845"/>
          <cell r="O845"/>
        </row>
        <row r="846">
          <cell r="E846"/>
          <cell r="I846"/>
          <cell r="N846"/>
          <cell r="O846"/>
        </row>
        <row r="847">
          <cell r="E847"/>
          <cell r="I847"/>
          <cell r="N847"/>
          <cell r="O847"/>
        </row>
        <row r="848">
          <cell r="E848"/>
          <cell r="I848"/>
          <cell r="N848"/>
          <cell r="O848"/>
        </row>
        <row r="849">
          <cell r="E849"/>
          <cell r="I849"/>
          <cell r="N849"/>
          <cell r="O849"/>
        </row>
        <row r="850">
          <cell r="E850"/>
          <cell r="I850"/>
          <cell r="N850"/>
          <cell r="O850"/>
        </row>
        <row r="851">
          <cell r="E851"/>
          <cell r="I851"/>
          <cell r="N851"/>
          <cell r="O851"/>
        </row>
        <row r="852">
          <cell r="E852"/>
          <cell r="I852"/>
          <cell r="N852"/>
          <cell r="O852"/>
        </row>
        <row r="853">
          <cell r="E853"/>
          <cell r="I853"/>
          <cell r="N853"/>
          <cell r="O853"/>
        </row>
        <row r="854">
          <cell r="E854"/>
          <cell r="I854"/>
          <cell r="N854"/>
          <cell r="O854"/>
        </row>
        <row r="855">
          <cell r="E855"/>
          <cell r="I855"/>
          <cell r="N855"/>
          <cell r="O855"/>
        </row>
        <row r="856">
          <cell r="E856"/>
          <cell r="I856"/>
          <cell r="N856"/>
          <cell r="O856"/>
        </row>
        <row r="857">
          <cell r="E857"/>
          <cell r="I857"/>
          <cell r="N857"/>
          <cell r="O857"/>
        </row>
        <row r="858">
          <cell r="E858"/>
          <cell r="I858"/>
          <cell r="N858"/>
          <cell r="O858"/>
        </row>
        <row r="859">
          <cell r="E859"/>
          <cell r="I859"/>
          <cell r="N859"/>
          <cell r="O859"/>
        </row>
        <row r="860">
          <cell r="E860"/>
          <cell r="I860"/>
          <cell r="N860"/>
          <cell r="O860"/>
        </row>
        <row r="861">
          <cell r="E861"/>
          <cell r="I861"/>
          <cell r="N861"/>
          <cell r="O861"/>
        </row>
        <row r="862">
          <cell r="E862"/>
          <cell r="I862"/>
          <cell r="N862"/>
          <cell r="O862"/>
        </row>
        <row r="863">
          <cell r="E863"/>
          <cell r="I863"/>
          <cell r="N863"/>
          <cell r="O863"/>
        </row>
        <row r="864">
          <cell r="E864"/>
          <cell r="I864"/>
          <cell r="N864"/>
          <cell r="O864"/>
        </row>
        <row r="865">
          <cell r="E865"/>
          <cell r="I865"/>
          <cell r="N865"/>
          <cell r="O865"/>
        </row>
        <row r="866">
          <cell r="E866"/>
          <cell r="I866"/>
          <cell r="N866"/>
          <cell r="O866"/>
        </row>
        <row r="867">
          <cell r="E867"/>
          <cell r="I867"/>
          <cell r="N867"/>
          <cell r="O867"/>
        </row>
        <row r="868">
          <cell r="E868"/>
          <cell r="I868"/>
          <cell r="N868"/>
          <cell r="O868"/>
        </row>
        <row r="869">
          <cell r="E869"/>
          <cell r="I869"/>
          <cell r="N869"/>
          <cell r="O869"/>
        </row>
        <row r="870">
          <cell r="E870"/>
          <cell r="I870"/>
          <cell r="N870"/>
          <cell r="O870"/>
        </row>
        <row r="871">
          <cell r="N871"/>
        </row>
        <row r="875">
          <cell r="O875"/>
        </row>
        <row r="876">
          <cell r="O876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la" refreshedDate="46140.419010648147" createdVersion="8" refreshedVersion="8" minRefreshableVersion="3" recordCount="1178" xr:uid="{52ABECFA-95B8-4DC1-AFD1-D93FE70A8B18}">
  <cacheSource type="worksheet">
    <worksheetSource ref="C5:K1183" sheet="Distribuição de Lucro_Mensal"/>
  </cacheSource>
  <cacheFields count="11">
    <cacheField name="Dia" numFmtId="0">
      <sharedItems containsNonDate="0" containsDate="1" containsString="0" containsBlank="1" minDate="2025-01-01T00:00:00" maxDate="2026-12-02T00:00:00" count="109">
        <d v="2026-01-02T00:00:00"/>
        <d v="2026-01-05T00:00:00"/>
        <d v="2026-01-08T00:00:00"/>
        <d v="2026-01-20T00:00:00"/>
        <d v="2026-01-22T00:00:00"/>
        <d v="2026-01-29T00:00:00"/>
        <d v="2026-02-01T00:00:00"/>
        <d v="2026-02-02T00:00:00"/>
        <d v="2026-02-03T00:00:00"/>
        <d v="2026-02-11T00:00:00"/>
        <d v="2026-02-25T00:00:00"/>
        <d v="2026-03-02T00:00:00"/>
        <d v="2026-03-11T00:00:00"/>
        <d v="2026-03-12T00:00:00"/>
        <d v="2026-03-23T00:00:00"/>
        <d v="2026-03-30T00:00:00"/>
        <d v="2026-04-01T00:00:00"/>
        <d v="2026-04-10T00:00:00"/>
        <d v="2026-04-14T00:00:00"/>
        <d v="2026-04-24T00:00:00"/>
        <d v="2026-04-28T00:00:00"/>
        <d v="2026-05-05T00:00:00"/>
        <d v="2026-05-10T00:00:00"/>
        <d v="2026-05-30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m/>
        <d v="2026-05-01T00:00:00" u="1"/>
        <d v="2026-05-02T00:00:00" u="1"/>
        <d v="2026-04-30T00:00:00" u="1"/>
        <d v="2026-01-30T00:00:00" u="1"/>
        <d v="2026-03-01T00:00:00" u="1"/>
        <d v="2025-01-02T00:00:00" u="1"/>
        <d v="2025-01-06T00:00:00" u="1"/>
        <d v="2025-01-10T00:00:00" u="1"/>
        <d v="2025-01-14T00:00:00" u="1"/>
        <d v="2025-01-20T00:00:00" u="1"/>
        <d v="2025-01-30T00:00:00" u="1"/>
        <d v="2025-02-03T00:00:00" u="1"/>
        <d v="2025-02-10T00:00:00" u="1"/>
        <d v="2025-02-17T00:00:00" u="1"/>
        <d v="2025-02-20T00:00:00" u="1"/>
        <d v="2025-02-24T00:00:00" u="1"/>
        <d v="2025-02-28T00:00:00" u="1"/>
        <d v="2025-03-05T00:00:00" u="1"/>
        <d v="2025-03-06T00:00:00" u="1"/>
        <d v="2025-03-07T00:00:00" u="1"/>
        <d v="2025-03-13T00:00:00" u="1"/>
        <d v="2025-03-25T00:00:00" u="1"/>
        <d v="2025-03-28T00:00:00" u="1"/>
        <d v="2025-04-01T00:00:00" u="1"/>
        <d v="2025-04-04T00:00:00" u="1"/>
        <d v="2025-04-07T00:00:00" u="1"/>
        <d v="2025-04-08T00:00:00" u="1"/>
        <d v="2025-05-02T00:00:00" u="1"/>
        <d v="2025-05-05T00:00:00" u="1"/>
        <d v="2025-05-13T00:00:00" u="1"/>
        <d v="2025-05-23T00:00:00" u="1"/>
        <d v="2025-06-02T00:00:00" u="1"/>
        <d v="2025-06-03T00:00:00" u="1"/>
        <d v="2025-06-06T00:00:00" u="1"/>
        <d v="2025-06-20T00:00:00" u="1"/>
        <d v="2025-06-27T00:00:00" u="1"/>
        <d v="2025-07-01T00:00:00" u="1"/>
        <d v="2025-07-08T00:00:00" u="1"/>
        <d v="2025-07-17T00:00:00" u="1"/>
        <d v="2025-07-29T00:00:00" u="1"/>
        <d v="2025-08-01T00:00:00" u="1"/>
        <d v="2025-08-04T00:00:00" u="1"/>
        <d v="2025-08-05T00:00:00" u="1"/>
        <d v="2025-08-06T00:00:00" u="1"/>
        <d v="2025-08-12T00:00:00" u="1"/>
        <d v="2025-08-21T00:00:00" u="1"/>
        <d v="2025-08-22T00:00:00" u="1"/>
        <d v="2025-09-01T00:00:00" u="1"/>
        <d v="2025-09-11T00:00:00" u="1"/>
        <d v="2025-09-18T00:00:00" u="1"/>
        <d v="2025-09-26T00:00:00" u="1"/>
        <d v="2025-10-01T00:00:00" u="1"/>
        <d v="2025-10-07T00:00:00" u="1"/>
        <d v="2025-10-14T00:00:00" u="1"/>
        <d v="2025-10-16T00:00:00" u="1"/>
        <d v="2025-10-23T00:00:00" u="1"/>
        <d v="2025-11-03T00:00:00" u="1"/>
        <d v="2025-11-11T00:00:00" u="1"/>
        <d v="2025-11-17T00:00:00" u="1"/>
        <d v="2025-11-19T00:00:00" u="1"/>
        <d v="2025-11-20T00:00:00" u="1"/>
        <d v="2025-12-01T00:00:00" u="1"/>
        <d v="2025-12-09T00:00:00" u="1"/>
        <d v="2025-12-05T00:00:00" u="1"/>
        <d v="2025-11-01T00:00:00" u="1"/>
        <d v="2025-10-10T00:00:00" u="1"/>
        <d v="2025-07-31T00:00:00" u="1"/>
        <d v="2025-06-24T00:00:00" u="1"/>
        <d v="2025-06-01T00:00:00" u="1"/>
        <d v="2025-05-30T00:00:00" u="1"/>
        <d v="2025-05-01T00:00:00" u="1"/>
        <d v="2025-02-21T00:00:00" u="1"/>
        <d v="2025-03-03T00:00:00" u="1"/>
        <d v="2025-03-01T00:00:00" u="1"/>
        <d v="2025-02-01T00:00:00" u="1"/>
        <d v="2025-02-02T00:00:00" u="1"/>
        <d v="2025-01-01T00:00:00" u="1"/>
      </sharedItems>
      <fieldGroup par="10"/>
    </cacheField>
    <cacheField name="Mês" numFmtId="0">
      <sharedItems containsBlank="1" count="13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  <m/>
      </sharedItems>
    </cacheField>
    <cacheField name="Sócio" numFmtId="0">
      <sharedItems containsBlank="1" count="5">
        <s v="Claudio Luiz Resta Fragelli"/>
        <s v="Isamelia Ponte Fragelli"/>
        <s v="Pedro Henrique Ponte Fragelli"/>
        <s v="Ana Beatriz Ponte Fragelli"/>
        <m/>
      </sharedItems>
    </cacheField>
    <cacheField name="Classificação" numFmtId="0">
      <sharedItems containsBlank="1" count="13">
        <s v="1.1 - Imóvel"/>
        <s v="1.3 - Renda Mensal/Qualidade de Vida"/>
        <s v="1.4 - Despesas Pessoais"/>
        <s v="1.5 - Fazenda Aramburu"/>
        <s v="1.2 - Família"/>
        <s v="1.6 - Contratos de Venda"/>
        <m/>
        <s v="1.01 - Imóvel" u="1"/>
        <s v="1.03 - Renda Mensal/Qualidade de Vida" u="1"/>
        <s v="1.04 - Despesas Pessoais" u="1"/>
        <s v="1.05 - Fazenda Aramburu" u="1"/>
        <s v="1.02 - Família" u="1"/>
        <s v="1.06 - Contratos de Venda" u="1"/>
      </sharedItems>
    </cacheField>
    <cacheField name="Descrição" numFmtId="0">
      <sharedItems containsBlank="1" count="352">
        <s v="Parcelamento (Residência SC)"/>
        <s v="Reforma Programada"/>
        <s v="Custos Emergenciais"/>
        <s v="Distribuição Fixa"/>
        <s v="Medicamentos"/>
        <s v="Troca de Celular"/>
        <s v="Manutenção Conta Bradesco"/>
        <s v="Troca de Pneus"/>
        <s v="FGTS 12/2025 e 13º Folha de Pgto"/>
        <s v="Folha de Pgto - Amadeu Fava Junior"/>
        <s v="Folha de Pgto - Cristiane da Silva Freire"/>
        <s v="Folha de Pgto - Peres Siqueira"/>
        <s v="INSS Folha de Pgto"/>
        <s v="Pluxee Multibenefícios - Amadeu Fava Junior"/>
        <s v="Pluxee Multibenefícios - Cristiane da Silva Freire"/>
        <s v="Pluxee Multibenefícios - Gabriel Costa"/>
        <s v="Condomínio (Forest House CG)"/>
        <s v="Energisa (Forest House CG)"/>
        <s v="Jardineiro (Forest House CG)"/>
        <s v="Piscineiro (Forest House CG)"/>
        <s v="FGTS - Célia Regina de Amorim Apontes"/>
        <s v="FGTS 13/2025 - Célia Regina de Amorim Apontes"/>
        <s v="Folha de Pgto - Célia Regina de Amorim Apontes"/>
        <s v="Vale Transporte - Célia Regina de Amorim Apontes"/>
        <s v="Aluguel"/>
        <s v="Gastos Imóvel"/>
        <s v="Caixa Investimento"/>
        <s v="Pgto Marquinhos (2 batidas de chaves de alta tensão) "/>
        <s v="IPTU (Atmosphera) parc. 1/6"/>
        <s v="IPTU (Casa Vila Inventário) parc. 1/12"/>
        <s v="IPTU (Forest House) parc. 1/12"/>
        <s v="IPVA - Triton Sport (SLZ-8B58)"/>
        <s v="Vivo Família Móvel"/>
        <s v="IPVA - Triton L200 (NRY-0578)"/>
        <s v="Águas Guariroba (Forest House CG)"/>
        <s v="IPVA - Jeep Commander (RWJ-9B92)"/>
        <s v="Vivo TV + Internet"/>
        <s v="IPVA - Hyundai Creta (RWG-4I21)"/>
        <s v="Energisa (Fazenda Aramburu)"/>
        <s v="IPTU (Florianópolis)"/>
        <s v="02 diárias Doralina Ferreira do Vale"/>
        <s v="FGTS Folha de Pgto"/>
        <s v="IPTU (Atmosphera) parc. 2/6"/>
        <s v="IPTU (Casa Vila Inventário) parc. 2/12"/>
        <s v="IPTU (Forest House) parc. 2/12"/>
        <s v="IPTU (R. Appa 201)"/>
        <s v="Rescisão - Célia Regina de Amorim Apontes"/>
        <s v="FGTS Rescisório - Célia Regina de Amorim Apontes"/>
        <s v="Viagem Internacional"/>
        <s v="Rescisão - Peres Siqueira"/>
        <s v="IPTU (Atmosphera) parc. 3/6"/>
        <s v="IPTU (Casa Vila Inventário) parc. 3/12"/>
        <s v="IPTU (Forest House) parc. 3/12"/>
        <s v="IPTU (R. Margina Humberlina Lima 80)"/>
        <s v="IPTU (R. Margina Humberlina Lima 90)"/>
        <s v="IPTU (Rua Appa)"/>
        <s v="Tratamento Dentário"/>
        <s v="Viagem Trimestral"/>
        <s v="Folha de Pgto - Gabriel Costa"/>
        <s v="Pgto de Diária (2 dias) - Gabriel Costa"/>
        <s v="Curso"/>
        <s v="Auxílio Combustível - Zilmar Umbelino de Oliveira"/>
        <s v="Exames Clínica SAAMET - Zilmar (Admissão)"/>
        <s v="Pgto de Diária (X dias) - Zilmar Umbelino de Oliveira"/>
        <s v="Pgto Marquinhos (Emenda de cabo de alta tensão)"/>
        <s v="Pgto Marquinhos (Troca de disjuntor, transformador, conectores e manutenção de baixa tensão)"/>
        <s v="Exames Clínica CMT - Peres (Demissional) e Gabriel (Admissional)"/>
        <s v="Repasse Venda Soja 24/25"/>
        <s v="IPTU (Atmosphera) parc. 4/6"/>
        <s v="IPTU (Casa Vila Inventário) parc. 4/12"/>
        <s v="IPTU (Forest House) parc. 4/12"/>
        <s v="Custos Cartório Habit-se Casa Barão"/>
        <s v="Revisão Veículo (peças)"/>
        <s v="Revisão Veículo (serviços)"/>
        <s v="Seguro Veículo parc. 1/8"/>
        <s v="FGTS - Zilmar Umbelino de Oliveira"/>
        <s v="Folha de Pgto - Zilmar Umbelino de Oliveira"/>
        <s v="Fluxo de Aceleração"/>
        <s v="Pgto Celso José Bazana (Transporte de 01 animal bovino macho_touro)"/>
        <s v="Toldo da garagem do CER"/>
        <s v="Troca de bateria veicular"/>
        <s v="IPTU (Atmosphera) parc. 5/6"/>
        <s v="IPTU (Casa Vila Inventário) parc. 5/12"/>
        <s v="IPTU (Forest House) parc. 5/12"/>
        <s v="Seguro Veículo parc. 2/8"/>
        <s v="Estética"/>
        <s v="IRPF 2026"/>
        <s v="Serviços Advocatícios Ação Civil Pública nº 0900021-98.2020.8.12.0014"/>
        <s v="Seguro Veículo"/>
        <s v="Revisão Veículo"/>
        <s v="IPTU (Atmosphera) parc. 6/6"/>
        <s v="IPTU (Casa Vila Inventário) parc. 6/12"/>
        <s v="IPTU (Forest House) parc. 6/12"/>
        <s v="Seguro Veículo parc. 3/8"/>
        <s v="Renovação OFC Certificado Digital"/>
        <s v="Viagem Meio do Ano"/>
        <s v="IPTU (Casa Vila Inventário) parc. 7/12"/>
        <s v="IPTU (Forest House) parc. 7/12"/>
        <s v="Seguro Veículo parc. 4/8"/>
        <s v="Férias - Amadeu Fava Junior"/>
        <s v="Férias - Cristiane da Silva Freire"/>
        <s v="Renovação Documentos SST (PCMSO, LTCAT e LIT)"/>
        <s v="IPTU (Casa Vila Inventário) parc. 8/12"/>
        <s v="IPTU (Forest House) parc. 8/12"/>
        <s v="Seguro Veículo parc. 5/8"/>
        <s v="Licenciamento 2026 (Placas SLZ-8B58) da Triton Sport"/>
        <s v="Férias (venda por fora) - Amadeu Fava Junior"/>
        <s v="Férias (venda por fora) - Cristiane da Silva Freire"/>
        <s v="Licenciamento 2026 (Placas NRY-0578) da L200"/>
        <s v="Zélia Alves Ponte"/>
        <s v="IPTU (Casa Vila Inventário) parc. 9/12"/>
        <s v="IPTU (Forest House) parc. 9/12"/>
        <s v="Seguro Veículo parc. 6/8"/>
        <s v="ITR 2026 - Estância Ivone"/>
        <s v="Anuidade do Sindicato Rural de Maracaju de 2026"/>
        <s v="Férias - Gabriel Costa"/>
        <s v="IPTU (Casa Vila Inventário) parc. 10/12"/>
        <s v="IPTU (Forest House) parc. 10/12"/>
        <s v="Viagem Final de Ano"/>
        <s v="Seguro Veículo parc. 7/8"/>
        <s v="Férias (venda por fora) - Gabriel Costa"/>
        <s v="IPTU (Casa Vila Inventário) parc. 11/12"/>
        <s v="IPTU (Forest House) parc. 11/12"/>
        <s v="Seguro Veículo parc. 8/8"/>
        <s v="Cempar - Manutenção Anual Jazigo"/>
        <s v="Folha de Pgto_1ª Parc. 13/2026 - Amadeu Fava Junior"/>
        <s v="Folha de Pgto_1ª Parc. 13/2026 - Cristiane da Silva Freire"/>
        <s v="Folha de Pgto_1ª Parc. 13/2026 - Gabriel Costa"/>
        <s v="Folha de Pgto_1ª Parc. 13/2026 - Zilmar Umbelino de Oliveira"/>
        <s v="Seguro de Veículo"/>
        <s v="IPTU (Casa Vila Inventário) parc. 12/12"/>
        <s v="IPTU (Forest House) parc. 12/12"/>
        <s v="Folha de Pgto_2ª Parc. 13/2026 - Amadeu Fava Junior"/>
        <s v="Folha de Pgto_2ª Parc. 13/2026 - Cristiane da Silva Freire"/>
        <s v="Folha de Pgto_2ª Parc. 13/2026 - Gabriel Costa"/>
        <s v="INSS 13/2026"/>
        <s v="Folha de Pgto_2ª Parc. 13/2026 - Zilmar Umbelino de Oliveira"/>
        <m/>
        <s v="Folha de Pgto_1ª Parc. 13/2026 - Célia Regina de Amorim Apontes" u="1"/>
        <s v="Folha de Pgto_2ª Parc. 13/2026 - Célia Regina de Amorim Apontes" u="1"/>
        <s v="Pluxee Multibenefícios - Peres Siqueira" u="1"/>
        <s v="Férias - Peres Siqueira" u="1"/>
        <s v="Férias (venda por fora) - Peres Siqueira" u="1"/>
        <s v="Folha de Pgto_1ª Parc. 13/2026 - Peres Siqueira" u="1"/>
        <s v="Folha de Pgto_2ª Parc. 13/2026 - Peres Siqueira" u="1"/>
        <s v="Férias - Célia Regina de Amorim Apontes" u="1"/>
        <s v="IPTU (Atmosphera)" u="1"/>
        <s v="IPTU (Casa Vila Inventário)" u="1"/>
        <s v="IPTU (Forest House)" u="1"/>
        <s v="Manutenção Forest" u="1"/>
        <s v="FGTS 13/2025" u="1"/>
        <s v="Medicamento" u="1"/>
        <s v="Folha de Pgto - Fernando Guilherme L. Bronel" u="1"/>
        <s v="NF 493187 Atacadão (Ceia de Natal)" u="1"/>
        <s v="Pluxee Alimentação - Cintia Daniela R. Ricalde" u="1"/>
        <s v="Pluxee Alimentação - Fernando Guilherme L. Bronel" u="1"/>
        <s v="Manutenção (Forest House CG)" u="1"/>
        <s v="FGTS 13/2024 - Célia Regina de Amorim Apontes" u="1"/>
        <s v="Seguro de Veículo Parc. nº 3/4" u="1"/>
        <s v="Diárias (02) de Faxina" u="1"/>
        <s v="02 filhotes da raça Doberman" u="1"/>
        <s v="8 cópias de chaves" u="1"/>
        <s v="Repasse Venda Soja 23/24" u="1"/>
        <s v="Seguro de Veículo Parc. nº 4/4" u="1"/>
        <s v="Cano PVC (NF 247076 - Bica D'Água)" u="1"/>
        <s v="Luminária Lampião (NF 247079 - Bica D'Água)" u="1"/>
        <s v="Confecção de Lona para Caminhonete (NF 598 - Tapeçaria Lobo)" u="1"/>
        <s v="Luminária Led Plafojn - Sala Adm (NF 143411 - Soldamaq)" u="1"/>
        <s v="Disco Inox (NF 235854 - Panan)" u="1"/>
        <s v="Faca cruzeta + disco inox  (NF 141117 - Refrigel)" u="1"/>
        <s v="Mão de obra do Elcio -  reforma casa funcionário e pocilga" u="1"/>
        <s v="Exames Clínica CMT - Cintia (Retorno) e Fernando (Periódico)" u="1"/>
        <s v="Férias - Fernando Guilherme L. Bronel" u="1"/>
        <s v="Folha de Pgto - Cintia Daniela R. Ricalde" u="1"/>
        <s v="INSS+IR Folha de Pgto" u="1"/>
        <s v="IPTU (R. Margina Humberlina Lima 80) 2024" u="1"/>
        <s v="IPTU (R. Margina Humberlina Lima 80) Complemento de  2025" u="1"/>
        <s v="IPTU (R. Margina Humberlina Lima 90) 2024" u="1"/>
        <s v="IPTU (R. Margina Humberlina Lima 90) Complemento de  2025" u="1"/>
        <s v="Adto de Salário  - Cintia Daniela R. Ricalde" u="1"/>
        <s v="Pgto Marquinhos (Conserto chaves e cabo de rede de alta tensão)" u="1"/>
        <s v="Férias (Recibo Venda 20 dias) - Fernando Guilherme L. Bronel" u="1"/>
        <s v="Materiais de Limpeza (NF 1389934 - Fogo Atacadista)" u="1"/>
        <s v="Processo Ambiental (NF 4991 Passareli Advocacia) " u="1"/>
        <s v="Exames Clínica CMT - Cintia (Demissional) e Ângela (Admissional)" u="1"/>
        <s v="FGTS Multa Rescisória - Cintia Ricalde" u="1"/>
        <s v="Rescisão - Cintia Daniela R. Ricalde" u="1"/>
        <s v="Honorários Advocatícios Processo Ambiental nº 0900021-98.2020.8.12.0014" u="1"/>
        <s v="Pluxee Alimentação -  Ângela Aparecida da Silva Mello" u="1"/>
        <s v="Adto de Salário - Célia Regina de Amorim Apontes" u="1"/>
        <s v="Compra realizada no PY - Equipamentos de Seguranças (Infonet)" u="1"/>
        <s v="Compra realizada no PY - Equipamentos de Seguranças (Salem)" u="1"/>
        <s v="Compra realizada no PY - Ferramentas (Mafer)" u="1"/>
        <s v="Equipamento Starlinkn (Recibo nº INV-BRA-4101834-21977-8)" u="1"/>
        <s v="Folha de Pgto - Ângela Aparecida da Silva Mello" u="1"/>
        <s v="Topógrafo (medições da sede em obra e nivelamento do aterro a ser executado)" u="1"/>
        <s v="IRPF 2025" u="1"/>
        <s v="Compra Alimentícia p/ Fazenda (Big Boi)" u="1"/>
        <s v="Agro Amizade (Atestado Veterinário)" u="1"/>
        <s v="Compra de Marmitas para Prestadores de Serviços do Aterramento" u="1"/>
        <s v="Guia Imassul de Recolhimento Recuperação de Áreas Degradadas" u="1"/>
        <s v="Proposta de Comercialização de Créditos de Reposção Florestal (Oldemar R.)" u="1"/>
        <s v="2 diárias de abril de 2025 - Ângela Aparecida da Silva Mello" u="1"/>
        <s v="Rescisão - Ângela Aparecida da Silva Mello" u="1"/>
        <s v="Recibo - Cadastro no MS Agrodata (reposição florestal)" u="1"/>
        <s v="Pluxee Alimentação - Amadeu Fava Junior" u="1"/>
        <s v="Pluxee Alimentação - Cristiane da Silva Freire" u="1"/>
        <s v="Adto de Salário  - Amadeu Fava Junior" u="1"/>
        <s v="Renovação Documentos SST (PCMSO, LTCAT e LIT) Parc. 1/3" u="1"/>
        <s v="Licenciamento 2025 (Placa SLZ-8B58) da Triton Sport" u="1"/>
        <s v="Borracharia do Paraná Recibo nº 686 (Conserto do pneu da L200)" u="1"/>
        <s v="Licenciamento 2025 (Placa NRY-0578) da L200" u="1"/>
        <s v="Exames Clínica CMT - Amadeu (Admissional) e Cristiane (Admissional)" u="1"/>
        <s v="Renovação Documentos SST (PCMSO, LTCAT e LIT) Parc. 2/3" u="1"/>
        <s v="Distribuição Extraordinária" u="1"/>
        <s v="Repasse Venda Milho 24/24" u="1"/>
        <s v="Pgto Marquinhos (Conserto em chaves e cabos de alta tensão na rede elétrica) " u="1"/>
        <s v="Adto de Salário  - Madson Frank de Oliveira Martins" u="1"/>
        <s v="FGTS Multa Rescisória - Fernando Guilherme L. Bronel" u="1"/>
        <s v="Pluxee Alimentação - Madson Frank de Oliveira Martins" u="1"/>
        <s v="Rescisão - Fernando Guilherme L. Bronel" u="1"/>
        <s v="Anuidade do Sindicato Rural de Maracaju de 2025" u="1"/>
        <s v="Folha de Pgto - Madson Frank de Oliveira Martins" u="1"/>
        <s v="Pluxee Multibenefícios - Madson Frank de Oliveira Martins" u="1"/>
        <s v="Renovação Documentos SST (PCMSO, LTCAT e LIT) Parc. 3/3" u="1"/>
        <s v="Compra Loja G (caixas organizadoras)" u="1"/>
        <s v="ITR Estância Ivone" u="1"/>
        <s v="Exames Clínica CMT - Fernando (Demissional), Madson e Peres (Admissional)" u="1"/>
        <s v="Pgto Marquinhos (Amarração de cabos e batidas de chaves em alta tensão) " u="1"/>
        <s v="03 diárias Doralina Ferreira do Vale" u="1"/>
        <s v="Folha de Pgto_1ª Parc. 13/2025 - Amadeu Fava Junior" u="1"/>
        <s v="Folha de Pgto_1ª Parc. 13/2025 - Cristiane da Silva Freire" u="1"/>
        <s v="Folha de Pgto_1ª Parc. 13/2025 - Peres Siqueira" u="1"/>
        <s v="Reforma 2 aparadores e 1 cadeira - Sr. Irineu" u="1"/>
        <s v="Folha de Pgto_1ª Parc. 13/2025 - Célia Regina de Amorim Apontes" u="1"/>
        <s v="Folha de Pgto_2ª Parc. 13/2025 - Amadeu Fava Junior" u="1"/>
        <s v="Folha de Pgto_2ª Parc. 13/2025 - Cristiane da Silva Freire" u="1"/>
        <s v="Folha de Pgto_14/2025 - Cristiane da Silva Freire" u="1"/>
        <s v="Folha de Pgto_2ª Parc. 13/2025 - Peres Siqueira" u="1"/>
        <s v="INSS 13/2025" u="1"/>
        <s v="Folha de Pgto_2ª Parc. 13/2025 - Célia Regina de Amorim Apontes" u="1"/>
        <s v="Folha de Pgto_1ª Parc. 13/2025 - Madson Frank de Oliveira Martins" u="1"/>
        <s v="Folha de Pgto_2ª Parc. 13/2025 - Madson Frank de Oliveira Martins" u="1"/>
        <s v="Compra de caixas organizadoras" u="1"/>
        <s v="Folha de Pgto_1ª Parc. 13/2025 - Fernando Guilherme L. Bronel" u="1"/>
        <s v="Folha de Pgto_2ª Parc. 13/2025 - Fernando Guilherme L. Bronel" u="1"/>
        <s v="ITR 2024 - Estância Ivone" u="1"/>
        <s v="Férias (Recibo) - Fernando Guilherme L. Bronel" u="1"/>
        <s v="Repasse Venda Milho24/24" u="1"/>
        <s v="Recibo - Cadastro no MS Agrodata (reposição floresta" u="1"/>
        <s v="Folha de Pgto_1ª Parc. 13/2025 - Ângela Aparecida da Silva Mello" u="1"/>
        <s v="Folha de Pgto_2ª Parc. 13/2025 - Ângela Aparecida da Silva Mello" u="1"/>
        <s v="IRPF" u="1"/>
        <s v="FGTS - Célia Regina de Amorim Pontes" u="1"/>
        <s v="FGTS 13/2024 - Célia Regina de Amorim Pontes" u="1"/>
        <s v="Folha de Pgto - Célia Regina de Amorim Pontes" u="1"/>
        <s v="Vale Transporte - Célia Regina de Amorim Pontes" u="1"/>
        <s v="Férias - Célia Regina de Amorim Pontes" u="1"/>
        <s v="Adto de Salário - Célia Regina de Amorim Pontes" u="1"/>
        <s v="Equipamento Starlink" u="1"/>
        <s v="Folha de Pgto_1ª Parc. 13/2025 - Célia Regina de Amorim Pontes" u="1"/>
        <s v="Folha de Pgto_2ª Parc. 13/2025 - Célia Regina de Amorim Pontes" u="1"/>
        <s v="Exames Clínica CMT - Cintia e Fernando" u="1"/>
        <s v="Férias - Cintia Daniela R. Ricalde" u="1"/>
        <s v="Folha de Pgto_1ª Parc. 13/2025 - Cintia Daniela R. Ricalde" u="1"/>
        <s v="Folha de Pgto_2ª Parc. 13/2025 - Cintia Daniela R. Ricalde" u="1"/>
        <s v="Usucapião" u="1"/>
        <s v="Cano PVC (NF 247076)" u="1"/>
        <s v="Luminária Lampião (NF 247079)" u="1"/>
        <s v="Confecção de Lona para Caminhonete (NF 598)" u="1"/>
        <s v="Luminária Led Plafojn - Sala Adm (NF 143411)" u="1"/>
        <s v="C.E.R IPTU" u="1"/>
        <s v="C.E.R Taxa Lixo" u="1"/>
        <s v="Mão de obra do Elcio-  reforma casa funcionário e pocilga" u="1"/>
        <s v="Confecção de Lona para Caminhonete" u="1"/>
        <s v="Água Imóvel" u="1"/>
        <s v="Condomínio Imóvel" u="1"/>
        <s v="Energia Imóvel" u="1"/>
        <s v="Internet Imóvel" u="1"/>
        <s v="IPTU Imóvel" u="1"/>
        <s v="IPTU (Casa Barão)" u="1"/>
        <s v="FGTS 13º/2045 - Célia Regina de Amorim Pontes" u="1"/>
        <s v="Folha de Pgto_1ª Parc. 13º - Cintia Daniela R. Ricalde" u="1"/>
        <s v="Folha de Pgto_1ª Parc. 13º - Fernando Guilherme L. Bronel" u="1"/>
        <s v="Folha de Pgto_1ª Parc. 13º - Célia Regina de Amorim Pontes" u="1"/>
        <s v="Folha de Pgto_2ª Parc. 13º - Cintia Daniela R. Ricalde" u="1"/>
        <s v="Folha de Pgto_2ª Parc. 13º - Fernando Guilherme L. Bronel" u="1"/>
        <s v="FGTS 13º/2025" u="1"/>
        <s v="INSS 13º/2025" u="1"/>
        <s v="Folha de Pgto_2ª Parc. 13º - Célia Regina de Amorim Pontes" u="1"/>
        <s v="FGTS 13º" u="1"/>
        <s v="INSS 13º" u="1"/>
        <s v="Folha de Pgto - Cintia Daniela Rodrigues Ricalde" u="1"/>
        <s v="Folha de Pgto - Fernando Guilherme Ledesma Bronel" u="1"/>
        <s v="Pluxee Alimentação - Cintia Daniela Rodrigues Ricalde" u="1"/>
        <s v="Pluxee Alimentação - Fernando Guilherme Ledesma Bronel" u="1"/>
        <s v="Férias - Cintia Daniela Rodrigues Ricalde" u="1"/>
        <s v="Férias - Fernando Guilherme Ledesma Bronel" u="1"/>
        <s v="Folha de Pgto_1ª Parc. 13º - Cintia Daniela Rodrigues Ricalde" u="1"/>
        <s v="Folha de Pgto_1ª Parc. 13º - Fernando Guilherme Ledesma Bronel" u="1"/>
        <s v="Folha de Pgto_2ª Parc. 13º - Cintia Daniela Rodrigues Ricalde" u="1"/>
        <s v="Folha de Pgto_2ª Parc. 13º - Fernando Guilherme Ledesma Bronel" u="1"/>
        <s v="Repasse Venda Soja  23/24" u="1"/>
        <s v="IPTU (Apto 01 Marechal Rondon)" u="1"/>
        <s v="IPTU (Casa Fundos Marechal Rondon)" u="1"/>
        <s v="IPTU (Sala  01 Marechal Rondon)" u="1"/>
        <s v="IPVA" u="1"/>
        <s v="IPTU (Forest House CG)" u="1"/>
        <s v="IPTU Atmosphera" u="1"/>
        <s v="1ª Parc. 13º - Cintia Daniela Rodrigues Ricalde" u="1"/>
        <s v="1ª Parc. 13º - Fernando Guilherme Ledesma Bronel" u="1"/>
        <s v="1ª Parc. 13º - Célia Regina de Amorim Pontes" u="1"/>
        <s v="2ª Parc. 13º - Cintia Daniela Rodrigues Ricalde" u="1"/>
        <s v="2ª Parc. 13º - Fernando Guilherme Ledesma Bronel" u="1"/>
        <s v="2ª Parc. 13º - Célia Regina de Amorim Pontes" u="1"/>
        <s v="Custo Emergencial" u="1"/>
        <s v="Taxa de Coleta Residual (Residência SC)" u="1"/>
        <s v="Vacina" u="1"/>
        <s v="Casan Águas e Saneamento (Residência SC)" u="1"/>
        <s v="Claro Internet (Residência SC)" u="1"/>
        <s v="Jardineiro (Residência SC)" u="1"/>
        <s v="Limpeza Mensal (Residência SC)" u="1"/>
        <s v="Reforma Programada (Residência SC)" u="1"/>
        <s v="IPTU Imóvel Alugado" u="1"/>
        <s v="Condomínio Imóvel Alugado" u="1"/>
        <s v="Água Imóvel Alugado" u="1"/>
        <s v="Energia Imóvel Alugado" u="1"/>
        <s v="Internet Imóvel Alugado" u="1"/>
        <s v="Gastos Imóvel Locado" u="1"/>
        <s v="IPTU (Residência SC)" u="1"/>
        <s v="Limpeza Caixa de Gordura (Residência SC)" u="1"/>
        <s v="Dedetização (Residência SC)" u="1"/>
        <s v="Revisão Carro" u="1"/>
        <s v="Seguro Carro" u="1"/>
        <s v="Custo Emergêncial" u="1"/>
        <s v="IPTU Casa Vila Inventário" u="1"/>
        <s v="IPTU Forest House" u="1"/>
        <s v="IPTU Sala  01 Marechal Rondon" u="1"/>
        <s v="IPTU Apto 01 Marechal Rondon" u="1"/>
        <s v="IPTU Casa Barão" u="1"/>
        <s v="IPTU Casa Fundos Marechal Rondon" u="1"/>
        <s v="IPTU R. Margina Humberlina Lima 80" u="1"/>
        <s v="IPTU R. Margina Humberlina Lima 90" u="1"/>
        <s v="IPTU Forest" u="1"/>
        <s v="Águas Guariroba (Residência Forest CG)" u="1"/>
        <s v="Condomínio (Residência Forest CG)" u="1"/>
        <s v="Energisa (Residência Forest CG)" u="1"/>
        <s v="Jardineiro Luiz" u="1"/>
        <s v="Piscineiro" u="1"/>
        <s v="Troca de Carro" u="1"/>
        <s v="Reforma Programada  (Residência SC)" u="1"/>
        <s v="Dedetização Semestral (Residência SC)" u="1"/>
      </sharedItems>
    </cacheField>
    <cacheField name="Banco" numFmtId="0">
      <sharedItems containsBlank="1" count="17">
        <s v="Bradesco 3489 C/C 3154-2"/>
        <s v="Bradesco 1375 C/C 242867-9"/>
        <s v="B. Brasil cfragelli7@gmail.com"/>
        <s v="Bradesco 3489 C/C 35858-4"/>
        <s v="Nubank isafragelli@gmail.com"/>
        <s v="Bradesco 3489 C/C 2911-4"/>
        <s v="Inter 0001 C/C 11593566-5"/>
        <s v="Inter 0001 C/C 12284789-0"/>
        <s v="Nubank 0001 C/C 6254033-3"/>
        <s v="Inter 001 C/C 28333196-8"/>
        <s v="Bradesco 3489 C/C 2890-8"/>
        <s v="XP 0001 C/C 817380-1"/>
        <m/>
        <s v="Inter 0001  C/C 11593566-5" u="1"/>
        <s v="Bradesco  3489 C/C 3154-2" u="1"/>
        <s v="Inter 001 C/C 28333196-0" u="1"/>
        <s v="B. Brasil cfragelli@gmail.com" u="1"/>
      </sharedItems>
    </cacheField>
    <cacheField name="Valor" numFmtId="0">
      <sharedItems containsString="0" containsBlank="1" containsNumber="1" minValue="40" maxValue="139497.76999999999"/>
    </cacheField>
    <cacheField name="Data Vencimento" numFmtId="0">
      <sharedItems containsDate="1" containsBlank="1" containsMixedTypes="1" minDate="2026-01-02T00:00:00" maxDate="2026-12-13T00:00:00"/>
    </cacheField>
    <cacheField name="Status" numFmtId="0">
      <sharedItems containsBlank="1" count="5">
        <s v="Realizado"/>
        <s v="A pagar"/>
        <s v="Provisionado"/>
        <m/>
        <s v="A descontar" u="1"/>
      </sharedItems>
    </cacheField>
    <cacheField name="Dias (Dia)" numFmtId="0" databaseField="0">
      <fieldGroup base="0">
        <rangePr groupBy="days" startDate="2026-01-02T00:00:00" endDate="2026-12-02T00:00:00"/>
        <groupItems count="368">
          <s v="&lt;02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2/12/2026"/>
        </groupItems>
      </fieldGroup>
    </cacheField>
    <cacheField name="Meses (Dia)" numFmtId="0" databaseField="0">
      <fieldGroup base="0">
        <rangePr groupBy="months" startDate="2026-01-02T00:00:00" endDate="2026-12-02T00:00:00"/>
        <groupItems count="14">
          <s v="&lt;02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26"/>
        </groupItems>
      </fieldGroup>
    </cacheField>
  </cacheFields>
  <extLst>
    <ext xmlns:x14="http://schemas.microsoft.com/office/spreadsheetml/2009/9/main" uri="{725AE2AE-9491-48be-B2B4-4EB974FC3084}">
      <x14:pivotCacheDefinition pivotCacheId="162597024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la" refreshedDate="46142.659034490738" createdVersion="8" refreshedVersion="8" minRefreshableVersion="3" recordCount="1093" xr:uid="{929C223D-3D76-4E86-A7F1-FFA659913A44}">
  <cacheSource type="worksheet">
    <worksheetSource ref="B5:O1100" sheet="Aramburu_Mensal"/>
  </cacheSource>
  <cacheFields count="14">
    <cacheField name="Dia" numFmtId="165">
      <sharedItems containsNonDate="0" containsDate="1" containsString="0" containsBlank="1" minDate="2026-01-02T00:00:00" maxDate="2026-12-31T00:00:00" count="191">
        <d v="2026-01-02T00:00:00"/>
        <d v="2026-01-05T00:00:00"/>
        <d v="2026-01-06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9T00:00:00"/>
        <d v="2026-01-30T00:00:00"/>
        <d v="2026-02-01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5T00:00:00"/>
        <d v="2026-03-16T00:00:00"/>
        <d v="2026-03-17T00:00:00"/>
        <d v="2026-03-18T00:00:00"/>
        <d v="2026-03-19T00:00:00"/>
        <d v="2026-03-20T00:00:00"/>
        <d v="2026-03-23T00:00:00"/>
        <d v="2026-03-24T00:00:00"/>
        <d v="2026-03-25T00:00:00"/>
        <d v="2026-03-26T00:00:00"/>
        <d v="2026-03-30T00:00:00"/>
        <d v="2026-03-31T00:00:00"/>
        <d v="2026-04-01T00:00:00"/>
        <d v="2026-04-02T00:00:00"/>
        <d v="2026-04-05T00:00:00"/>
        <d v="2026-04-06T00:00:00"/>
        <d v="2026-04-09T00:00:00"/>
        <d v="2026-04-10T00:00:00"/>
        <d v="2026-04-11T00:00:00"/>
        <d v="2026-04-12T00:00:00"/>
        <d v="2026-04-14T00:00:00"/>
        <d v="2026-04-15T00:00:00"/>
        <d v="2026-04-16T00:00:00"/>
        <d v="2026-04-17T00:00:00"/>
        <d v="2026-04-19T00:00:00"/>
        <d v="2026-04-20T00:00:00"/>
        <d v="2026-04-23T00:00:00"/>
        <d v="2026-04-24T00:00:00"/>
        <d v="2026-04-26T00:00:00"/>
        <d v="2026-04-27T00:00:00"/>
        <d v="2026-04-28T00:00:00"/>
        <d v="2026-04-29T00:00:00"/>
        <d v="2026-05-02T00:00:00"/>
        <d v="2026-05-04T00:00:00"/>
        <d v="2026-05-05T00:00:00"/>
        <d v="2026-05-07T00:00:00"/>
        <d v="2026-05-08T00:00:00"/>
        <d v="2026-05-10T00:00:00"/>
        <d v="2026-05-11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m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30T00:00:00"/>
        <d v="2026-06-01T00:00:00"/>
        <d v="2026-06-02T00:00:00"/>
        <d v="2026-06-05T00:00:00"/>
        <d v="2026-06-07T00:00:00"/>
        <d v="2026-06-10T00:00:00"/>
        <d v="2026-06-11T00:00:00"/>
        <d v="2026-06-15T00:00:00"/>
        <d v="2026-06-17T00:00:00"/>
        <d v="2026-06-18T00:00:00"/>
        <d v="2026-06-19T00:00:00"/>
        <d v="2026-06-20T00:00:00"/>
        <d v="2026-06-22T00:00:00"/>
        <d v="2026-06-24T00:00:00"/>
        <d v="2026-06-30T00:00:00"/>
        <d v="2026-07-01T00:00:00"/>
        <d v="2026-07-05T00:00:00"/>
        <d v="2026-07-06T00:00:00"/>
        <d v="2026-07-07T00:00:00"/>
        <d v="2026-07-10T00:00:00"/>
        <d v="2026-07-11T00:00:00"/>
        <d v="2026-07-15T00:00:00"/>
        <d v="2026-07-20T00:00:00"/>
        <d v="2026-07-24T00:00:00"/>
        <d v="2026-07-25T00:00:00"/>
        <d v="2026-07-30T00:00:00"/>
        <d v="2026-08-01T00:00:00"/>
        <d v="2026-08-02T00:00:00"/>
        <d v="2026-08-05T00:00:00"/>
        <d v="2026-08-07T00:00:00"/>
        <d v="2026-08-10T00:00:00"/>
        <d v="2026-08-11T00:00:00"/>
        <d v="2026-08-15T00:00:00"/>
        <d v="2026-08-20T00:00:00"/>
        <d v="2026-08-24T00:00:00"/>
        <d v="2026-08-25T00:00:00"/>
        <d v="2026-08-30T00:00:00"/>
        <d v="2026-09-01T00:00:00"/>
        <d v="2026-09-02T00:00:00"/>
        <d v="2026-09-05T00:00:00"/>
        <d v="2026-09-07T00:00:00"/>
        <d v="2026-09-10T00:00:00"/>
        <d v="2026-09-11T00:00:00"/>
        <d v="2026-09-15T00:00:00"/>
        <d v="2026-09-20T00:00:00"/>
        <d v="2026-09-24T00:00:00"/>
        <d v="2026-09-25T00:00:00"/>
        <d v="2026-09-30T00:00:00"/>
        <d v="2026-10-01T00:00:00"/>
        <d v="2026-10-02T00:00:00"/>
        <d v="2026-10-05T00:00:00"/>
        <d v="2026-10-07T00:00:00"/>
        <d v="2026-10-10T00:00:00"/>
        <d v="2026-10-09T00:00:00"/>
        <d v="2026-10-11T00:00:00"/>
        <d v="2026-10-15T00:00:00"/>
        <d v="2026-10-20T00:00:00"/>
        <d v="2026-10-24T00:00:00"/>
        <d v="2026-10-25T00:00:00"/>
        <d v="2026-10-30T00:00:00"/>
        <d v="2026-11-01T00:00:00"/>
        <d v="2026-11-02T00:00:00"/>
        <d v="2026-11-05T00:00:00"/>
        <d v="2026-11-07T00:00:00"/>
        <d v="2026-11-10T00:00:00"/>
        <d v="2026-11-11T00:00:00"/>
        <d v="2026-11-15T00:00:00"/>
        <d v="2026-11-20T00:00:00"/>
        <d v="2026-11-24T00:00:00"/>
        <d v="2026-11-25T00:00:00"/>
        <d v="2026-11-30T00:00:00"/>
        <d v="2026-12-01T00:00:00"/>
        <d v="2026-12-02T00:00:00"/>
        <d v="2026-12-05T00:00:00"/>
        <d v="2026-12-07T00:00:00"/>
        <d v="2026-12-10T00:00:00"/>
        <d v="2026-12-11T00:00:00"/>
        <d v="2026-12-15T00:00:00"/>
        <d v="2026-12-20T00:00:00"/>
        <d v="2026-12-24T00:00:00"/>
        <d v="2026-12-25T00:00:00"/>
        <d v="2026-12-30T00:00:00"/>
      </sharedItems>
    </cacheField>
    <cacheField name="Mês" numFmtId="164">
      <sharedItems containsBlank="1" count="13">
        <s v="Janeiro"/>
        <s v="Fevereiro"/>
        <s v="Março"/>
        <s v="Abril"/>
        <s v="Maio"/>
        <m/>
        <s v="Junho"/>
        <s v="Julho"/>
        <s v="Agosto"/>
        <s v="Setembro"/>
        <s v="Outubro"/>
        <s v="Novembro"/>
        <s v="Dezembro"/>
      </sharedItems>
    </cacheField>
    <cacheField name="Conta Contábil" numFmtId="0">
      <sharedItems containsBlank="1" count="16">
        <s v="1.1 – Saldo Inicial"/>
        <s v="2.2 – Despesas com Pessoal"/>
        <s v="2.3 – Operação da Propriedade"/>
        <s v="2.8 – Distribuição de Lucro / Saídas Pessoais"/>
        <s v="2.6 – Investimentos em Capital"/>
        <s v="2.9 – Outras Saídas"/>
        <s v="1.8 – Resgate de Aplicações"/>
        <s v="2.5 – Financeiras e Bancárias"/>
        <s v="1.9 – Outros Recebimentos"/>
        <s v="2.1 – Despesas Administrativas"/>
        <s v="2.4 – Serviços Terceirizados"/>
        <s v="2.7 – Investimentos em Imobilizado Operacional"/>
        <s v="1.2 – Receita de Arrendamento de Terras"/>
        <s v="1.7 – Reembolsos Recebidos"/>
        <m/>
        <s v="1.6 – Estorno de Pagamentos" u="1"/>
      </sharedItems>
    </cacheField>
    <cacheField name="Centro de Custo" numFmtId="0">
      <sharedItems containsBlank="1" count="46">
        <s v="1.1.1 – Banco Cora"/>
        <s v="2.2.3 – Benefícios (vale, alimentação, etc.)"/>
        <s v="2.3.6 – Produtos e Peças"/>
        <s v="2.8.1 – Distribuição de Lucros"/>
        <s v="2.6.1 – Aplicações Financeiras"/>
        <s v="2.9.3 – Outras Despesas Não Classificadas"/>
        <s v="1.8.1 – Cooperativa Sicredi"/>
        <s v="1.1.2 – Cooperativa Sicredi"/>
        <s v="2.5.1 – Juros Bancários"/>
        <s v="2.5.2 – Tarifas Bancárias"/>
        <s v="1.9.1 – Diversos"/>
        <s v="2.1.1 – Honorários Contábeis"/>
        <s v="2.4.7 – Serviços Diversos"/>
        <s v="2.2.1 – Salários e Pró-Labore"/>
        <s v="2.7.2 – Obras e Melhorias (infraestrutura)"/>
        <s v="2.3.7 – Peças para Veículos e Máquinas"/>
        <s v="2.4.4 – Manutenção de Veículos e Máquinas"/>
        <s v="2.1.3 – Despesas com Aluguel"/>
        <s v="2.3.9 – Alimentação Animal"/>
        <s v="2.1.8 – Despesas Gerais"/>
        <s v="2.1.7 – Material de Escritório"/>
        <s v="2.3.4 – Internet Rural"/>
        <s v="2.7.3 – Benfeitorias Temporárias / Construções Leves"/>
        <s v="2.3.5 – Combustíveis e Lubrificantes"/>
        <s v="2.2.2 – Encargos Sociais (INSS, FGTS)"/>
        <s v="2.8.3 – Pagamentos Pessoais (não operacionais)"/>
        <s v="2.1.6 – Taxas e Impostos (ITR, INCRA, etc.)"/>
        <s v="1.2.1 –  Venda de Soja"/>
        <s v="1.7.1 – Diversos"/>
        <s v="2.3.8 – Insumos Agrícolas"/>
        <s v="2.2.5 – EPIs Operacionais"/>
        <s v="2.3.11 – Compra de Animais (Ativo Biológico)"/>
        <s v="2.5.4 – Anuidade de Cartão de Crédito"/>
        <s v="2.3.10 – Sanidade Animal"/>
        <m/>
        <s v="2.4.5 – Taxa de Armazenagem" u="1"/>
        <s v="2.2.1 – Salários e Remunerações" u="1"/>
        <s v="2.1.4 – Software Rural" u="1"/>
        <s v="2.2.2 – Encargos Sociais (INSS, FGTS, etc.)" u="1"/>
        <s v="2.3.1 – Manutenção de Benfeitorias" u="1"/>
        <s v="2.1.2 – Honorários Jurídicos" u="1"/>
        <s v="1.6.1 – Diversos" u="1"/>
        <s v="2.4.3 – Manutenção e Reparos" u="1"/>
        <s v="1.2.2  – Venda de Milho" u="1"/>
        <s v="2.2.4 – Férias" u="1"/>
        <s v="1.8.2 – Banco XP" u="1"/>
      </sharedItems>
    </cacheField>
    <cacheField name="Tipo de Despesa" numFmtId="0">
      <sharedItems containsBlank="1" count="6">
        <s v="-"/>
        <s v="Despesas Fixas"/>
        <s v="Despesas Variáveis"/>
        <s v="Despesas Eventuais"/>
        <s v="Despesas Periódicas"/>
        <m/>
      </sharedItems>
    </cacheField>
    <cacheField name="Fornecedor" numFmtId="0">
      <sharedItems containsBlank="1" count="192">
        <s v="Banco Cora"/>
        <s v="Pluxee Benefícios Brasil S.A."/>
        <s v="Agro Amizade Com. De Produtos Veterinário Ltda"/>
        <s v="Aramburu Participações Ltda"/>
        <s v="Agropecuária Aramburu Ltda"/>
        <s v="Banco Cooperativa Sicredi"/>
        <s v="Oeste Paulista Contabilidade"/>
        <s v="Rasat Soluções Inteligentes Ltda"/>
        <s v="Soldamaq Comércio de Ferramentas Ltda - CG"/>
        <s v="Adriane Estefany Ramires Bento"/>
        <s v="R. D. Almeida Ltda – Red Blue Aquecedores e Piscinas"/>
        <s v="Douratubos Acessórios Industriais Ltda"/>
        <s v="Refrigeração Amaral"/>
        <s v="Smart Center Comércio de Materiais de Construção Ltda"/>
        <s v="Jchagas Alimentos Ltda - Fogo Atacadista"/>
        <s v="Premier Portas Ltda"/>
        <s v="Ludicley Alves Chirata  ME - Pozinho Motores"/>
        <s v="Comercial Elétrica Dourados Ltda"/>
        <s v="RRX Com. De Carnes Eireli"/>
        <s v="Bica D'agua Mat De Const Ltda"/>
        <s v="Prefeitura Municipal de Maracaju"/>
        <s v="Atmosphera Saúde Esportes e R. Ltda"/>
        <s v="Eliete Duarte Taglialenha - Montana Móveis"/>
        <s v="Enan Comércio de Gás Ltda - Copagaz Mju"/>
        <s v="Alencar Silva - Aristeu Basteriais Mju"/>
        <s v="DS Agroveterinária Ltda - Raça Pet"/>
        <s v="Restaurante Santa Brasa Ltda"/>
        <s v="R. B. Ramalho Serviços em Gesso Ltda"/>
        <s v="Tom Mudas Ltda"/>
        <s v="Soldamaq Comércio de Ferramentas Ltda - Mju"/>
        <s v="Canva Pty Ltda"/>
        <s v="Dejneka &amp; Menezes Serviços e Consultoria Ltda"/>
        <s v="Paulo Roberto Fernandes &amp; Cia Ltda - ShopTudo"/>
        <s v="Starlink Brazil Redes de Telecomunicações Ltda ME"/>
        <s v="Marciane Teresinha Wochner  EPP - Produquímica"/>
        <s v="CTJ Presentes Ltda - Alma Presentes"/>
        <s v="WS Locações de Máquinas Ltda"/>
        <s v="Copasul Comercio Varejistas - Posto Carreteiro"/>
        <s v="Receita Federal"/>
        <s v="Ministério Do Trabalho E Emprego"/>
        <s v="Kingspan Isoeste Construtivo Isotérmicos S/A"/>
        <s v="Gabriel e Cia Ltda - Conquista"/>
        <s v="Bradesco Saúde"/>
        <s v="Tavares e Soares C. G. A. Ltda - Farturão"/>
        <s v="Rafael Crippa ME - Fênix Containers"/>
        <s v="OFC Certificação Digital Ltda"/>
        <s v="JV Tubos e Acabamentos Ltda"/>
        <s v="Ministério Da Fazenda"/>
        <s v="Silvana Silva Lima - Dr. Note Informática"/>
        <s v="Prebase Artefato de Concreto"/>
        <s v="Copasul Cooperativa"/>
        <s v="F L Bressan Ltda - J. F. Manutenção"/>
        <s v="F. Carlos da Silva - Madeireira Maracaju"/>
        <s v="T. de O. Felix  - BRX Impermeabilizações"/>
        <s v="Vanderlei Correa Saraiva - Fininho"/>
        <s v="Comagran Produtos Agro Ind. Ltda - Mju"/>
        <s v="Ruralshop Campo Grande Ltda Epp"/>
        <s v="CM Marmoraria Ltda - Casa do Mármore"/>
        <s v="Ilmar Barros Dias - Mazão"/>
        <s v="Portal Coronel Pneus e Acessórios Ltda - Zizo Pneus"/>
        <s v="Concentro Marcas Ltda - Multicasa"/>
        <s v="K Informática"/>
        <s v="MPS Distr. Mercantil - Apoio Refrigeração"/>
        <s v="Mazzucatto Mix Ltda"/>
        <s v="Girolux Materiais Elétricos"/>
        <s v="Carlos  Henrique da Silva Purcino"/>
        <s v="Rural Network"/>
        <s v="Biolaqua Ambiental Ltda"/>
        <s v="Marcio Gnoatto"/>
        <s v="Borracharia Polaco Ltda"/>
        <s v="A R Tauffer - Madeireira Guarantã"/>
        <s v="GR Acessórios"/>
        <s v="Ribeiro de Mendonça Baston e Cia Ltda"/>
        <s v="Madepar Acessórios Para Móveis Ltda"/>
        <s v="Casa da Cerca Elétrica MS Ltda"/>
        <s v="Odílio Duarte Fretes"/>
        <s v="Sementes de Pastagens Sertão Ltda"/>
        <s v="Total Tintas Comércio de Tintas e Materiais"/>
        <s v="Ping Tecnologia e Segurança Ltda"/>
        <s v="VACV Tecnologia Ltda - Ping Tecnologia"/>
        <s v="Gold Tambores - Afael"/>
        <s v="Total Concert Ltda - Humberley"/>
        <s v="J &amp; E Vidrobox Alumínios Ltda"/>
        <s v="Agromang Conexões e Mangueiras Ltda"/>
        <s v="Sandro Iudice Pagliuso - Fazenda Caacupe"/>
        <s v="Todimo Construção e Acabamento"/>
        <s v="Pracasa Utilidades e Aceessórios Ltda"/>
        <s v="Graciele Gonçalves Tolentino - Marmoaria Fênix"/>
        <s v="Gilson Freitas de Souza ME"/>
        <s v="Ferragem Alvorada Ltda"/>
        <s v="Gabriel Fernandes Zarate - Renato Pintor"/>
        <s v="Agro Esteio Armazéns Gerais Ltda"/>
        <s v="Lineagro Produtos Agropecuários S.A."/>
        <s v="Chama Azul Com. Utilidades Domésticas"/>
        <s v="Talaveira, Avila Souza Ltda ME - Multipeças"/>
        <s v="Magazine Luiza S/A"/>
        <s v="Ferragens Alvorada Ltda"/>
        <s v="Despesas Variáveis"/>
        <m/>
        <s v="Conselho Regional de Medicina Veterinária MS"/>
        <s v="LTS Engenharia Sistemas Construtivos Ltda"/>
        <s v="Edson dos Santos Ortega"/>
        <s v="Apoio Refrigeração - Nei Gochs"/>
        <s v="Coordenação Geral de Orçamento e Finanças - DOF"/>
        <s v="Centro de Medicina do Trabalho - CMT"/>
        <s v="Detran MS"/>
        <s v="Saboto e Saboto Ltda"/>
        <s v="ITR Fazenda Aramburu"/>
        <s v="Prestador de Serviço (particular)"/>
        <s v="Fernando Lucas Bressan - JF Oficina Automotiva"/>
        <s v="RP Pinturas - Renato Pintor" u="1"/>
        <s v="Total Concert Ltda" u="1"/>
        <s v="Gaciele Gonçalves Tolentino - Marmoaria Fênix" u="1"/>
        <s v="F. Carlos da Silva - Madereira Maracaju" u="1"/>
        <s v="BRX Impermeabilização" u="1"/>
        <s v="Portal Coronel Pneus e Acessórios Ltda" u="1"/>
        <s v="Paulo Roberto Fernandes &amp; Cia Ltda" u="1"/>
        <s v="Tavares e Soares Com. de Gêneros Alimentos Ltda" u="1"/>
        <s v="A. F. de Arruda - SW Rural" u="1"/>
        <s v="Paulo Henrique Carlos de Barros Ltda - Rei das Fontes" u="1"/>
        <s v="Disk Telecomunicações" u="1"/>
        <s v="Diene do Amaral Soares Bernardi (Borracharia Paraná)" u="1"/>
        <s v="Elcio Marques da Silva" u="1"/>
        <s v="SDB Com. De Alimentos - Comper" u="1"/>
        <s v="Max Garden Ltda ME" u="1"/>
        <s v="Jaime Adestra" u="1"/>
        <s v="Vitoria Romero Coelho (João Impressora)" u="1"/>
        <s v="Pet Dog Inbox S.A." u="1"/>
        <s v="Rosecler Porto Alegre Tomasi Batiston - Arte Visual" u="1"/>
        <s v="Maraline Alfonzo Indalecio - Gaúcho Lava Jato" u="1"/>
        <s v="Secretaria De Estado De Fazenda" u="1"/>
        <s v="Mauro E. Breitenbach" u="1"/>
        <s v="Hamix Importação - Infodatas" u="1"/>
        <s v="Escritório de Arquitetura - Trup Arquitetos" u="1"/>
        <s v="L.A Segurança e Automação" u="1"/>
        <s v="Mercado Livre Com Atividades de Internet Ltda" u="1"/>
        <s v="Petel Materiais De Const. E Equip. Ltda" u="1"/>
        <s v="Trovão Comércio de Peças Automotivas" u="1"/>
        <s v="Miyasato Sociedade Individual de Advocacia" u="1"/>
        <s v="Discâmara Brasil Ltda" u="1"/>
        <s v="Visio Com. De Produtos Eletrônicos" u="1"/>
        <s v="GKM Com. De Produtos Eletrônicos" u="1"/>
        <s v="Costa &amp; Siqueira Ltda ME – Auto Elétrica Siqueira" u="1"/>
        <s v="Gabriel e Cia Ltda ME - Conquista" u="1"/>
        <s v="Livraria Le Ltda" u="1"/>
        <s v="Mercado Livre" u="1"/>
        <s v="Agro Culturas - Pet Shop e Agropecuária" u="1"/>
        <s v="Maracaju Utilidades do lar Ltda" u="1"/>
        <s v="Casa Aliança de Maracaju Ltda" u="1"/>
        <s v="Multi Comércio de Utilidades Ltda" u="1"/>
        <s v="Chaveiro Maracaju Eletrônica Automotiva" u="1"/>
        <s v="EBS Squiavon Com. de Art. de Brinquedos e Lonas Ltda" u="1"/>
        <s v="Sendas Distribuidora S/A - Assai Atacadista Loja 307" u="1"/>
        <s v="Agropecuária Aramburu Ltda - Banco XP" u="1"/>
        <s v="Agro Torno Maracaju LTDA - EPP" u="1"/>
        <s v="Rodrigo Torres de Castilho ME - Consert Ferramentas" u="1"/>
        <s v="Auto Elétrica Van-Dal Ltda" u="1"/>
        <s v="Tsuji &amp; Cia Ltda - Clínica Vet" u="1"/>
        <s v="Inpasa Agroindustrial S/A" u="1"/>
        <s v="Rural Agronegócios Com. e Representações Ltda" u="1"/>
        <s v="Operador Nacional do Sistema de Reg. Eletrônico de Imóveis" u="1"/>
        <s v="Ilizeu de Carvalho - Serralheiro" u="1"/>
        <s v="Clube Livelo" u="1"/>
        <s v="MRC Com. de Produtos Veterinários Eireli - Comitiva Agrop." u="1"/>
        <s v="Mineração Tozzi Junqueira Ltda - Pedreira Esteio" u="1"/>
        <s v="A. R. Tauffer ME - Madeireira Guarantã" u="1"/>
        <s v="Casa de Carne Comitiva Ltda" u="1"/>
        <s v="Madegran Com. De Mad. Ltda EPP" u="1"/>
        <s v="HJ Acessórios e Equipamentos Eletrônicos Ltda" u="1"/>
        <s v="Dell Computadores do Brasil Ltda" u="1"/>
        <s v="Magui Munck &amp; Prancha Ltda" u="1"/>
        <s v="Lojas de Ferragens Toquio Ltda EPP" u="1"/>
        <s v="Distribuidora Lopes Comércio Atacadista" u="1"/>
        <s v="V. R. Baches Cia Ltda Epp - Eletro Hidro Junior" u="1"/>
        <s v="Toldos Mirassol Ltda" u="1"/>
        <s v="Multi Com. de Utilidades Ltda" u="1"/>
        <s v="Soares Gráfica Rápida Ltda - Só Cópias" u="1"/>
        <s v="WM Concretos Ltda" u="1"/>
        <s v="Aço Telhas Produtos Siderugicos Ltda" u="1"/>
        <s v="Comagran Produtos Agro Ind. Ltda - CG" u="1"/>
        <s v="Tractor Parts Distr. De Auto Peças Ltda" u="1"/>
        <s v="Copasul Transportes e Com. De Combustíveis TTR" u="1"/>
        <s v="Adler Martins Sociedade Individual de Advocacia" u="1"/>
        <s v="J.C Neto (João Impressora)" u="1"/>
        <s v="Mantoan Advocacia Tributária" u="1"/>
        <s v="Douravet Veterinária Ltda - Central Veterinária" u="1"/>
        <s v="André Luiz de Carvalho" u="1"/>
        <s v="Alessandra Stadler Anguita Ltda - Agro e Jardim" u="1"/>
        <s v="Fábrica de Tubos, Lajes e Artefatos de Cimento - Fera" u="1"/>
        <s v="Tintas Automotivas e Imobiliárias - Paraíso das Tintas" u="1"/>
        <s v="Ruralshop Campo Grande EPP" u="1"/>
        <s v="Casa das Cores Comércio de Tintas Ltda" u="1"/>
      </sharedItems>
    </cacheField>
    <cacheField name="Descrição" numFmtId="0">
      <sharedItems containsBlank="1" count="437">
        <s v="Saldo Inical do Resultado do Exercício de 2025"/>
        <s v="Pluxee Multibenefícios - Administrativo"/>
        <s v="Diversos"/>
        <s v="Banco Inter - Distribuição de Lucro"/>
        <s v="Reserva p/ Conta XP (Taxa armazenagem_Safrinha Milho 25/25)"/>
        <s v="Transferência Entre Contas - Pgto das Tarifas Bancárias"/>
        <s v="Resgate da Conta Investimento Invest - Pgto das Tarifas Bancárias"/>
        <s v="Resgate da Conta Investimento Invest Evolutivo - Reserva p/ Construção da Sede"/>
        <s v="Resgate da Conta Investimento Invest - Reserva p/ Construção da Sede"/>
        <s v="IOF Basico CH PJ"/>
        <s v="IOF Adicional PJ CH Especial"/>
        <s v="Juros Utiliz. CH Especial"/>
        <s v="Integralização de Capital Subscrito"/>
        <s v="Contabilidade"/>
        <s v="Rastreamento Veicular - Caminhonete L200"/>
        <s v="Pá Coração + Cadeados + Regador de Jardim"/>
        <s v="Folha de Pgto - Administrativo"/>
        <s v="Cesta Relacionamento"/>
        <s v="Construção da Sede - Boiler e acessórios hidráulicos "/>
        <s v="Construção da Sede - Instalações hidrossanitárias"/>
        <s v="Construção da Sede - Materiais para instalação dos Ares Condicionados"/>
        <s v="Construção da Sede_Obra_Contrato - Material de Construção"/>
        <s v="Construção da Sede - Produtos alimentícios refeição funcionários LTS"/>
        <s v="Construção da Sede - Portas internas"/>
        <s v="Peças para reparo de urgência  (Husqvarna TS 138L)"/>
        <s v="Mão de Obra reparo de urgência (Husqvarna TS 138L)"/>
        <s v="Construção da Sede - Instalações elétricas"/>
        <s v="Deb.Cta. Fatura"/>
        <s v="Tampa da Caixa D'Agua Fortlev 10 mil litros"/>
        <s v="Construção da Sede_Projeto_Contrato - Execução (ISS)"/>
        <s v="Transf. Entre Contas_Resgate  Investimento XP - Extra Emergencial p/ Construção da Sede"/>
        <s v="Aplicação Financeira - Extra Emergencial p/ Construção da Sede"/>
        <s v="Aluguel de Sala Atmosphera"/>
        <s v="Construção da Sede - Móveis Planejados"/>
        <s v="Construção da Sede - GLP Botijão 13 kg"/>
        <s v="Bateria 100 ah Moura - Massey Fergunson 290"/>
        <s v="60 kg de Ração para Dog"/>
        <s v="Transferência Entre Contas"/>
        <s v="Construção da Sede - Refeições aos colaboradores da LTS (9 almoços + 8 jantares)"/>
        <s v="Construção da Sede - Materiais_Molduras de gessoa (portas e janelas)"/>
        <s v="Construção da Sede - Mão de Obra_Molduras de gessoa (portas e janelas)"/>
        <s v="Construção da Sede - Mudas p/ paisagismo"/>
        <s v="Kijacto Policampo 5L + Solupan 5L + Óleo 2T Stihl 500ml"/>
        <s v="Assinatura Anual  do Canva"/>
        <s v="Assinatura Anual do MD Commodities"/>
        <s v="04 agendas (1 Sr. Cládio e 3 Colaboradores da Fazenda)"/>
        <s v="Internet Fazenda Aramburu"/>
        <s v="Produtos de Limpeza"/>
        <s v="Kit Cesta final de ano do Administrativo - Alma Presentes"/>
        <s v="Cimento + Tijolos | Manutenção nos Cochos do Chiqueiro"/>
        <s v="Construção da Sede_Obra_Contrato - Locação de Equipamentos (Andaimes)"/>
        <s v="Abastecimentos Posto Carreteiro"/>
        <s v="Construção da Sede_Projeto_Contrato - Execução (INSS)"/>
        <s v="INSS Folha de Pgto"/>
        <s v="FGTS 13/2025"/>
        <s v="FGTS Folha de Pgto"/>
        <s v="Construção da Sede_Obra_Contrato - Telhas, acessórios de fixação e acessórios de acabamento"/>
        <s v="Construção da Sede - Materiais Elétricos"/>
        <s v="Plano de Saúde Bradesco"/>
        <s v="01 Kit Cesta Básica Economia (1 pessoa)"/>
        <s v="01 Kit Cesta Básica Solidária (Casal)"/>
        <s v="Construção da Sede_Obra_Contrato - Locação de Equipamento (Container)"/>
        <s v="Renovação OFC PJ Agropecuária Aramburu Ltda"/>
        <s v="Construção da Sede - Pisos"/>
        <s v="CSLL 4º Trimestre/2025"/>
        <s v="IRPJ-LP 4º Trimestre/2025"/>
        <s v="01 bateria original do notebook Dell Inspiron 5448 + instalação + troca do conector USB"/>
        <s v="Construção da Sede - Elemento vazado (cobogó flor natural 39x39x7)"/>
        <s v="Venda Soja Safra 24/25"/>
        <s v="Mão de Obra da troca, alinhamento e balanceamento de 02 pneus da L200 (Placa NRY0578)"/>
        <s v="Construção da Sede - Forro Cumaru e Ripas (Forro da área gourmet + sala de jantar)"/>
        <s v="Construção da Sede_Obra_Contrato - Impermeabilização de Laje com manta asfaltica"/>
        <s v="Taxa de Alvará 2026 - Agropecuária Aramburu Ltda"/>
        <s v="Transf. entre contas (Inter) - Taxa de Alvará 2026 Aramburu Part."/>
        <s v="45 kg de Ração para Dog"/>
        <s v="Construção da Sede - Execução muro da lavanderia e da base do balcão da área gourmet"/>
        <s v="Carrinho de Mão Baleia 110Lt + 3 litros Óleo 2T Stihl"/>
        <s v="Prensa nos Adaptadores no Pulverizador Jacto 9600"/>
        <s v="Construção da Sede - 5kg Nutrigel + 125kg Gesso + 75kg Calcário Óxido de Cálcio"/>
        <s v="Bateria 90 ah Moura - Caminhonete L200"/>
        <s v="Laço de gado 12mt + Mangueira p/ choque (tubo isolador) 50mt 3/8''"/>
        <s v="Construção da Sede - Instalação do Forro da área gourmet + sala de jantar"/>
        <s v="02 Pneus da Caminhonete L200 (265/75R16 Xbris Brutus)"/>
        <s v="02 Enxadas grandes (tramontina)"/>
        <s v="05 Lâmpadas de Led (Bulbo e Alta)"/>
        <s v="Cloud Gateway Ultra 1GBPS"/>
        <s v="Construção da Sede - Materiais_Molduras de gesso (portas e janelas)"/>
        <s v="Construção da Sede - Ar Condicionado (1 de 12 BTU e 2 de 24 BTU)"/>
        <s v="20lt Roundup Original + 20lt Óleo 68 Dunax + 01 Lima com cabo"/>
        <s v="Construção da Sede - Construção da Sede - Remoção de resíduos da obra - 02 cargas"/>
        <s v="Construção da Sede - Instalação das Vigas"/>
        <s v="Frete - mudança do colaborador Peres Siqueira (rescisão) + Gabriel Costa (admissão)"/>
        <s v="Rural Business"/>
        <s v="Serviço de análise de água subterrânea (poço)"/>
        <s v="Instalação do ar condicionado - residência de funcionário (Gabriel Costa)"/>
        <s v="Cesta Empresarial 2"/>
        <s v="Mangueira de Jardim 50 mt + Adaptadores + Abraçadeiras"/>
        <s v="Resgate da Conta Investimento Invest"/>
        <s v="Resgate RDC Distribuição de Resultados"/>
        <s v="Resgate da Conta Investimento Invest Evolutivo"/>
        <s v="Transferência Entre Contas - Encerramento de conta (Sicredi Ag. 0902)"/>
        <s v="Aplicação Financeira - Saldos - Encerramento de conta (Sicredi Ag. 0902)"/>
        <s v="01 câmara e montagem do pneu dianteiro (Massey Fergunson 290)"/>
        <s v="01 Ar Condicionado Sprinter 12 mil BTUs + Instalação na residência de funcionário (Amadeu)"/>
        <s v="Assinatura Anual do MD Commodities (reembolso cobrança indevida)"/>
        <s v="Carregador (Cabo + Fonte)"/>
        <s v="Abastecimento Posto Tereré"/>
        <s v="Construção da Sede - Muro lavanderia"/>
        <s v="Construção da Sede - Mão de Obra_Molduras de gesso (portas e janelas)"/>
        <s v="Construção da Sede - Materiais_Ganchos de rede"/>
        <s v="Eletrificador de cerca - Zebu (5,8J Modelo K120)"/>
        <s v="Construção da Sede - Acabamento e assentamento de pisos (158,3421 m²)"/>
        <s v="80kg de Semente Urochloa Brizantha cv Marandu"/>
        <s v="Materiais hidráulicos + Rastelo Tramontina 120cm"/>
        <s v="EPI - Diversos (Colaborador Gabriel Costa)"/>
        <s v="Construção da Sede - Material de Pintura"/>
        <s v="Abastecimentos TRR Copasul (2.000 litros de S10)"/>
        <s v="Capital Social - Encerramento de conta (Sicredi Ag. 0902)"/>
        <s v="Construção da Sede - Peças (passagem de cabo de rede e troca das lâmpadas)"/>
        <s v="Construção da Sede - Mão de Obra (passagem de cabo de rede e troca das lâmpadas)"/>
        <s v="Aplicação Financeira - Capital Social - Encerramento de conta (Sicredi Ag. 0902)"/>
        <s v="Container de Combustível de 1.000 litros"/>
        <s v="Construção da Sede - Refeições aos colaboradores da LTS (3 almoços)"/>
        <s v="Reserva p/ Conta XP (Emergência - Saldo de 2025)"/>
        <s v="Transf. Entre Contas_Saldo DV 2025 - Extra Emergencial p/ Construção da Sede"/>
        <s v="Conserto do Eletrificador de cerca - Zebu (5,8J Modelo K120)"/>
        <s v="Construção da Sede - Acabamento e assentamento de pisos (218,24 mt²)"/>
        <s v="Bomba p/ Graxa 7kg Manual Yamaguti 5mt mangueira + 20lt graxa + catracas +  1,5lt Óleo 2T Stihl + tela mosquito"/>
        <s v="Aplicação Financeira - Extra Emergencial p/ Construção da Sede (Saldo DV 2025)"/>
        <s v="Mentoria e desenvolvimento do Projeto Financeiro"/>
        <s v="Construção da Sede - Boxes Banheiros"/>
        <s v="Eixo frontal LT131/LT151/TS138 (Husqvarna TS 138L)"/>
        <s v="Mão de Obra reparo de urgência - ignição + troca do eixo frontal  (Husqvarna TS 138L)"/>
        <s v="Peças de reparo de urgência - ignição (Husqvarna TS 138L)"/>
        <s v="01 filtro lubrificante de tanque de combustível (Man Filter Código H12111)"/>
        <s v="Materiais Elétricos Diversos (Marquinhos, Nedes e reparos na fazenda)"/>
        <s v="Compra de 01 animal bovino macho (touro)"/>
        <s v="Construção da Sede - Acabamento e assentamento de pisos (50,00 mt²)"/>
        <s v="Assinatura Anual do MD Commodities (cobrança indevida)"/>
        <s v="Construção da Sede - Materiais hidráulicos"/>
        <s v="Construção da Sede - Materiais_Ganchos para pendurar os lustres"/>
        <s v="Construção da Sede - Granito para filetes, pingadeiras (janelas), etc"/>
        <s v="Construção da Sede - Luminárias"/>
        <s v="Construção da Sede - Tijolos de Revestimentos"/>
        <s v="Anuidade do cartão de crédito"/>
        <s v="45 kg de Ração para Dog, 2 Coleiras, 2 Guias e  6 Shampoo Matt 6x1"/>
        <s v="Construção da Sede -  Mão de obra da pintura"/>
        <s v="250kg Milho em grãos"/>
        <s v="Tenente 20 2kg"/>
        <s v="Construção da Sede - Limpeza do rejunte do piso"/>
        <s v="Fio Nylon, Sifões, Silicone Preto + Aplicador, Abraçadeiras e Mangueira de Sucção"/>
        <s v="Construção da Sede - Acabamento e assentamento de pisos | INSS Patronal"/>
        <s v="Cimento | Construção de Fogão a lenha na residência do funcionário"/>
        <s v="Construção da Sede - Acabamento e assentamento de pisos (137,13 mt²) + Refratário"/>
        <s v="CSLL 1º Trimestre/2026"/>
        <s v="IRPJ-LP 1º Trimestre/2026"/>
        <s v="Peças de reparo de urgência - conjunto de levante (Husqvarna TS 138L)"/>
        <s v="Construção da Sede - Tubulações e conexões para gás"/>
        <s v="Mangueira + Prensa p/ trator Massey Fergunson 290"/>
        <s v="Cabeçote da Bomba Pulverizador Jacto 9600"/>
        <s v="Mata bicheira cidental, texvet e umbicura"/>
        <s v="Corda 8mm 15 metros + Óleo Lubri Dexron 1 litro Massey + Tinta Spray Preto 350 ml"/>
        <s v="Construção da Sede - Forro Cumaru e Ripas (Porta Frontal + Cadeiras de Mesa)"/>
        <s v="Construção da Sede - Nivela Piso e Base Branca Slim"/>
        <s v="Construção da Sede - Grelha"/>
        <s v="Construção da Sede - Fogão Electrolux + Cooktop Brastemp "/>
        <s v="Construção da Sede - Tijolinhos para revestir a lareira"/>
        <s v="Construção da Sede - Tijolinhos para a lareira"/>
        <s v="Despesas Variáveis"/>
        <s v="Construção da Sede -  Mão de obra da pintura | INSS Patronal"/>
        <s v="Registro | Uso na residência do funcionário"/>
        <m/>
        <s v="Construção da Sede - Cimento + Espaçador p/ Sr. Odílio"/>
        <s v="Transf. entre contas (Inter) - Renovação OFC PJ Aramburu Participações Ltda"/>
        <s v="Construção da Sede - Argamassa p/ Sr. Odílio"/>
        <s v="Construção da Sede - Cimento p/ Sr. Odílio"/>
        <s v="Anuidade de 2026 do CRMV-MS"/>
        <s v="Construção da Sede_Obra_Contrato - Execução | MED 05"/>
        <s v="Construção da Sede - Esquadrias"/>
        <s v="Anuidade de 2025 do CRMV-MS"/>
        <s v="Construção da Sede - Calhas, rufos, cumieiras, etc"/>
        <s v="Construção da Sede - Instalações dos Ar Condicionados"/>
        <s v="Imposto Anual Distribuição de Lucro"/>
        <s v="Ração para Dog"/>
        <s v="CCIR 2026"/>
        <s v="Renovação Documentos SST (PCMSO, LTCAT e LIT)"/>
        <s v="CSLL 2º Trimestre/2026"/>
        <s v="IRPJ-LP 2º Trimestre/2026"/>
        <s v="Licenciamento L200 2026"/>
        <s v="Insumos Drews"/>
        <s v="Férias - Administrativo"/>
        <s v="ITR 2026 Fazenda Aramburu"/>
        <s v="CSLL 3º Trimestre/2026"/>
        <s v="IRPJ-LP 3º Trimestre/2026"/>
        <s v="Requerimento INCRA (ratificação das terras)"/>
        <s v="Contabilidade | Repasse anual (13º)"/>
        <s v="Folha de Pgto_1ª Parc. 13/2026 - Administrativo"/>
        <s v="Mão de Obra da Revisão L200 (Placa NRY0578)"/>
        <s v="Peças da Revisão L200 (Placa NRY0578)"/>
        <s v="INSS 13/2026"/>
        <s v="Folha de Pgto_2ª Parc. 13/2026 - Administrativo"/>
        <s v="Construção da Sede - Acabamento e assentamento de pisos (111,00 mt²)" u="1"/>
        <s v="Mão de Obra troca do eixo frontal (Husqvarna TS 138L)" u="1"/>
        <s v="Bateria 100 ah Moura - Massey Fergunson" u="1"/>
        <s v="Construção da Sede_Obra_Contrato - Granito para filetes, pingadeiras (janelas), etc" u="1"/>
        <s v="Construção da Sede - Acabamento e assentamento de pisos" u="1"/>
        <s v="Container de Combustível de 1.000 litros " u="1"/>
        <s v="Resgate da Conta Investimento XP - Extra Emergencial p/ Construção da Sede" u="1"/>
        <s v="45 kg de Ração para Dog +  3 Snack Finotrato" u="1"/>
        <s v="Construção da Sede - Forro Cumaru e Ripas" u="1"/>
        <s v="Ar Condicionado Sprinter 12 mil BTUs + Instalação na residência de funcionário (Amadeu)" u="1"/>
        <s v="Construção da Sede - Instalação do Forro da área gourmet + sala de jantar (complementação)" u="1"/>
        <s v="5kg Nutrigel + 125kg Gesso + 75kg Calcário Óxido de Cálcio" u="1"/>
        <s v="Construção da Sede - Remoção de resíduos da obra (02 cargas)" u="1"/>
        <s v="01 bateria original do notebook Dell Inspiron 5448 + instalação" u="1"/>
        <s v="Construção da Sede - Remoção de resíduos da obra" u="1"/>
        <s v="Transf. entre contas (Inter) - Taxa de Alvará 2025 Aramburu Part." u="1"/>
        <s v="Construção da Sede_Obra_Contrato - Execução | MED 06" u="1"/>
        <s v="Construção da Sede - Instalações dos Ares Condicionados" u="1"/>
        <s v="Capital Social Mensal" u="1"/>
        <s v="Taxa armazenagem_Safrinha Milho 25/25" u="1"/>
        <s v="Construção da Sede_Obra_Contrato - Execução |  5% RETENÇÃO" u="1"/>
        <s v="Saldo Inical do Resultado do Exercício de 2024" u="1"/>
        <s v="Benefício Pluxee - Administrativo" u="1"/>
        <s v="Manutenção Conta Sicredi" u="1"/>
        <s v="Poedeira" u="1"/>
        <s v="Sistema SW Rural" u="1"/>
        <s v="Semente hortaliça e sal branco" u="1"/>
        <s v="Conserto Notebook (Troca Jack + Bios + Limpeza)" u="1"/>
        <s v="Materiais Diversos" u="1"/>
        <s v="Serviço de Borracharia" u="1"/>
        <s v="Serviço de troca de fechaduras" u="1"/>
        <s v="Cesta Básica da Fazenda" u="1"/>
        <s v="Terra Vegetal" u="1"/>
        <s v="FGTS 13/2024" u="1"/>
        <s v="Adestramento de cães do Draak e Alpha (Dobermanns) " u="1"/>
        <s v="Manutenção Impressora Adm" u="1"/>
        <s v="CSLL 4º Trimestre/2024" u="1"/>
        <s v="IRPJ-LP 4º Trimestre/2024" u="1"/>
        <s v="Reserva p/ Conta XP (Emergência)" u="1"/>
        <s v="Venda Soja Safra 21/22" u="1"/>
        <s v="Venda Soja Safra 22/23" u="1"/>
        <s v="Venda Soja Safra 23/24" u="1"/>
        <s v="02 Casinhas de Cachorro com Telhado Ecológico XG N08" u="1"/>
        <s v="Placas de Alertas" u="1"/>
        <s v="Caixa Descarga" u="1"/>
        <s v="Ração, Begação e Erva Mate" u="1"/>
        <s v="Fechadura Sobrepor" u="1"/>
        <s v="Lavagem Completa Triton L200 (NRY-0578)" u="1"/>
        <s v="Multa Ref. as NFP nr 7591630 e 7591631" u="1"/>
        <s v="15 kg de Ração para Dog" u="1"/>
        <s v="Diferencial de ICMS ref. NF 391 Hamix Importação" u="1"/>
        <s v="Placas de Alertas - Faz. Serenata e Faz. Aramburu" u="1"/>
        <s v="Eletrificador" u="1"/>
        <s v="Termo-Higrometro Analógico" u="1"/>
        <s v="Mão de Obra para reforma casa funcionário e pocilga" u="1"/>
        <s v="Construção da Sede - Revisão do projeto de arquitetura da Casa ISM" u="1"/>
        <s v="Contrato da Proposta Comercial Nº 1257" u="1"/>
        <s v="Diferencial de ICMS ref. NF 24023 Mauro E. Breitenbach" u="1"/>
        <s v="Equipamentos de Segurança (Projeto L.A.)" u="1"/>
        <s v="Honorários Advocatícios - Contrato Soja 24/25 Granosul" u="1"/>
        <s v="02 pneus dianteiros e câmaras do Massey Fergunson 290" u="1"/>
        <s v="Taxa de Alvará 2025 - Agropecuária Aramburu Ltda" u="1"/>
        <s v="Mão de Obra manutenção (Husqvarna TS 138L)" u="1"/>
        <s v="Peças para manutenção (Husqvarna TS 138L)" u="1"/>
        <s v="Cadeados e Correntes" u="1"/>
        <s v="Diferencial de ICMS ref. NF 105583 Visio Produtos Eletrônicos" u="1"/>
        <s v="Diferencial de ICMS ref. NF 120521 Inohouse Importação" u="1"/>
        <s v="Diferencial de ICMS ref. NF 1275039 Mega Byte" u="1"/>
        <s v="Diferencial de ICMS ref. NF 1391953 Tok Com. de Variedades" u="1"/>
        <s v="Diferencial de ICMS ref. NF 235926 Vuc Soluções e Serv." u="1"/>
        <s v="Diferencial de ICMS ref. NF 24869 Enviemix Distribuidora" u="1"/>
        <s v="Diferencial de ICMS ref. NF 34973 GKM Produtos Eletrônicos" u="1"/>
        <s v="Diferencial de ICMS ref. NF 89453 Vini Multistore" u="1"/>
        <s v="Manutenção no Massey Fergunson 290 (alternador e motor de partida)" u="1"/>
        <s v="Lâmpada LED 50W e Alça Preformada" u="1"/>
        <s v="Resma A4" u="1"/>
        <s v="15 kg de Ração para Dog  e Comedouros" u="1"/>
        <s v="Color Jet Preto (Uso no latão de lixo)" u="1"/>
        <s v="Materiais para reforma casa funcionário" u="1"/>
        <s v="Materiais para reforma Pocilga" u="1"/>
        <s v="Diferencial de ICMS ref. NF 18373 E Lumina Com. Varejista" u="1"/>
        <s v="Frete - mudança da colaboradora Cintia Daniela Rodrigues Ricalde" u="1"/>
        <s v="Mão de Obra manutenção (Motosserra Stihl)" u="1"/>
        <s v="Peças para manutenção (Motosserra Stihl)" u="1"/>
        <s v="Recauchutagem ou regeneração de pneus (caminhonete e tratorzinho)" u="1"/>
        <s v="Devolução NF 1275039 Mega Byte Magazine (01 roteador)" u="1"/>
        <s v="Materiais utilizados para adestramento de cães" u="1"/>
        <s v="Tenente 20 4kg" u="1"/>
        <s v="Contrato da Proposta Comercial Nº 1257 + Tx Maq. R$ 145/mês" u="1"/>
        <s v="Manutenção, instalação e equipamentos (roteadores e cabos de rede)" u="1"/>
        <s v="CSLL e IRPJ-LP 1º Trimestre/2025" u="1"/>
        <s v="Pilhas AA e AAA p/ o Escritório" u="1"/>
        <s v="Aplicação Financeira Aviso Prévio" u="1"/>
        <s v="Distribuição de Resultados Sobras" u="1"/>
        <s v="3 cópias de chaves" u="1"/>
        <s v="Correia, Lâminas e Regulador (Husqvarna TS 138L)" u="1"/>
        <s v="Manutenção, instalação e equipamentos (instalação de refletores)" u="1"/>
        <s v="Montagens de Pneus (Husqvarna TS 138L)" u="1"/>
        <s v="Brinquedo,  osso defumado e coleiras (Dobermans)" u="1"/>
        <s v="Capa de Proteção da Caixa D'Água de 1.000 L" u="1"/>
        <s v="45 kg de Ração para Dog e 10 kg para Gato" u="1"/>
        <s v="Compra de Supermercado para Fazenda Aramburu" u="1"/>
        <s v="Reserva p/ Conta XP (Emergência - Saldo de 2024)" u="1"/>
        <s v="Materiais p/ organização de arquivos - Funcionários" u="1"/>
        <s v="Construção da Sede_Obra_Contrato - Execução | Pgto da Entrada" u="1"/>
        <s v="Construção da Sede_Projeto_Contrato - Execução" u="1"/>
        <s v="Transf. entre contas (Inter) - Multa DCTFWeb 10/2021" u="1"/>
        <s v="Eixos e Buchas Dianteiras + Peças p/ Manutenção (Husqvarna TS 138L)" u="1"/>
        <s v="Manutenção, instalação e equipamentos (superaquecimento)" u="1"/>
        <s v="GLP Botijão 13 kg" u="1"/>
        <s v="Trado Manual 1.1/2&quot; x 18&quot;" u="1"/>
        <s v="Construção da Sede_Obra_Contrato - Consultoria em produto Steel Frame" u="1"/>
        <s v="Construção da Sede_Obra_Contrato - Material  do produto Steel Frame" u="1"/>
        <s v="Serviço de torno e solda para conserto do cofre" u="1"/>
        <s v="Construção da Sede - Aterramento" u="1"/>
        <s v="Carrinho de Mão Tramontina Extraforte" u="1"/>
        <s v="Manutenção, instalação e equipamentos (rede Wi-fi)" u="1"/>
        <s v="Serviço e troca de peças p/ conserto Lavadora de Alta Pressão Wap 4100" u="1"/>
        <s v="Construção da Sede_Obra_Contrato - Execução | Pgto da Entrada (INSS)" u="1"/>
        <s v="Construção da Sede_Obra_Contrato - Execução | Pgto da Entrada (PIS/COFINS/CSLL)" u="1"/>
        <s v="Construção da Sede_Projeto_Contrato - Execução (PIS/COFINS/CSLL)" u="1"/>
        <s v="Bomba Manual de Ar C/ Manometro Vonder" u="1"/>
        <s v="Frete - mudança dos colaboradores Amadeu Fava e Cristiane Freire" u="1"/>
        <s v="CCIR 2025" u="1"/>
        <s v="Instalação de Rastreador Veicular - Caminhonete L200" u="1"/>
        <s v="Serviço e troca de peças p/ conserto Soprador Black Decker" u="1"/>
        <s v="Construção da Sede - Abastecimentos Posto Carreteiro" u="1"/>
        <s v="Materiais para construção de Patreleiras" u="1"/>
        <s v="Honorários  veterinários  p/ castração de 01 Dobermann e materiais para curativo" u="1"/>
        <s v="EPI - 01 Par de Botina Fazen Café Nr 38 (Colaborador Amadeu Fava)" u="1"/>
        <s v="EPI - Diversos (Colaboradores Amadeu Fava e Cristiane Freire)" u="1"/>
        <s v="01 Kit Cesta Básica Economia (Colaborador Fernando Bronel)" u="1"/>
        <s v="01 Kit Cesta Básica Solidária (Colaboradores Amadeu Fava e Cristiane Freire)" u="1"/>
        <s v="CSLL e IRPJ-LP 2º Trimestre/2025" u="1"/>
        <s v="Venda Milho Safrinha 24/24" u="1"/>
        <s v="Corretagem Venda Milho Safrinha 24/24 (Inpasa nº 2323)" u="1"/>
        <s v="Corretagem Venda Milho Safrinha 24/24 (Inpasa nº 2324)" u="1"/>
        <s v="Emissão das Certidões de Matrículas nº 27940 e 18162" u="1"/>
        <s v="Peças (Ajustes nas instalações dos equip. segurança)" u="1"/>
        <s v="Serviços (Ajustes nas instalações dos equip. segurança)" u="1"/>
        <s v="PU40 + Aplicador, Sifão, Policampo e Desengraxante" u="1"/>
        <s v="Chuveiro Lorenzetti 220V e Passarinheiras" u="1"/>
        <s v="Coleira 70 cm + 48 cm e osso defumado" u="1"/>
        <s v="Serviço de serralheria para suportes de sustentação da antena de segurança" u="1"/>
        <s v="Aquisição do Equipamento Rastreador Veicular - Caminhonete L200" u="1"/>
        <s v="Cobrança de Assinatura (cobrança indevida e justificada pela Ana B P Fragelli)" u="1"/>
        <s v="Utensílios diversos (marmitas, potes, raquete de mosquito, moedor e etc)" u="1"/>
        <s v="Arame Cerca Elétrica 1.000 metros" u="1"/>
        <s v="Produtos alimentícios para refeição aos colaboradores da Ping Tecnologia" u="1"/>
        <s v="Construção da Sede_Projeto_Contrato - Execução (PIS/COFINS/CSLL/IR)" u="1"/>
        <s v="08 unid Combo 30 30kg (Suplemento Mineral Protéico)" u="1"/>
        <s v="Óleo 2T Stihl 500ml" u="1"/>
        <s v="60 kg de Ração para Dog e 4 Snack Finotrato" u="1"/>
        <s v="Construção da Sede_Obra_Contrato - Material  Brita 0 Pedrisco" u="1"/>
        <s v="Reserva p/ Conta XP (Emergência - Aplicação Financeira)" u="1"/>
        <s v="Verniz Secagem Rápida 3,6 litros" u="1"/>
        <s v="Tabua Pinus 3mx30cm (10 unidades)" u="1"/>
        <s v="Diferencial de ICMS ref. NF 1629 HJ Acessórios" u="1"/>
        <s v="Interruptor,  Caixa Tampa, Fio, Fita Isolante e Refletor" u="1"/>
        <s v="Construção da Sede_Obra_Contrato - Material  de Construção" u="1"/>
        <s v="2 Bases Refrigeradoras de Notebook C3tech" u="1"/>
        <s v="Conjunto de teclado e mouse sem fio" u="1"/>
        <s v="Construção da Sede_Obra_Contrato - Serviço de Munck" u="1"/>
        <s v="EPI - Diversos (Colaborador Madson Martins)" u="1"/>
        <s v="Construção da Sede_Obra_Contrato - Execução | MED 01" u="1"/>
        <s v="Construção da Sede_Obra_Contrato - Locação de Equipamentos (Placa Vibratória)" u="1"/>
        <s v="Caixa D'Agua Plástica 1.000 litros Tigre" u="1"/>
        <s v="60 kg de Ração para Dog e 40 Pintos Potura Vermelha" u="1"/>
        <s v="Lâmpadas Incandescentes 105W (09 unidades)" u="1"/>
        <s v="Terminal de direção do Massey Fergunson 290 (02 unid. p/ direito e esquerdo)" u="1"/>
        <s v="ITR 2025 Fazenda Aramburu" u="1"/>
        <s v="Construção da Sede_Obra_Contrato - Locação de Equipamento (Toldo Pirâmide)" u="1"/>
        <s v="Construção da Sede_Obra_Contrato - Locação de Equipamentos (Vibradores e Mangote)" u="1"/>
        <s v="01 Kit Cesta Básica Economia (Colaborador Madson Martins)" u="1"/>
        <s v="01 Fita dupla face p/ uso no Manual de Rotina na Fazenda" u="1"/>
        <s v="Frete - mudança do colaborador Peres Siqueira" u="1"/>
        <s v="Impressões (A3 Couchê 170g) - Manual de Rotina da Fazenda" u="1"/>
        <s v="Peças de reparo, 01 tampa de partida (Motosserra Stihl)" u="1"/>
        <s v="Férias (Recibo Venda 20 dias) - Administrativo" u="1"/>
        <s v="Cal hidratado 20 kg (02 pacotes)" u="1"/>
        <s v="Adaptadores no Pulverizador Jacto 9600 com mangueiras de pressão p/ caso de incêndio" u="1"/>
        <s v="Texvet Max Pour On 1L (02 unidades)" u="1"/>
        <s v="03 Faróis de Led + 02 Kit Terminal de Direção Rosqueado | Massey 290" u="1"/>
        <s v="Combustível Drews" u="1"/>
        <s v="01 soprador de folhas a gasolina da marca Branco modelo BS 470" u="1"/>
        <s v="Filtro Copo de Vidro Trator CBT" u="1"/>
        <s v="Construção da Sede_Obra_Contrato - Execução | MED 02" u="1"/>
        <s v="Serviços de Consultoria Contábil, Tributária, Fiscal e Econômica" u="1"/>
        <s v="01 Kit Cesta Básica Economia (Colaborador Peres Siqueira)" u="1"/>
        <s v="CSLL e IRPJ 3º Trimestre/2025" u="1"/>
        <s v="Cabo de Enxada e Enxadão (02 unid e 01 unid) + EPI (Peres Siqueira)" u="1"/>
        <s v="01 câmara e montagem do pneu traseiro (Massey Fergunson 290)" u="1"/>
        <s v="10 unid Combo 30 30kg (Suplemento Mineral Protéico)" u="1"/>
        <s v="Reparo no pneu traseiro (L200)" u="1"/>
        <s v="Consultoria dos Advs da Holding de SP" u="1"/>
        <s v="Mata bicheira cidental, borgal, lima de enxada, catraca, cabo machado, corda, neem e vermpifugo" u="1"/>
        <s v="Filtro do motor do Massey Fergunson 290 e Óleo 15w40 (20 litros)" u="1"/>
        <s v="Atendimento de emergência no touro + medicamentos (micotil e banamine transdermal)" u="1"/>
        <s v="Cano PVC Esgoto 40mm + Cola (Casa do Peres Siqueira)" u="1"/>
        <s v="Conserto da impressora HP da fazenda + recargas" u="1"/>
        <s v="Peças (Conserto nas instalações da internet)" u="1"/>
        <s v="Serviços (Conserto nas instalações da internet)" u="1"/>
        <s v="Sabre 10'' + Corrente 3/8 1,3mm | Podador Altura Nagano" u="1"/>
        <s v="Filtro (ar, combustível e óleo) + Óleo Ipiranga 10w30 | Husqvarna TS 138L" u="1"/>
        <s v="Construção da Sede_Obra_Contrato - Execução | MED 03" u="1"/>
        <s v="Jogo completo de reparo Pulverizador Jacto 9600" u="1"/>
        <s v="Folha de Pgto_1ª Parc. 13/2025 - Administrativo" u="1"/>
        <s v="Diferencial de ICMS ref. NF 73519 Kingspan" u="1"/>
        <s v="Construção da Sede - Abastecimento de água para a caixa geral" u="1"/>
        <s v="Correia (Husqvarna TS 138L)" u="1"/>
        <s v="Construção da Sede - Serviço para abastecimento d’água e esgoto" u="1"/>
        <s v="Construção da Sede - Utensílios de cozinha (marmitas)" u="1"/>
        <s v="Estopas + Vassouras + Rastelos" u="1"/>
        <s v="Filtros de ar (interno e externo) do Massey Fergunson 290 " u="1"/>
        <s v="Mata bicheira cidental, texvet e organnact prata" u="1"/>
        <s v="Transferência Entre Contas (Cota Capital - Nova Conta Sicredi Ag. 0913)" u="1"/>
        <s v="Cota Capital ref. a abertura da nova Conta Sicredi (Ag. 0913)" u="1"/>
        <s v="Aporte Financeiro da Cota Capital ref. a abertura da nova Conta Sicredi (Ag. 0913)" u="1"/>
        <s v="Construção da Sede - Arames" u="1"/>
        <s v="Construção da Sede_Obra_Contrato - Execução | MED 04" u="1"/>
        <s v="2 litros de 10w30 marca Deiton" u="1"/>
        <s v="Concha vermelha (assento) do Massey Fergunson 290" u="1"/>
        <s v="Construção da Sede - Instalações hidráulicas" u="1"/>
        <s v="Norton (2,4D + Picloram) 20 lt" u="1"/>
        <s v="Folha de Pgto_14/2025 - Administrativo" u="1"/>
        <s v="Desengripante + Fita isolante" u="1"/>
        <s v="Construção da Sede - Contrapiso e esgoto" u="1"/>
        <s v="Folha de Pgto_2ª Parc. 13/2025 - Administrativo" u="1"/>
        <s v="INSS 13/2025" u="1"/>
        <s v="Tabua Pinus 3mx30cm (15 unidades)" u="1"/>
        <s v="Construção da Sede - Pintura das calhas" u="1"/>
        <s v="Construção da Sede_Obra_Contrato - Parafuso p/ instalações hidrossanitárias" u="1"/>
        <s v="Construção da Sede -  Tratamento de esgoto" u="1"/>
        <s v="Construção da Sede - Instalações hidrossanitárias tratamento de esgoto" u="1"/>
        <s v="Tabua Pinus 2mx30cm (33 unidades)" u="1"/>
        <s v="Norton  (2,4D + Picloram) 20 lt" u="1"/>
      </sharedItems>
    </cacheField>
    <cacheField name="Obs. Obra" numFmtId="0">
      <sharedItems containsBlank="1" count="13">
        <s v="-"/>
        <s v="OUTRAS"/>
        <s v="ORDEM DE COMPRA"/>
        <s v="MEDIÇÃO 04"/>
        <s v="MEDIÇÃO 05"/>
        <m/>
        <s v="MEDIÇÃO 06"/>
        <s v="RETENÇÃO" u="1"/>
        <s v="OBRA" u="1"/>
        <s v="PROJETO" u="1"/>
        <s v="MEDIÇÃO 01" u="1"/>
        <s v="MEDIÇÃO 02" u="1"/>
        <s v="MEDIÇÃO 03" u="1"/>
      </sharedItems>
    </cacheField>
    <cacheField name="Ref." numFmtId="0">
      <sharedItems containsBlank="1" containsMixedTypes="1" containsNumber="1" containsInteger="1" minValue="2024" maxValue="2026" count="238">
        <s v="-"/>
        <s v="NF 211497"/>
        <s v="NF 716"/>
        <s v="Jan/2026"/>
        <n v="2026"/>
        <s v="NF 27980"/>
        <s v="NF 32"/>
        <s v="NF 175894"/>
        <s v="Dez/2025"/>
        <s v="NF 1331"/>
        <s v="NF 358475"/>
        <s v="NF 93740"/>
        <s v="NF 5197"/>
        <s v="NF 17592"/>
        <s v="AGUARDANDO NF"/>
        <s v="NF 575"/>
        <s v="NF 1905"/>
        <s v="NF 356167"/>
        <s v="NF 314132"/>
        <s v="NF 12873"/>
        <s v="NF 277091"/>
        <s v="NF 258"/>
        <s v="NF 1000991"/>
        <s v="NF 262"/>
        <s v="NF 358792"/>
        <s v="Recibo 020/2026"/>
        <s v="NF 280640"/>
        <s v="NF 6"/>
        <s v="NF 2467"/>
        <s v="NF 1512"/>
        <s v="NF 377"/>
        <s v="NF 314917"/>
        <s v="NF 69"/>
        <s v="NF 180"/>
        <s v="NF 373"/>
        <s v="NF 2184"/>
        <s v="NF 17660"/>
        <s v="NF 72"/>
        <s v="NF 16436"/>
        <s v="NF 6477"/>
        <s v="NF 49859"/>
        <s v="RECIBO"/>
        <s v="NF 17981"/>
        <s v="NF 456"/>
        <s v="NF 281269"/>
        <s v="NF 356916"/>
        <s v="NF 10010"/>
        <s v="NF 4915"/>
        <s v="NF 281464"/>
        <s v="ND-020548"/>
        <s v="NF 17850"/>
        <s v="13º/2025"/>
        <s v="NF 73519"/>
        <s v="NF 314450"/>
        <s v="NF 23626"/>
        <s v="NF 314524"/>
        <s v="NF 40606"/>
        <s v="NF 40518"/>
        <s v="ND 3538"/>
        <s v="NF 360329"/>
        <n v="2025"/>
        <s v="NF 79"/>
        <s v="NF 6308"/>
        <s v="NF 8066969"/>
        <s v="Fev/2026"/>
        <s v="NF 768"/>
        <s v="NF 996"/>
        <s v="NF 545"/>
        <s v="NF 34"/>
        <s v="NF 228417"/>
        <s v="NF 433"/>
        <s v="NF 33"/>
        <s v="NF 28116"/>
        <s v="NF 2572"/>
        <s v="NF 2573"/>
        <s v="NF 17505"/>
        <s v="CONTRATO"/>
        <s v="NF 17797"/>
        <s v="NF 16862"/>
        <s v="NF 97384"/>
        <s v="Recibo 021/2026"/>
        <s v="NF 246144"/>
        <s v="NF 1513"/>
        <s v="NF 246143"/>
        <s v="NF 4746"/>
        <s v="NF 1"/>
        <s v="ND-020780"/>
        <s v="NF 5841"/>
        <s v="NF 13962"/>
        <s v="NF 283977"/>
        <s v="NF 18608"/>
        <s v="NF 180169"/>
        <s v="NF 96277"/>
        <s v="NF 871"/>
        <s v="NF 315598"/>
        <s v="NF 17875"/>
        <s v="NF 623838"/>
        <s v="NF 246807"/>
        <s v="NF 154"/>
        <s v="NF 2"/>
        <s v="NF 21163"/>
        <s v="ND 3597"/>
        <s v="NF 41573"/>
        <s v="NF 41572"/>
        <s v="NF 296923"/>
        <s v="NF 20315"/>
        <s v="NF 23767"/>
        <s v="Mar/2026"/>
        <s v="NF 362342"/>
        <s v="NF 285910"/>
        <s v="NF 214"/>
        <s v="NF 807"/>
        <s v="NF 17975"/>
        <s v="NF 21412"/>
        <s v="NF 245191"/>
        <s v="NF 508"/>
        <s v="NF 23766"/>
        <s v="NF 28303"/>
        <s v="NF 25"/>
        <s v="NF 2678"/>
        <s v="NF 2677"/>
        <s v="NF 18040"/>
        <s v="Recibo 022/2026"/>
        <s v="NF 6597"/>
        <s v="NF 216"/>
        <s v="NF 286900"/>
        <s v="NF 2895"/>
        <s v="ND-021072"/>
        <s v="NF 19288"/>
        <s v="NF 51148"/>
        <s v="NF 3323435"/>
        <s v="NF 2695"/>
        <s v="NF 287493"/>
        <s v="NF 160943"/>
        <s v="NF 18116"/>
        <s v="NF 4566"/>
        <s v="NF 316396"/>
        <s v="NF 14"/>
        <s v="NF 18809"/>
        <s v="NF 18122"/>
        <s v="NF 184419"/>
        <s v="NF 24670"/>
        <s v="ND 3648"/>
        <s v="NF 42468"/>
        <s v="NF 9893"/>
        <s v="NF 18198"/>
        <s v="NF 8066874"/>
        <s v="NF 8066943"/>
        <s v="NF 7634"/>
        <s v="NF 51"/>
        <s v="Abr/2026"/>
        <s v="NF 62"/>
        <s v="NF 865"/>
        <s v="NF 159"/>
        <s v="NF 877"/>
        <s v="NF 15"/>
        <s v="NF 28492"/>
        <s v="NF 18472"/>
        <s v="NF 542"/>
        <s v="NF 28"/>
        <s v="NF 186519"/>
        <s v="NF 2785"/>
        <s v="NF 2012"/>
        <s v="NF 12682"/>
        <s v="Recibo 023/2026"/>
        <s v="NF 23959"/>
        <s v="NF 8857631"/>
        <s v="NF 11"/>
        <s v="NF 19790"/>
        <s v="NF 127"/>
        <s v="NF 368738 e 101496"/>
        <s v="NF 4350945"/>
        <s v="NF 51420"/>
        <s v="NF 2395"/>
        <s v="NF 387"/>
        <s v="NF 46405"/>
        <s v="NF 9298"/>
        <s v="NF 619"/>
        <s v="NF 18441"/>
        <s v="NF 10"/>
        <s v="NF 950"/>
        <s v="NF 83000"/>
        <s v="NF 291810"/>
        <s v="NF 18935"/>
        <s v="NF 29494"/>
        <s v="NF 43246"/>
        <s v="NF 43230"/>
        <s v="NF 293152"/>
        <s v="NF 16"/>
        <s v="NF 550"/>
        <s v="NF 922"/>
        <s v="NF 721"/>
        <s v="NF 2873"/>
        <s v="Mai/2026"/>
        <s v="NF 28689"/>
        <s v="NF 51939"/>
        <s v="NF 2874"/>
        <s v="NF 18560"/>
        <s v="NF 100452"/>
        <s v="NF 63198"/>
        <s v="NF 84770"/>
        <s v="NF 19413"/>
        <s v="NF 368986"/>
        <s v="Recibo 024/2026"/>
        <s v="NF 743"/>
        <s v="AGURANDO NF"/>
        <s v="NF 368738"/>
        <s v="NF 369044"/>
        <s v="NF 5473232"/>
        <s v="NF 261435"/>
        <s v="NF 440047"/>
        <s v="NF 440048"/>
        <s v="NF 18699"/>
        <s v="NF 295931"/>
        <s v="NF 296401"/>
        <m/>
        <s v="NF 296402"/>
        <s v="NF 318200"/>
        <s v="NF 296518"/>
        <s v="NF 297149"/>
        <s v="Jun/2026"/>
        <s v="Recibo 025/2026"/>
        <s v="Jul/2026"/>
        <s v="Recibo 026/2026"/>
        <s v="NF 8082622"/>
        <s v="Ago/2026"/>
        <s v="Recibo 027/2026"/>
        <s v="Set/2026"/>
        <s v="Recibo 028/2026"/>
        <s v="Out/2026"/>
        <s v="Recibo 029/2026"/>
        <s v="Nov/2026"/>
        <s v="Out2026"/>
        <s v="Recibo 030/2026"/>
        <s v="13/2026"/>
        <s v="Dez/2026"/>
        <s v="Recibo 031/2026"/>
        <n v="2024" u="1"/>
      </sharedItems>
    </cacheField>
    <cacheField name="Parcelas" numFmtId="0">
      <sharedItems containsBlank="1"/>
    </cacheField>
    <cacheField name="Forma de Pgto" numFmtId="0">
      <sharedItems containsBlank="1" count="11">
        <s v="-"/>
        <s v="Boleto"/>
        <s v="Pix"/>
        <s v="Transferência"/>
        <s v="Débito Automático"/>
        <s v="Guia"/>
        <s v="Cartão de Crédito"/>
        <s v="Cartão de Débito"/>
        <m/>
        <s v="Cartão de Crédito Cora" u="1"/>
        <s v="Cartão de Débito Cora" u="1"/>
      </sharedItems>
    </cacheField>
    <cacheField name="Conta Bancária" numFmtId="0">
      <sharedItems containsBlank="1" count="6">
        <s v="Banco Cora (0001)"/>
        <s v="Cooperativa Sicredi (0902)"/>
        <s v="Cooperativa Sicredi (0913)"/>
        <m/>
        <s v="Banco Cora" u="1"/>
        <s v="Cooperativa Sicredi" u="1"/>
      </sharedItems>
    </cacheField>
    <cacheField name="Status" numFmtId="0">
      <sharedItems containsBlank="1" count="17">
        <s v="Saldo inicial"/>
        <s v="Pago"/>
        <s v="Repassado"/>
        <s v="Aplicado"/>
        <s v="Resgatado"/>
        <s v="Recebido"/>
        <s v="Resgate"/>
        <s v="A resgatar"/>
        <s v="A pagar"/>
        <s v="Provisionado"/>
        <s v="Provisionado DL"/>
        <s v="Provisionado DV"/>
        <m/>
        <s v="A receber"/>
        <s v="A repassar" u="1"/>
        <s v="Aplicação" u="1"/>
        <s v="A aplicar" u="1"/>
      </sharedItems>
    </cacheField>
    <cacheField name="Valor" numFmtId="44">
      <sharedItems containsString="0" containsBlank="1" containsNumber="1" minValue="-300000" maxValue="1235040"/>
    </cacheField>
  </cacheFields>
  <extLst>
    <ext xmlns:x14="http://schemas.microsoft.com/office/spreadsheetml/2009/9/main" uri="{725AE2AE-9491-48be-B2B4-4EB974FC3084}">
      <x14:pivotCacheDefinition pivotCacheId="10341445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8">
  <r>
    <x v="0"/>
    <x v="0"/>
    <x v="0"/>
    <x v="0"/>
    <x v="0"/>
    <x v="0"/>
    <n v="13616.54"/>
    <d v="2026-01-02T00:00:00"/>
    <x v="0"/>
  </r>
  <r>
    <x v="0"/>
    <x v="0"/>
    <x v="0"/>
    <x v="0"/>
    <x v="1"/>
    <x v="0"/>
    <n v="2000"/>
    <d v="2026-01-02T00:00:00"/>
    <x v="0"/>
  </r>
  <r>
    <x v="0"/>
    <x v="0"/>
    <x v="0"/>
    <x v="1"/>
    <x v="2"/>
    <x v="1"/>
    <n v="300"/>
    <d v="2026-01-02T00:00:00"/>
    <x v="0"/>
  </r>
  <r>
    <x v="0"/>
    <x v="0"/>
    <x v="0"/>
    <x v="1"/>
    <x v="3"/>
    <x v="1"/>
    <n v="3105"/>
    <d v="2026-01-02T00:00:00"/>
    <x v="0"/>
  </r>
  <r>
    <x v="0"/>
    <x v="0"/>
    <x v="0"/>
    <x v="1"/>
    <x v="4"/>
    <x v="1"/>
    <n v="713.25"/>
    <d v="2026-01-02T00:00:00"/>
    <x v="0"/>
  </r>
  <r>
    <x v="0"/>
    <x v="0"/>
    <x v="0"/>
    <x v="1"/>
    <x v="5"/>
    <x v="2"/>
    <n v="447.74"/>
    <d v="2026-01-02T00:00:00"/>
    <x v="0"/>
  </r>
  <r>
    <x v="0"/>
    <x v="0"/>
    <x v="0"/>
    <x v="2"/>
    <x v="6"/>
    <x v="1"/>
    <n v="150"/>
    <d v="2026-01-02T00:00:00"/>
    <x v="0"/>
  </r>
  <r>
    <x v="0"/>
    <x v="0"/>
    <x v="0"/>
    <x v="2"/>
    <x v="7"/>
    <x v="0"/>
    <n v="3200"/>
    <d v="2026-01-02T00:00:00"/>
    <x v="0"/>
  </r>
  <r>
    <x v="0"/>
    <x v="0"/>
    <x v="0"/>
    <x v="3"/>
    <x v="8"/>
    <x v="0"/>
    <n v="626.79999999999995"/>
    <d v="2026-01-20T00:00:00"/>
    <x v="0"/>
  </r>
  <r>
    <x v="0"/>
    <x v="0"/>
    <x v="0"/>
    <x v="3"/>
    <x v="9"/>
    <x v="0"/>
    <n v="2297.77"/>
    <d v="2026-01-05T00:00:00"/>
    <x v="0"/>
  </r>
  <r>
    <x v="0"/>
    <x v="0"/>
    <x v="0"/>
    <x v="3"/>
    <x v="10"/>
    <x v="0"/>
    <n v="1469.15"/>
    <d v="2026-01-05T00:00:00"/>
    <x v="0"/>
  </r>
  <r>
    <x v="0"/>
    <x v="0"/>
    <x v="0"/>
    <x v="3"/>
    <x v="11"/>
    <x v="0"/>
    <n v="2297.77"/>
    <d v="2026-01-05T00:00:00"/>
    <x v="0"/>
  </r>
  <r>
    <x v="0"/>
    <x v="0"/>
    <x v="0"/>
    <x v="3"/>
    <x v="12"/>
    <x v="0"/>
    <n v="466.34"/>
    <d v="2026-01-20T00:00:00"/>
    <x v="0"/>
  </r>
  <r>
    <x v="0"/>
    <x v="0"/>
    <x v="0"/>
    <x v="3"/>
    <x v="13"/>
    <x v="0"/>
    <n v="450"/>
    <d v="2026-01-02T00:00:00"/>
    <x v="0"/>
  </r>
  <r>
    <x v="0"/>
    <x v="0"/>
    <x v="0"/>
    <x v="3"/>
    <x v="14"/>
    <x v="0"/>
    <n v="350"/>
    <d v="2026-01-02T00:00:00"/>
    <x v="0"/>
  </r>
  <r>
    <x v="0"/>
    <x v="0"/>
    <x v="0"/>
    <x v="3"/>
    <x v="15"/>
    <x v="0"/>
    <n v="450"/>
    <d v="2026-01-02T00:00:00"/>
    <x v="0"/>
  </r>
  <r>
    <x v="0"/>
    <x v="0"/>
    <x v="1"/>
    <x v="0"/>
    <x v="16"/>
    <x v="3"/>
    <n v="1100"/>
    <d v="2026-01-10T00:00:00"/>
    <x v="0"/>
  </r>
  <r>
    <x v="0"/>
    <x v="0"/>
    <x v="1"/>
    <x v="0"/>
    <x v="17"/>
    <x v="3"/>
    <n v="633.92999999999995"/>
    <d v="2026-01-10T00:00:00"/>
    <x v="0"/>
  </r>
  <r>
    <x v="0"/>
    <x v="0"/>
    <x v="1"/>
    <x v="0"/>
    <x v="18"/>
    <x v="3"/>
    <n v="400"/>
    <d v="2026-01-02T00:00:00"/>
    <x v="0"/>
  </r>
  <r>
    <x v="0"/>
    <x v="0"/>
    <x v="1"/>
    <x v="0"/>
    <x v="19"/>
    <x v="3"/>
    <n v="220"/>
    <d v="2026-01-02T00:00:00"/>
    <x v="0"/>
  </r>
  <r>
    <x v="0"/>
    <x v="0"/>
    <x v="1"/>
    <x v="4"/>
    <x v="20"/>
    <x v="3"/>
    <n v="778.22"/>
    <d v="2026-01-20T00:00:00"/>
    <x v="0"/>
  </r>
  <r>
    <x v="0"/>
    <x v="0"/>
    <x v="1"/>
    <x v="4"/>
    <x v="21"/>
    <x v="3"/>
    <n v="389.3"/>
    <d v="2026-01-20T00:00:00"/>
    <x v="0"/>
  </r>
  <r>
    <x v="0"/>
    <x v="0"/>
    <x v="1"/>
    <x v="4"/>
    <x v="22"/>
    <x v="3"/>
    <n v="2129.42"/>
    <d v="2026-01-05T00:00:00"/>
    <x v="0"/>
  </r>
  <r>
    <x v="0"/>
    <x v="0"/>
    <x v="1"/>
    <x v="4"/>
    <x v="23"/>
    <x v="3"/>
    <n v="207.9"/>
    <d v="2026-01-02T00:00:00"/>
    <x v="0"/>
  </r>
  <r>
    <x v="0"/>
    <x v="0"/>
    <x v="1"/>
    <x v="1"/>
    <x v="2"/>
    <x v="4"/>
    <n v="330"/>
    <d v="2026-01-02T00:00:00"/>
    <x v="0"/>
  </r>
  <r>
    <x v="0"/>
    <x v="0"/>
    <x v="1"/>
    <x v="1"/>
    <x v="3"/>
    <x v="4"/>
    <n v="11000"/>
    <d v="2026-01-02T00:00:00"/>
    <x v="0"/>
  </r>
  <r>
    <x v="0"/>
    <x v="0"/>
    <x v="1"/>
    <x v="1"/>
    <x v="4"/>
    <x v="4"/>
    <n v="220"/>
    <d v="2026-01-02T00:00:00"/>
    <x v="0"/>
  </r>
  <r>
    <x v="0"/>
    <x v="0"/>
    <x v="2"/>
    <x v="0"/>
    <x v="24"/>
    <x v="5"/>
    <n v="4900"/>
    <d v="2026-01-02T00:00:00"/>
    <x v="0"/>
  </r>
  <r>
    <x v="0"/>
    <x v="0"/>
    <x v="2"/>
    <x v="0"/>
    <x v="25"/>
    <x v="5"/>
    <n v="2131"/>
    <d v="2026-01-02T00:00:00"/>
    <x v="0"/>
  </r>
  <r>
    <x v="0"/>
    <x v="0"/>
    <x v="2"/>
    <x v="1"/>
    <x v="26"/>
    <x v="6"/>
    <n v="1000"/>
    <d v="2026-01-02T00:00:00"/>
    <x v="0"/>
  </r>
  <r>
    <x v="0"/>
    <x v="0"/>
    <x v="2"/>
    <x v="1"/>
    <x v="2"/>
    <x v="5"/>
    <n v="200"/>
    <d v="2026-01-02T00:00:00"/>
    <x v="0"/>
  </r>
  <r>
    <x v="0"/>
    <x v="0"/>
    <x v="2"/>
    <x v="1"/>
    <x v="3"/>
    <x v="5"/>
    <n v="5000"/>
    <d v="2026-01-02T00:00:00"/>
    <x v="0"/>
  </r>
  <r>
    <x v="0"/>
    <x v="0"/>
    <x v="2"/>
    <x v="1"/>
    <x v="4"/>
    <x v="5"/>
    <n v="100"/>
    <d v="2026-01-02T00:00:00"/>
    <x v="0"/>
  </r>
  <r>
    <x v="1"/>
    <x v="0"/>
    <x v="3"/>
    <x v="3"/>
    <x v="27"/>
    <x v="7"/>
    <n v="444"/>
    <d v="2026-01-05T00:00:00"/>
    <x v="0"/>
  </r>
  <r>
    <x v="1"/>
    <x v="0"/>
    <x v="0"/>
    <x v="0"/>
    <x v="28"/>
    <x v="0"/>
    <n v="1329.49"/>
    <d v="2026-01-12T00:00:00"/>
    <x v="0"/>
  </r>
  <r>
    <x v="1"/>
    <x v="0"/>
    <x v="0"/>
    <x v="0"/>
    <x v="29"/>
    <x v="0"/>
    <n v="204.78"/>
    <d v="2026-01-12T00:00:00"/>
    <x v="0"/>
  </r>
  <r>
    <x v="1"/>
    <x v="0"/>
    <x v="0"/>
    <x v="0"/>
    <x v="30"/>
    <x v="0"/>
    <n v="503.91"/>
    <d v="2026-01-12T00:00:00"/>
    <x v="0"/>
  </r>
  <r>
    <x v="1"/>
    <x v="0"/>
    <x v="0"/>
    <x v="2"/>
    <x v="31"/>
    <x v="0"/>
    <n v="5402.53"/>
    <d v="2026-01-05T00:00:00"/>
    <x v="0"/>
  </r>
  <r>
    <x v="1"/>
    <x v="0"/>
    <x v="0"/>
    <x v="2"/>
    <x v="32"/>
    <x v="0"/>
    <n v="552.86"/>
    <d v="2026-01-06T00:00:00"/>
    <x v="0"/>
  </r>
  <r>
    <x v="1"/>
    <x v="0"/>
    <x v="0"/>
    <x v="3"/>
    <x v="33"/>
    <x v="0"/>
    <n v="1752.87"/>
    <d v="2026-01-05T00:00:00"/>
    <x v="0"/>
  </r>
  <r>
    <x v="1"/>
    <x v="0"/>
    <x v="1"/>
    <x v="0"/>
    <x v="34"/>
    <x v="3"/>
    <n v="638.04999999999995"/>
    <d v="2026-01-15T00:00:00"/>
    <x v="0"/>
  </r>
  <r>
    <x v="1"/>
    <x v="0"/>
    <x v="1"/>
    <x v="2"/>
    <x v="35"/>
    <x v="3"/>
    <n v="4030.73"/>
    <d v="2026-01-05T00:00:00"/>
    <x v="0"/>
  </r>
  <r>
    <x v="1"/>
    <x v="0"/>
    <x v="1"/>
    <x v="2"/>
    <x v="36"/>
    <x v="3"/>
    <n v="474.9"/>
    <d v="2026-01-11T00:00:00"/>
    <x v="0"/>
  </r>
  <r>
    <x v="1"/>
    <x v="0"/>
    <x v="2"/>
    <x v="2"/>
    <x v="37"/>
    <x v="5"/>
    <n v="3025.01"/>
    <d v="2026-01-05T00:00:00"/>
    <x v="0"/>
  </r>
  <r>
    <x v="2"/>
    <x v="0"/>
    <x v="0"/>
    <x v="3"/>
    <x v="38"/>
    <x v="0"/>
    <n v="2102.1799999999998"/>
    <d v="2026-01-16T00:00:00"/>
    <x v="0"/>
  </r>
  <r>
    <x v="3"/>
    <x v="0"/>
    <x v="3"/>
    <x v="0"/>
    <x v="39"/>
    <x v="8"/>
    <n v="915.86"/>
    <d v="2026-01-20T00:00:00"/>
    <x v="0"/>
  </r>
  <r>
    <x v="4"/>
    <x v="0"/>
    <x v="1"/>
    <x v="3"/>
    <x v="40"/>
    <x v="3"/>
    <n v="100"/>
    <d v="2026-01-22T00:00:00"/>
    <x v="0"/>
  </r>
  <r>
    <x v="5"/>
    <x v="0"/>
    <x v="3"/>
    <x v="3"/>
    <x v="27"/>
    <x v="7"/>
    <n v="444"/>
    <d v="2026-01-29T00:00:00"/>
    <x v="0"/>
  </r>
  <r>
    <x v="6"/>
    <x v="1"/>
    <x v="0"/>
    <x v="1"/>
    <x v="2"/>
    <x v="1"/>
    <n v="300"/>
    <d v="2026-02-02T00:00:00"/>
    <x v="0"/>
  </r>
  <r>
    <x v="6"/>
    <x v="1"/>
    <x v="0"/>
    <x v="1"/>
    <x v="3"/>
    <x v="1"/>
    <n v="3105"/>
    <d v="2026-02-02T00:00:00"/>
    <x v="0"/>
  </r>
  <r>
    <x v="6"/>
    <x v="1"/>
    <x v="0"/>
    <x v="1"/>
    <x v="4"/>
    <x v="1"/>
    <n v="713.25"/>
    <d v="2026-02-02T00:00:00"/>
    <x v="0"/>
  </r>
  <r>
    <x v="6"/>
    <x v="1"/>
    <x v="0"/>
    <x v="2"/>
    <x v="6"/>
    <x v="1"/>
    <n v="150"/>
    <d v="2026-02-02T00:00:00"/>
    <x v="0"/>
  </r>
  <r>
    <x v="6"/>
    <x v="1"/>
    <x v="0"/>
    <x v="2"/>
    <x v="32"/>
    <x v="0"/>
    <n v="552.86"/>
    <d v="2026-02-06T00:00:00"/>
    <x v="0"/>
  </r>
  <r>
    <x v="6"/>
    <x v="1"/>
    <x v="0"/>
    <x v="3"/>
    <x v="41"/>
    <x v="0"/>
    <n v="529.67999999999995"/>
    <s v="202/02"/>
    <x v="0"/>
  </r>
  <r>
    <x v="6"/>
    <x v="1"/>
    <x v="0"/>
    <x v="3"/>
    <x v="9"/>
    <x v="0"/>
    <n v="2299.3200000000002"/>
    <d v="2026-02-05T00:00:00"/>
    <x v="0"/>
  </r>
  <r>
    <x v="6"/>
    <x v="1"/>
    <x v="0"/>
    <x v="3"/>
    <x v="10"/>
    <x v="0"/>
    <n v="1566.97"/>
    <d v="2026-02-05T00:00:00"/>
    <x v="0"/>
  </r>
  <r>
    <x v="6"/>
    <x v="1"/>
    <x v="0"/>
    <x v="3"/>
    <x v="11"/>
    <x v="0"/>
    <n v="2299.3200000000002"/>
    <d v="2026-02-05T00:00:00"/>
    <x v="0"/>
  </r>
  <r>
    <x v="6"/>
    <x v="1"/>
    <x v="0"/>
    <x v="3"/>
    <x v="12"/>
    <x v="0"/>
    <n v="468.63"/>
    <d v="2026-02-20T00:00:00"/>
    <x v="0"/>
  </r>
  <r>
    <x v="6"/>
    <x v="1"/>
    <x v="0"/>
    <x v="3"/>
    <x v="13"/>
    <x v="0"/>
    <n v="450"/>
    <d v="2026-02-02T00:00:00"/>
    <x v="0"/>
  </r>
  <r>
    <x v="6"/>
    <x v="1"/>
    <x v="0"/>
    <x v="3"/>
    <x v="14"/>
    <x v="0"/>
    <n v="350"/>
    <d v="2026-02-02T00:00:00"/>
    <x v="0"/>
  </r>
  <r>
    <x v="6"/>
    <x v="1"/>
    <x v="0"/>
    <x v="3"/>
    <x v="15"/>
    <x v="0"/>
    <n v="321.43"/>
    <d v="2026-02-02T00:00:00"/>
    <x v="0"/>
  </r>
  <r>
    <x v="7"/>
    <x v="1"/>
    <x v="0"/>
    <x v="0"/>
    <x v="42"/>
    <x v="0"/>
    <n v="1329.49"/>
    <d v="2026-02-12T00:00:00"/>
    <x v="0"/>
  </r>
  <r>
    <x v="7"/>
    <x v="1"/>
    <x v="0"/>
    <x v="0"/>
    <x v="43"/>
    <x v="0"/>
    <n v="204.78"/>
    <d v="2026-02-12T00:00:00"/>
    <x v="0"/>
  </r>
  <r>
    <x v="7"/>
    <x v="1"/>
    <x v="0"/>
    <x v="0"/>
    <x v="44"/>
    <x v="0"/>
    <n v="503.91"/>
    <d v="2026-02-12T00:00:00"/>
    <x v="0"/>
  </r>
  <r>
    <x v="7"/>
    <x v="1"/>
    <x v="0"/>
    <x v="0"/>
    <x v="45"/>
    <x v="0"/>
    <n v="2287.21"/>
    <d v="2026-02-12T00:00:00"/>
    <x v="0"/>
  </r>
  <r>
    <x v="7"/>
    <x v="1"/>
    <x v="0"/>
    <x v="0"/>
    <x v="0"/>
    <x v="0"/>
    <n v="13616.54"/>
    <d v="2026-02-02T00:00:00"/>
    <x v="0"/>
  </r>
  <r>
    <x v="7"/>
    <x v="1"/>
    <x v="0"/>
    <x v="0"/>
    <x v="1"/>
    <x v="0"/>
    <n v="2000"/>
    <d v="2026-02-02T00:00:00"/>
    <x v="0"/>
  </r>
  <r>
    <x v="7"/>
    <x v="1"/>
    <x v="1"/>
    <x v="0"/>
    <x v="34"/>
    <x v="3"/>
    <n v="421.41"/>
    <d v="2026-02-15T00:00:00"/>
    <x v="0"/>
  </r>
  <r>
    <x v="7"/>
    <x v="1"/>
    <x v="1"/>
    <x v="0"/>
    <x v="17"/>
    <x v="3"/>
    <n v="667.06"/>
    <d v="2026-02-10T00:00:00"/>
    <x v="0"/>
  </r>
  <r>
    <x v="7"/>
    <x v="1"/>
    <x v="1"/>
    <x v="0"/>
    <x v="18"/>
    <x v="3"/>
    <n v="400"/>
    <d v="2026-02-02T00:00:00"/>
    <x v="0"/>
  </r>
  <r>
    <x v="7"/>
    <x v="1"/>
    <x v="1"/>
    <x v="0"/>
    <x v="19"/>
    <x v="3"/>
    <n v="220"/>
    <d v="2026-02-02T00:00:00"/>
    <x v="0"/>
  </r>
  <r>
    <x v="7"/>
    <x v="1"/>
    <x v="1"/>
    <x v="4"/>
    <x v="46"/>
    <x v="3"/>
    <n v="9355.7199999999993"/>
    <d v="2026-01-30T00:00:00"/>
    <x v="0"/>
  </r>
  <r>
    <x v="7"/>
    <x v="1"/>
    <x v="1"/>
    <x v="4"/>
    <x v="20"/>
    <x v="3"/>
    <n v="450.62"/>
    <d v="2026-02-20T00:00:00"/>
    <x v="0"/>
  </r>
  <r>
    <x v="7"/>
    <x v="1"/>
    <x v="1"/>
    <x v="4"/>
    <x v="47"/>
    <x v="3"/>
    <n v="639.54"/>
    <d v="2026-02-09T00:00:00"/>
    <x v="0"/>
  </r>
  <r>
    <x v="7"/>
    <x v="1"/>
    <x v="1"/>
    <x v="1"/>
    <x v="2"/>
    <x v="4"/>
    <n v="330"/>
    <d v="2026-02-02T00:00:00"/>
    <x v="0"/>
  </r>
  <r>
    <x v="7"/>
    <x v="1"/>
    <x v="1"/>
    <x v="1"/>
    <x v="3"/>
    <x v="4"/>
    <n v="11000"/>
    <d v="2026-02-02T00:00:00"/>
    <x v="0"/>
  </r>
  <r>
    <x v="7"/>
    <x v="1"/>
    <x v="1"/>
    <x v="1"/>
    <x v="4"/>
    <x v="4"/>
    <n v="220"/>
    <d v="2026-02-02T00:00:00"/>
    <x v="0"/>
  </r>
  <r>
    <x v="7"/>
    <x v="1"/>
    <x v="1"/>
    <x v="2"/>
    <x v="36"/>
    <x v="3"/>
    <n v="474.9"/>
    <d v="2026-02-06T00:00:00"/>
    <x v="0"/>
  </r>
  <r>
    <x v="7"/>
    <x v="1"/>
    <x v="2"/>
    <x v="0"/>
    <x v="24"/>
    <x v="5"/>
    <n v="4900"/>
    <d v="2026-02-02T00:00:00"/>
    <x v="0"/>
  </r>
  <r>
    <x v="7"/>
    <x v="1"/>
    <x v="2"/>
    <x v="0"/>
    <x v="25"/>
    <x v="5"/>
    <n v="2131"/>
    <d v="2026-02-02T00:00:00"/>
    <x v="0"/>
  </r>
  <r>
    <x v="7"/>
    <x v="1"/>
    <x v="2"/>
    <x v="1"/>
    <x v="26"/>
    <x v="6"/>
    <n v="1000"/>
    <d v="2026-02-02T00:00:00"/>
    <x v="0"/>
  </r>
  <r>
    <x v="7"/>
    <x v="1"/>
    <x v="2"/>
    <x v="1"/>
    <x v="2"/>
    <x v="5"/>
    <n v="200"/>
    <d v="2026-02-02T00:00:00"/>
    <x v="0"/>
  </r>
  <r>
    <x v="7"/>
    <x v="1"/>
    <x v="2"/>
    <x v="1"/>
    <x v="3"/>
    <x v="5"/>
    <n v="5000"/>
    <d v="2026-02-02T00:00:00"/>
    <x v="0"/>
  </r>
  <r>
    <x v="7"/>
    <x v="1"/>
    <x v="2"/>
    <x v="1"/>
    <x v="4"/>
    <x v="5"/>
    <n v="100"/>
    <d v="2026-02-02T00:00:00"/>
    <x v="0"/>
  </r>
  <r>
    <x v="7"/>
    <x v="1"/>
    <x v="2"/>
    <x v="1"/>
    <x v="48"/>
    <x v="5"/>
    <n v="18500"/>
    <d v="2026-02-02T00:00:00"/>
    <x v="0"/>
  </r>
  <r>
    <x v="8"/>
    <x v="1"/>
    <x v="1"/>
    <x v="0"/>
    <x v="16"/>
    <x v="3"/>
    <n v="1100"/>
    <d v="2026-02-10T00:00:00"/>
    <x v="0"/>
  </r>
  <r>
    <x v="9"/>
    <x v="1"/>
    <x v="0"/>
    <x v="3"/>
    <x v="38"/>
    <x v="0"/>
    <n v="855.76"/>
    <d v="2026-02-18T00:00:00"/>
    <x v="0"/>
  </r>
  <r>
    <x v="10"/>
    <x v="1"/>
    <x v="0"/>
    <x v="3"/>
    <x v="49"/>
    <x v="0"/>
    <n v="3315.3"/>
    <d v="2026-02-25T00:00:00"/>
    <x v="0"/>
  </r>
  <r>
    <x v="11"/>
    <x v="2"/>
    <x v="0"/>
    <x v="0"/>
    <x v="50"/>
    <x v="0"/>
    <n v="1329.49"/>
    <d v="2026-03-12T00:00:00"/>
    <x v="0"/>
  </r>
  <r>
    <x v="11"/>
    <x v="2"/>
    <x v="0"/>
    <x v="0"/>
    <x v="51"/>
    <x v="0"/>
    <n v="204.78"/>
    <d v="2026-03-12T00:00:00"/>
    <x v="0"/>
  </r>
  <r>
    <x v="11"/>
    <x v="2"/>
    <x v="0"/>
    <x v="0"/>
    <x v="52"/>
    <x v="0"/>
    <n v="503.91"/>
    <d v="2026-03-12T00:00:00"/>
    <x v="0"/>
  </r>
  <r>
    <x v="11"/>
    <x v="2"/>
    <x v="0"/>
    <x v="0"/>
    <x v="53"/>
    <x v="0"/>
    <n v="2461.42"/>
    <d v="2026-03-10T00:00:00"/>
    <x v="0"/>
  </r>
  <r>
    <x v="11"/>
    <x v="2"/>
    <x v="0"/>
    <x v="0"/>
    <x v="54"/>
    <x v="0"/>
    <n v="2468.56"/>
    <d v="2026-03-10T00:00:00"/>
    <x v="0"/>
  </r>
  <r>
    <x v="11"/>
    <x v="2"/>
    <x v="0"/>
    <x v="0"/>
    <x v="55"/>
    <x v="0"/>
    <n v="1310.71"/>
    <d v="2026-03-10T00:00:00"/>
    <x v="0"/>
  </r>
  <r>
    <x v="11"/>
    <x v="2"/>
    <x v="0"/>
    <x v="0"/>
    <x v="0"/>
    <x v="0"/>
    <n v="13616.54"/>
    <d v="2026-03-02T00:00:00"/>
    <x v="0"/>
  </r>
  <r>
    <x v="11"/>
    <x v="2"/>
    <x v="0"/>
    <x v="0"/>
    <x v="1"/>
    <x v="0"/>
    <n v="2000"/>
    <d v="2026-03-02T00:00:00"/>
    <x v="0"/>
  </r>
  <r>
    <x v="11"/>
    <x v="2"/>
    <x v="0"/>
    <x v="1"/>
    <x v="2"/>
    <x v="1"/>
    <n v="300"/>
    <d v="2026-03-02T00:00:00"/>
    <x v="0"/>
  </r>
  <r>
    <x v="11"/>
    <x v="2"/>
    <x v="0"/>
    <x v="1"/>
    <x v="3"/>
    <x v="1"/>
    <n v="3105"/>
    <d v="2026-03-02T00:00:00"/>
    <x v="0"/>
  </r>
  <r>
    <x v="11"/>
    <x v="2"/>
    <x v="0"/>
    <x v="1"/>
    <x v="4"/>
    <x v="1"/>
    <n v="713.25"/>
    <d v="2026-03-02T00:00:00"/>
    <x v="0"/>
  </r>
  <r>
    <x v="11"/>
    <x v="2"/>
    <x v="0"/>
    <x v="1"/>
    <x v="56"/>
    <x v="1"/>
    <n v="500"/>
    <d v="2026-03-02T00:00:00"/>
    <x v="0"/>
  </r>
  <r>
    <x v="11"/>
    <x v="2"/>
    <x v="0"/>
    <x v="1"/>
    <x v="48"/>
    <x v="2"/>
    <n v="36627.5"/>
    <d v="2026-03-02T00:00:00"/>
    <x v="0"/>
  </r>
  <r>
    <x v="11"/>
    <x v="2"/>
    <x v="0"/>
    <x v="1"/>
    <x v="57"/>
    <x v="2"/>
    <n v="7600"/>
    <d v="2026-03-02T00:00:00"/>
    <x v="0"/>
  </r>
  <r>
    <x v="11"/>
    <x v="2"/>
    <x v="0"/>
    <x v="2"/>
    <x v="6"/>
    <x v="1"/>
    <n v="150"/>
    <d v="2026-03-02T00:00:00"/>
    <x v="0"/>
  </r>
  <r>
    <x v="11"/>
    <x v="2"/>
    <x v="0"/>
    <x v="2"/>
    <x v="32"/>
    <x v="0"/>
    <n v="552.86"/>
    <d v="2026-03-08T00:00:00"/>
    <x v="0"/>
  </r>
  <r>
    <x v="11"/>
    <x v="2"/>
    <x v="0"/>
    <x v="3"/>
    <x v="41"/>
    <x v="0"/>
    <n v="549.66999999999996"/>
    <d v="2026-03-20T00:00:00"/>
    <x v="0"/>
  </r>
  <r>
    <x v="11"/>
    <x v="2"/>
    <x v="0"/>
    <x v="3"/>
    <x v="9"/>
    <x v="0"/>
    <n v="2299.3200000000002"/>
    <d v="2026-03-05T00:00:00"/>
    <x v="0"/>
  </r>
  <r>
    <x v="11"/>
    <x v="2"/>
    <x v="0"/>
    <x v="3"/>
    <x v="10"/>
    <x v="0"/>
    <n v="1566.97"/>
    <d v="2026-03-05T00:00:00"/>
    <x v="0"/>
  </r>
  <r>
    <x v="11"/>
    <x v="2"/>
    <x v="0"/>
    <x v="3"/>
    <x v="58"/>
    <x v="0"/>
    <n v="616.66999999999996"/>
    <d v="2026-03-05T00:00:00"/>
    <x v="0"/>
  </r>
  <r>
    <x v="11"/>
    <x v="2"/>
    <x v="0"/>
    <x v="3"/>
    <x v="59"/>
    <x v="0"/>
    <n v="166.66"/>
    <d v="2026-03-05T00:00:00"/>
    <x v="0"/>
  </r>
  <r>
    <x v="11"/>
    <x v="2"/>
    <x v="0"/>
    <x v="3"/>
    <x v="12"/>
    <x v="0"/>
    <n v="475.38"/>
    <d v="2026-03-20T00:00:00"/>
    <x v="0"/>
  </r>
  <r>
    <x v="11"/>
    <x v="2"/>
    <x v="0"/>
    <x v="3"/>
    <x v="13"/>
    <x v="0"/>
    <n v="450"/>
    <d v="2026-03-02T00:00:00"/>
    <x v="0"/>
  </r>
  <r>
    <x v="11"/>
    <x v="2"/>
    <x v="0"/>
    <x v="3"/>
    <x v="14"/>
    <x v="0"/>
    <n v="350"/>
    <d v="2026-03-02T00:00:00"/>
    <x v="0"/>
  </r>
  <r>
    <x v="11"/>
    <x v="2"/>
    <x v="0"/>
    <x v="3"/>
    <x v="15"/>
    <x v="0"/>
    <n v="578.57000000000005"/>
    <d v="2026-03-02T00:00:00"/>
    <x v="0"/>
  </r>
  <r>
    <x v="11"/>
    <x v="2"/>
    <x v="1"/>
    <x v="0"/>
    <x v="34"/>
    <x v="3"/>
    <n v="129.07"/>
    <d v="2026-03-15T00:00:00"/>
    <x v="0"/>
  </r>
  <r>
    <x v="11"/>
    <x v="2"/>
    <x v="1"/>
    <x v="0"/>
    <x v="16"/>
    <x v="3"/>
    <n v="1100"/>
    <d v="2026-03-10T00:00:00"/>
    <x v="0"/>
  </r>
  <r>
    <x v="11"/>
    <x v="2"/>
    <x v="1"/>
    <x v="0"/>
    <x v="17"/>
    <x v="3"/>
    <n v="466.71"/>
    <d v="2026-03-10T00:00:00"/>
    <x v="0"/>
  </r>
  <r>
    <x v="11"/>
    <x v="2"/>
    <x v="1"/>
    <x v="0"/>
    <x v="18"/>
    <x v="3"/>
    <n v="400"/>
    <d v="2026-03-02T00:00:00"/>
    <x v="0"/>
  </r>
  <r>
    <x v="11"/>
    <x v="2"/>
    <x v="1"/>
    <x v="0"/>
    <x v="19"/>
    <x v="3"/>
    <n v="220"/>
    <d v="2026-03-02T00:00:00"/>
    <x v="0"/>
  </r>
  <r>
    <x v="11"/>
    <x v="2"/>
    <x v="1"/>
    <x v="1"/>
    <x v="2"/>
    <x v="4"/>
    <n v="330"/>
    <d v="2026-03-02T00:00:00"/>
    <x v="0"/>
  </r>
  <r>
    <x v="11"/>
    <x v="2"/>
    <x v="1"/>
    <x v="1"/>
    <x v="3"/>
    <x v="4"/>
    <n v="11000"/>
    <d v="2026-03-02T00:00:00"/>
    <x v="0"/>
  </r>
  <r>
    <x v="11"/>
    <x v="2"/>
    <x v="1"/>
    <x v="1"/>
    <x v="4"/>
    <x v="4"/>
    <n v="220"/>
    <d v="2026-03-02T00:00:00"/>
    <x v="0"/>
  </r>
  <r>
    <x v="11"/>
    <x v="2"/>
    <x v="1"/>
    <x v="1"/>
    <x v="56"/>
    <x v="4"/>
    <n v="500"/>
    <d v="2026-03-02T00:00:00"/>
    <x v="0"/>
  </r>
  <r>
    <x v="11"/>
    <x v="2"/>
    <x v="1"/>
    <x v="1"/>
    <x v="48"/>
    <x v="9"/>
    <n v="36627.5"/>
    <d v="2026-03-02T00:00:00"/>
    <x v="0"/>
  </r>
  <r>
    <x v="11"/>
    <x v="2"/>
    <x v="1"/>
    <x v="1"/>
    <x v="57"/>
    <x v="9"/>
    <n v="7600"/>
    <d v="2026-03-02T00:00:00"/>
    <x v="0"/>
  </r>
  <r>
    <x v="11"/>
    <x v="2"/>
    <x v="1"/>
    <x v="2"/>
    <x v="36"/>
    <x v="3"/>
    <n v="487.21"/>
    <d v="2026-03-10T00:00:00"/>
    <x v="0"/>
  </r>
  <r>
    <x v="11"/>
    <x v="2"/>
    <x v="2"/>
    <x v="0"/>
    <x v="24"/>
    <x v="5"/>
    <n v="4900"/>
    <d v="2026-03-02T00:00:00"/>
    <x v="0"/>
  </r>
  <r>
    <x v="11"/>
    <x v="2"/>
    <x v="2"/>
    <x v="0"/>
    <x v="25"/>
    <x v="5"/>
    <n v="2131"/>
    <d v="2026-03-02T00:00:00"/>
    <x v="0"/>
  </r>
  <r>
    <x v="11"/>
    <x v="2"/>
    <x v="2"/>
    <x v="1"/>
    <x v="26"/>
    <x v="6"/>
    <n v="1000"/>
    <d v="2026-03-02T00:00:00"/>
    <x v="0"/>
  </r>
  <r>
    <x v="11"/>
    <x v="2"/>
    <x v="2"/>
    <x v="1"/>
    <x v="2"/>
    <x v="5"/>
    <n v="200"/>
    <d v="2026-03-02T00:00:00"/>
    <x v="0"/>
  </r>
  <r>
    <x v="11"/>
    <x v="2"/>
    <x v="2"/>
    <x v="1"/>
    <x v="3"/>
    <x v="5"/>
    <n v="5000"/>
    <d v="2026-03-02T00:00:00"/>
    <x v="0"/>
  </r>
  <r>
    <x v="11"/>
    <x v="2"/>
    <x v="2"/>
    <x v="1"/>
    <x v="4"/>
    <x v="5"/>
    <n v="100"/>
    <d v="2026-03-02T00:00:00"/>
    <x v="0"/>
  </r>
  <r>
    <x v="11"/>
    <x v="2"/>
    <x v="2"/>
    <x v="2"/>
    <x v="60"/>
    <x v="5"/>
    <n v="1000"/>
    <d v="2026-03-02T00:00:00"/>
    <x v="0"/>
  </r>
  <r>
    <x v="12"/>
    <x v="2"/>
    <x v="1"/>
    <x v="4"/>
    <x v="61"/>
    <x v="3"/>
    <n v="217.8"/>
    <d v="2026-03-02T00:00:00"/>
    <x v="0"/>
  </r>
  <r>
    <x v="12"/>
    <x v="2"/>
    <x v="1"/>
    <x v="4"/>
    <x v="62"/>
    <x v="3"/>
    <n v="40"/>
    <d v="2026-03-02T00:00:00"/>
    <x v="0"/>
  </r>
  <r>
    <x v="12"/>
    <x v="2"/>
    <x v="1"/>
    <x v="4"/>
    <x v="63"/>
    <x v="3"/>
    <n v="500"/>
    <d v="2026-03-06T00:00:00"/>
    <x v="0"/>
  </r>
  <r>
    <x v="13"/>
    <x v="2"/>
    <x v="3"/>
    <x v="3"/>
    <x v="64"/>
    <x v="10"/>
    <n v="755"/>
    <d v="2026-03-05T00:00:00"/>
    <x v="0"/>
  </r>
  <r>
    <x v="13"/>
    <x v="2"/>
    <x v="3"/>
    <x v="3"/>
    <x v="65"/>
    <x v="10"/>
    <n v="680"/>
    <d v="2026-03-12T00:00:00"/>
    <x v="0"/>
  </r>
  <r>
    <x v="13"/>
    <x v="2"/>
    <x v="0"/>
    <x v="3"/>
    <x v="38"/>
    <x v="0"/>
    <n v="857.97"/>
    <d v="2026-03-18T00:00:00"/>
    <x v="0"/>
  </r>
  <r>
    <x v="14"/>
    <x v="2"/>
    <x v="0"/>
    <x v="3"/>
    <x v="66"/>
    <x v="0"/>
    <n v="276"/>
    <d v="2026-03-27T00:00:00"/>
    <x v="0"/>
  </r>
  <r>
    <x v="15"/>
    <x v="2"/>
    <x v="3"/>
    <x v="5"/>
    <x v="67"/>
    <x v="7"/>
    <n v="139497.76800000001"/>
    <d v="2026-03-30T00:00:00"/>
    <x v="0"/>
  </r>
  <r>
    <x v="15"/>
    <x v="2"/>
    <x v="3"/>
    <x v="5"/>
    <x v="67"/>
    <x v="7"/>
    <n v="139497.76800000001"/>
    <d v="2026-03-30T00:00:00"/>
    <x v="0"/>
  </r>
  <r>
    <x v="16"/>
    <x v="3"/>
    <x v="3"/>
    <x v="5"/>
    <x v="67"/>
    <x v="7"/>
    <n v="139497.76999999999"/>
    <d v="2026-04-01T00:00:00"/>
    <x v="0"/>
  </r>
  <r>
    <x v="16"/>
    <x v="3"/>
    <x v="3"/>
    <x v="5"/>
    <x v="67"/>
    <x v="7"/>
    <n v="139497.76"/>
    <d v="2026-04-02T00:00:00"/>
    <x v="0"/>
  </r>
  <r>
    <x v="16"/>
    <x v="3"/>
    <x v="0"/>
    <x v="0"/>
    <x v="68"/>
    <x v="0"/>
    <n v="1329.49"/>
    <d v="2026-04-12T00:00:00"/>
    <x v="0"/>
  </r>
  <r>
    <x v="16"/>
    <x v="3"/>
    <x v="0"/>
    <x v="0"/>
    <x v="69"/>
    <x v="0"/>
    <n v="204.78"/>
    <d v="2026-04-12T00:00:00"/>
    <x v="0"/>
  </r>
  <r>
    <x v="16"/>
    <x v="3"/>
    <x v="0"/>
    <x v="0"/>
    <x v="70"/>
    <x v="0"/>
    <n v="503.91"/>
    <d v="2026-04-12T00:00:00"/>
    <x v="0"/>
  </r>
  <r>
    <x v="16"/>
    <x v="3"/>
    <x v="0"/>
    <x v="0"/>
    <x v="0"/>
    <x v="0"/>
    <n v="13616.54"/>
    <d v="2026-04-01T00:00:00"/>
    <x v="0"/>
  </r>
  <r>
    <x v="16"/>
    <x v="3"/>
    <x v="0"/>
    <x v="0"/>
    <x v="1"/>
    <x v="0"/>
    <n v="2000"/>
    <d v="2026-04-01T00:00:00"/>
    <x v="0"/>
  </r>
  <r>
    <x v="16"/>
    <x v="3"/>
    <x v="0"/>
    <x v="1"/>
    <x v="2"/>
    <x v="1"/>
    <n v="300"/>
    <d v="2026-04-01T00:00:00"/>
    <x v="0"/>
  </r>
  <r>
    <x v="16"/>
    <x v="3"/>
    <x v="0"/>
    <x v="1"/>
    <x v="3"/>
    <x v="1"/>
    <n v="3105"/>
    <d v="2026-04-01T00:00:00"/>
    <x v="0"/>
  </r>
  <r>
    <x v="16"/>
    <x v="3"/>
    <x v="0"/>
    <x v="1"/>
    <x v="4"/>
    <x v="1"/>
    <n v="713.25"/>
    <d v="2026-04-01T00:00:00"/>
    <x v="0"/>
  </r>
  <r>
    <x v="16"/>
    <x v="3"/>
    <x v="0"/>
    <x v="2"/>
    <x v="71"/>
    <x v="0"/>
    <n v="464.84"/>
    <d v="2026-04-01T00:00:00"/>
    <x v="0"/>
  </r>
  <r>
    <x v="16"/>
    <x v="3"/>
    <x v="0"/>
    <x v="2"/>
    <x v="6"/>
    <x v="1"/>
    <n v="150"/>
    <d v="2026-04-01T00:00:00"/>
    <x v="0"/>
  </r>
  <r>
    <x v="16"/>
    <x v="3"/>
    <x v="0"/>
    <x v="2"/>
    <x v="72"/>
    <x v="0"/>
    <n v="1997.26"/>
    <d v="2026-04-01T00:00:00"/>
    <x v="0"/>
  </r>
  <r>
    <x v="16"/>
    <x v="3"/>
    <x v="0"/>
    <x v="2"/>
    <x v="73"/>
    <x v="0"/>
    <n v="1089"/>
    <d v="2026-04-01T00:00:00"/>
    <x v="0"/>
  </r>
  <r>
    <x v="16"/>
    <x v="3"/>
    <x v="0"/>
    <x v="2"/>
    <x v="32"/>
    <x v="0"/>
    <n v="562.86"/>
    <d v="2026-04-06T00:00:00"/>
    <x v="0"/>
  </r>
  <r>
    <x v="16"/>
    <x v="3"/>
    <x v="0"/>
    <x v="2"/>
    <x v="74"/>
    <x v="0"/>
    <n v="1048.5999999999999"/>
    <d v="2026-04-15T00:00:00"/>
    <x v="0"/>
  </r>
  <r>
    <x v="16"/>
    <x v="3"/>
    <x v="0"/>
    <x v="3"/>
    <x v="41"/>
    <x v="0"/>
    <n v="529.67999999999995"/>
    <d v="2026-04-20T00:00:00"/>
    <x v="0"/>
  </r>
  <r>
    <x v="16"/>
    <x v="3"/>
    <x v="0"/>
    <x v="3"/>
    <x v="9"/>
    <x v="0"/>
    <n v="2299.3200000000002"/>
    <d v="2026-04-05T00:00:00"/>
    <x v="0"/>
  </r>
  <r>
    <x v="16"/>
    <x v="3"/>
    <x v="0"/>
    <x v="3"/>
    <x v="10"/>
    <x v="0"/>
    <n v="1566.97"/>
    <d v="2026-04-05T00:00:00"/>
    <x v="0"/>
  </r>
  <r>
    <x v="16"/>
    <x v="3"/>
    <x v="0"/>
    <x v="3"/>
    <x v="58"/>
    <x v="0"/>
    <n v="2299.3200000000002"/>
    <d v="2026-04-05T00:00:00"/>
    <x v="0"/>
  </r>
  <r>
    <x v="16"/>
    <x v="3"/>
    <x v="0"/>
    <x v="3"/>
    <x v="12"/>
    <x v="0"/>
    <n v="468.63"/>
    <d v="2026-04-20T00:00:00"/>
    <x v="0"/>
  </r>
  <r>
    <x v="16"/>
    <x v="3"/>
    <x v="0"/>
    <x v="3"/>
    <x v="13"/>
    <x v="0"/>
    <n v="450"/>
    <d v="2026-04-01T00:00:00"/>
    <x v="0"/>
  </r>
  <r>
    <x v="16"/>
    <x v="3"/>
    <x v="0"/>
    <x v="3"/>
    <x v="14"/>
    <x v="0"/>
    <n v="350"/>
    <d v="2026-04-01T00:00:00"/>
    <x v="0"/>
  </r>
  <r>
    <x v="16"/>
    <x v="3"/>
    <x v="0"/>
    <x v="3"/>
    <x v="15"/>
    <x v="0"/>
    <n v="450"/>
    <d v="2026-04-01T00:00:00"/>
    <x v="0"/>
  </r>
  <r>
    <x v="16"/>
    <x v="3"/>
    <x v="1"/>
    <x v="0"/>
    <x v="34"/>
    <x v="3"/>
    <n v="132.47999999999999"/>
    <d v="2026-04-15T00:00:00"/>
    <x v="0"/>
  </r>
  <r>
    <x v="16"/>
    <x v="3"/>
    <x v="1"/>
    <x v="0"/>
    <x v="16"/>
    <x v="3"/>
    <n v="900"/>
    <d v="2026-04-10T00:00:00"/>
    <x v="0"/>
  </r>
  <r>
    <x v="16"/>
    <x v="3"/>
    <x v="1"/>
    <x v="0"/>
    <x v="17"/>
    <x v="3"/>
    <n v="579.72"/>
    <d v="2026-04-10T00:00:00"/>
    <x v="0"/>
  </r>
  <r>
    <x v="16"/>
    <x v="3"/>
    <x v="1"/>
    <x v="0"/>
    <x v="18"/>
    <x v="3"/>
    <n v="400"/>
    <d v="2026-04-01T00:00:00"/>
    <x v="0"/>
  </r>
  <r>
    <x v="16"/>
    <x v="3"/>
    <x v="1"/>
    <x v="0"/>
    <x v="19"/>
    <x v="3"/>
    <n v="220"/>
    <d v="2026-04-01T00:00:00"/>
    <x v="0"/>
  </r>
  <r>
    <x v="16"/>
    <x v="3"/>
    <x v="1"/>
    <x v="4"/>
    <x v="75"/>
    <x v="3"/>
    <n v="507.32"/>
    <d v="2026-04-20T00:00:00"/>
    <x v="0"/>
  </r>
  <r>
    <x v="16"/>
    <x v="3"/>
    <x v="1"/>
    <x v="4"/>
    <x v="76"/>
    <x v="3"/>
    <n v="2200"/>
    <d v="2026-04-05T00:00:00"/>
    <x v="0"/>
  </r>
  <r>
    <x v="16"/>
    <x v="3"/>
    <x v="1"/>
    <x v="4"/>
    <x v="61"/>
    <x v="3"/>
    <n v="198"/>
    <d v="2026-04-01T00:00:00"/>
    <x v="0"/>
  </r>
  <r>
    <x v="16"/>
    <x v="3"/>
    <x v="1"/>
    <x v="1"/>
    <x v="2"/>
    <x v="4"/>
    <n v="330"/>
    <d v="2026-04-01T00:00:00"/>
    <x v="0"/>
  </r>
  <r>
    <x v="16"/>
    <x v="3"/>
    <x v="1"/>
    <x v="1"/>
    <x v="3"/>
    <x v="4"/>
    <n v="11000"/>
    <d v="2026-04-01T00:00:00"/>
    <x v="0"/>
  </r>
  <r>
    <x v="16"/>
    <x v="3"/>
    <x v="1"/>
    <x v="1"/>
    <x v="4"/>
    <x v="4"/>
    <n v="220"/>
    <d v="2026-04-01T00:00:00"/>
    <x v="0"/>
  </r>
  <r>
    <x v="16"/>
    <x v="3"/>
    <x v="1"/>
    <x v="2"/>
    <x v="36"/>
    <x v="3"/>
    <n v="488.31"/>
    <d v="2026-04-06T00:00:00"/>
    <x v="0"/>
  </r>
  <r>
    <x v="16"/>
    <x v="3"/>
    <x v="2"/>
    <x v="0"/>
    <x v="24"/>
    <x v="5"/>
    <n v="4900"/>
    <d v="2026-04-01T00:00:00"/>
    <x v="0"/>
  </r>
  <r>
    <x v="16"/>
    <x v="3"/>
    <x v="2"/>
    <x v="0"/>
    <x v="25"/>
    <x v="5"/>
    <n v="2131"/>
    <d v="2026-04-01T00:00:00"/>
    <x v="0"/>
  </r>
  <r>
    <x v="16"/>
    <x v="3"/>
    <x v="2"/>
    <x v="1"/>
    <x v="26"/>
    <x v="6"/>
    <n v="1000"/>
    <d v="2026-04-01T00:00:00"/>
    <x v="0"/>
  </r>
  <r>
    <x v="16"/>
    <x v="3"/>
    <x v="2"/>
    <x v="1"/>
    <x v="2"/>
    <x v="5"/>
    <n v="200"/>
    <d v="2026-04-01T00:00:00"/>
    <x v="0"/>
  </r>
  <r>
    <x v="16"/>
    <x v="3"/>
    <x v="2"/>
    <x v="1"/>
    <x v="3"/>
    <x v="5"/>
    <n v="5000"/>
    <d v="2026-04-01T00:00:00"/>
    <x v="0"/>
  </r>
  <r>
    <x v="16"/>
    <x v="3"/>
    <x v="2"/>
    <x v="1"/>
    <x v="77"/>
    <x v="6"/>
    <n v="10000"/>
    <d v="2026-04-01T00:00:00"/>
    <x v="0"/>
  </r>
  <r>
    <x v="16"/>
    <x v="3"/>
    <x v="2"/>
    <x v="1"/>
    <x v="4"/>
    <x v="5"/>
    <n v="100"/>
    <d v="2026-04-01T00:00:00"/>
    <x v="0"/>
  </r>
  <r>
    <x v="16"/>
    <x v="3"/>
    <x v="2"/>
    <x v="2"/>
    <x v="60"/>
    <x v="5"/>
    <n v="1000"/>
    <d v="2026-04-01T00:00:00"/>
    <x v="0"/>
  </r>
  <r>
    <x v="17"/>
    <x v="3"/>
    <x v="0"/>
    <x v="3"/>
    <x v="38"/>
    <x v="0"/>
    <n v="2530.29"/>
    <d v="2026-04-16T00:00:00"/>
    <x v="0"/>
  </r>
  <r>
    <x v="18"/>
    <x v="3"/>
    <x v="3"/>
    <x v="3"/>
    <x v="78"/>
    <x v="10"/>
    <n v="600"/>
    <d v="2026-04-14T00:00:00"/>
    <x v="0"/>
  </r>
  <r>
    <x v="19"/>
    <x v="3"/>
    <x v="0"/>
    <x v="0"/>
    <x v="79"/>
    <x v="0"/>
    <n v="1400"/>
    <d v="2026-04-24T00:00:00"/>
    <x v="0"/>
  </r>
  <r>
    <x v="19"/>
    <x v="3"/>
    <x v="2"/>
    <x v="2"/>
    <x v="80"/>
    <x v="5"/>
    <n v="990"/>
    <d v="2026-04-24T00:00:00"/>
    <x v="0"/>
  </r>
  <r>
    <x v="20"/>
    <x v="3"/>
    <x v="0"/>
    <x v="0"/>
    <x v="81"/>
    <x v="0"/>
    <n v="1329.49"/>
    <d v="2026-05-12T00:00:00"/>
    <x v="1"/>
  </r>
  <r>
    <x v="20"/>
    <x v="3"/>
    <x v="0"/>
    <x v="0"/>
    <x v="82"/>
    <x v="0"/>
    <n v="204.78"/>
    <d v="2026-05-12T00:00:00"/>
    <x v="1"/>
  </r>
  <r>
    <x v="20"/>
    <x v="3"/>
    <x v="0"/>
    <x v="0"/>
    <x v="83"/>
    <x v="0"/>
    <n v="503.91"/>
    <d v="2026-05-12T00:00:00"/>
    <x v="1"/>
  </r>
  <r>
    <x v="20"/>
    <x v="3"/>
    <x v="0"/>
    <x v="0"/>
    <x v="0"/>
    <x v="0"/>
    <n v="13616.54"/>
    <d v="2026-05-02T00:00:00"/>
    <x v="1"/>
  </r>
  <r>
    <x v="20"/>
    <x v="3"/>
    <x v="0"/>
    <x v="0"/>
    <x v="1"/>
    <x v="0"/>
    <n v="2000"/>
    <d v="2026-05-02T00:00:00"/>
    <x v="1"/>
  </r>
  <r>
    <x v="20"/>
    <x v="3"/>
    <x v="0"/>
    <x v="1"/>
    <x v="2"/>
    <x v="1"/>
    <n v="300"/>
    <d v="2026-05-02T00:00:00"/>
    <x v="1"/>
  </r>
  <r>
    <x v="20"/>
    <x v="3"/>
    <x v="0"/>
    <x v="1"/>
    <x v="3"/>
    <x v="1"/>
    <n v="3105"/>
    <d v="2026-05-02T00:00:00"/>
    <x v="1"/>
  </r>
  <r>
    <x v="20"/>
    <x v="3"/>
    <x v="0"/>
    <x v="1"/>
    <x v="4"/>
    <x v="1"/>
    <n v="713.25"/>
    <d v="2026-05-02T00:00:00"/>
    <x v="1"/>
  </r>
  <r>
    <x v="20"/>
    <x v="3"/>
    <x v="0"/>
    <x v="2"/>
    <x v="6"/>
    <x v="1"/>
    <n v="150"/>
    <d v="2026-05-02T00:00:00"/>
    <x v="1"/>
  </r>
  <r>
    <x v="20"/>
    <x v="3"/>
    <x v="0"/>
    <x v="2"/>
    <x v="84"/>
    <x v="0"/>
    <n v="1048.57"/>
    <d v="2026-05-15T00:00:00"/>
    <x v="1"/>
  </r>
  <r>
    <x v="20"/>
    <x v="3"/>
    <x v="0"/>
    <x v="3"/>
    <x v="41"/>
    <x v="0"/>
    <n v="529.67999999999995"/>
    <d v="2026-05-20T00:00:00"/>
    <x v="1"/>
  </r>
  <r>
    <x v="20"/>
    <x v="3"/>
    <x v="0"/>
    <x v="3"/>
    <x v="9"/>
    <x v="0"/>
    <n v="2299.3200000000002"/>
    <d v="2026-05-05T00:00:00"/>
    <x v="1"/>
  </r>
  <r>
    <x v="20"/>
    <x v="3"/>
    <x v="0"/>
    <x v="3"/>
    <x v="10"/>
    <x v="0"/>
    <n v="1566.97"/>
    <d v="2026-05-05T00:00:00"/>
    <x v="1"/>
  </r>
  <r>
    <x v="20"/>
    <x v="3"/>
    <x v="0"/>
    <x v="3"/>
    <x v="58"/>
    <x v="0"/>
    <n v="2299.3200000000002"/>
    <d v="2026-05-05T00:00:00"/>
    <x v="1"/>
  </r>
  <r>
    <x v="20"/>
    <x v="3"/>
    <x v="0"/>
    <x v="3"/>
    <x v="12"/>
    <x v="0"/>
    <n v="468.63"/>
    <d v="2026-05-20T00:00:00"/>
    <x v="1"/>
  </r>
  <r>
    <x v="20"/>
    <x v="3"/>
    <x v="0"/>
    <x v="3"/>
    <x v="13"/>
    <x v="0"/>
    <n v="450"/>
    <d v="2026-05-02T00:00:00"/>
    <x v="1"/>
  </r>
  <r>
    <x v="20"/>
    <x v="3"/>
    <x v="0"/>
    <x v="3"/>
    <x v="14"/>
    <x v="0"/>
    <n v="350"/>
    <d v="2026-05-02T00:00:00"/>
    <x v="1"/>
  </r>
  <r>
    <x v="20"/>
    <x v="3"/>
    <x v="0"/>
    <x v="3"/>
    <x v="15"/>
    <x v="0"/>
    <n v="450"/>
    <d v="2026-05-02T00:00:00"/>
    <x v="1"/>
  </r>
  <r>
    <x v="20"/>
    <x v="3"/>
    <x v="1"/>
    <x v="0"/>
    <x v="17"/>
    <x v="3"/>
    <n v="643"/>
    <d v="2026-05-10T00:00:00"/>
    <x v="1"/>
  </r>
  <r>
    <x v="20"/>
    <x v="3"/>
    <x v="1"/>
    <x v="0"/>
    <x v="18"/>
    <x v="3"/>
    <n v="400"/>
    <d v="2026-05-02T00:00:00"/>
    <x v="1"/>
  </r>
  <r>
    <x v="20"/>
    <x v="3"/>
    <x v="1"/>
    <x v="0"/>
    <x v="19"/>
    <x v="3"/>
    <n v="220"/>
    <d v="2026-05-02T00:00:00"/>
    <x v="1"/>
  </r>
  <r>
    <x v="20"/>
    <x v="3"/>
    <x v="1"/>
    <x v="4"/>
    <x v="75"/>
    <x v="3"/>
    <n v="700.68"/>
    <d v="2026-05-20T00:00:00"/>
    <x v="1"/>
  </r>
  <r>
    <x v="20"/>
    <x v="3"/>
    <x v="1"/>
    <x v="4"/>
    <x v="76"/>
    <x v="3"/>
    <n v="3000.32"/>
    <d v="2026-05-05T00:00:00"/>
    <x v="1"/>
  </r>
  <r>
    <x v="20"/>
    <x v="3"/>
    <x v="1"/>
    <x v="4"/>
    <x v="61"/>
    <x v="3"/>
    <n v="198"/>
    <d v="2026-05-02T00:00:00"/>
    <x v="1"/>
  </r>
  <r>
    <x v="20"/>
    <x v="3"/>
    <x v="1"/>
    <x v="1"/>
    <x v="2"/>
    <x v="4"/>
    <n v="330"/>
    <d v="2026-05-02T00:00:00"/>
    <x v="1"/>
  </r>
  <r>
    <x v="20"/>
    <x v="3"/>
    <x v="1"/>
    <x v="1"/>
    <x v="3"/>
    <x v="4"/>
    <n v="11000"/>
    <d v="2026-05-02T00:00:00"/>
    <x v="1"/>
  </r>
  <r>
    <x v="20"/>
    <x v="3"/>
    <x v="1"/>
    <x v="1"/>
    <x v="85"/>
    <x v="4"/>
    <n v="6000"/>
    <d v="2026-05-02T00:00:00"/>
    <x v="1"/>
  </r>
  <r>
    <x v="20"/>
    <x v="3"/>
    <x v="1"/>
    <x v="1"/>
    <x v="4"/>
    <x v="4"/>
    <n v="220"/>
    <d v="2026-05-02T00:00:00"/>
    <x v="1"/>
  </r>
  <r>
    <x v="20"/>
    <x v="3"/>
    <x v="2"/>
    <x v="0"/>
    <x v="24"/>
    <x v="11"/>
    <n v="4900"/>
    <d v="2026-05-02T00:00:00"/>
    <x v="1"/>
  </r>
  <r>
    <x v="20"/>
    <x v="3"/>
    <x v="2"/>
    <x v="0"/>
    <x v="25"/>
    <x v="11"/>
    <n v="2131"/>
    <d v="2026-05-02T00:00:00"/>
    <x v="1"/>
  </r>
  <r>
    <x v="20"/>
    <x v="3"/>
    <x v="2"/>
    <x v="1"/>
    <x v="26"/>
    <x v="6"/>
    <n v="1000"/>
    <d v="2026-05-02T00:00:00"/>
    <x v="1"/>
  </r>
  <r>
    <x v="20"/>
    <x v="3"/>
    <x v="2"/>
    <x v="1"/>
    <x v="2"/>
    <x v="11"/>
    <n v="200"/>
    <d v="2026-05-02T00:00:00"/>
    <x v="1"/>
  </r>
  <r>
    <x v="20"/>
    <x v="3"/>
    <x v="2"/>
    <x v="1"/>
    <x v="3"/>
    <x v="11"/>
    <n v="5000"/>
    <d v="2026-05-02T00:00:00"/>
    <x v="1"/>
  </r>
  <r>
    <x v="20"/>
    <x v="3"/>
    <x v="2"/>
    <x v="1"/>
    <x v="4"/>
    <x v="11"/>
    <n v="100"/>
    <d v="2026-05-02T00:00:00"/>
    <x v="1"/>
  </r>
  <r>
    <x v="20"/>
    <x v="3"/>
    <x v="2"/>
    <x v="2"/>
    <x v="60"/>
    <x v="11"/>
    <n v="1000"/>
    <d v="2026-05-02T00:00:00"/>
    <x v="1"/>
  </r>
  <r>
    <x v="21"/>
    <x v="4"/>
    <x v="0"/>
    <x v="2"/>
    <x v="32"/>
    <x v="0"/>
    <n v="552.86"/>
    <d v="2026-05-06T00:00:00"/>
    <x v="2"/>
  </r>
  <r>
    <x v="21"/>
    <x v="4"/>
    <x v="1"/>
    <x v="0"/>
    <x v="34"/>
    <x v="3"/>
    <n v="1100"/>
    <d v="2026-05-15T00:00:00"/>
    <x v="2"/>
  </r>
  <r>
    <x v="21"/>
    <x v="4"/>
    <x v="1"/>
    <x v="0"/>
    <x v="16"/>
    <x v="3"/>
    <n v="1100"/>
    <d v="2026-05-10T00:00:00"/>
    <x v="2"/>
  </r>
  <r>
    <x v="21"/>
    <x v="4"/>
    <x v="1"/>
    <x v="2"/>
    <x v="36"/>
    <x v="3"/>
    <n v="503.34"/>
    <d v="2026-05-06T00:00:00"/>
    <x v="2"/>
  </r>
  <r>
    <x v="22"/>
    <x v="4"/>
    <x v="0"/>
    <x v="3"/>
    <x v="38"/>
    <x v="0"/>
    <n v="860.91"/>
    <d v="2026-05-16T00:00:00"/>
    <x v="2"/>
  </r>
  <r>
    <x v="23"/>
    <x v="4"/>
    <x v="0"/>
    <x v="2"/>
    <x v="86"/>
    <x v="0"/>
    <n v="6847.64"/>
    <s v="-"/>
    <x v="2"/>
  </r>
  <r>
    <x v="23"/>
    <x v="4"/>
    <x v="0"/>
    <x v="3"/>
    <x v="87"/>
    <x v="0"/>
    <n v="3750"/>
    <s v="-"/>
    <x v="2"/>
  </r>
  <r>
    <x v="23"/>
    <x v="4"/>
    <x v="1"/>
    <x v="2"/>
    <x v="88"/>
    <x v="3"/>
    <n v="6000"/>
    <s v="-"/>
    <x v="2"/>
  </r>
  <r>
    <x v="23"/>
    <x v="4"/>
    <x v="1"/>
    <x v="2"/>
    <x v="89"/>
    <x v="3"/>
    <n v="7000"/>
    <s v="-"/>
    <x v="2"/>
  </r>
  <r>
    <x v="24"/>
    <x v="5"/>
    <x v="0"/>
    <x v="0"/>
    <x v="90"/>
    <x v="0"/>
    <n v="1329.49"/>
    <d v="2026-06-12T00:00:00"/>
    <x v="2"/>
  </r>
  <r>
    <x v="24"/>
    <x v="5"/>
    <x v="0"/>
    <x v="0"/>
    <x v="91"/>
    <x v="0"/>
    <n v="204.78"/>
    <d v="2026-06-12T00:00:00"/>
    <x v="2"/>
  </r>
  <r>
    <x v="24"/>
    <x v="5"/>
    <x v="0"/>
    <x v="0"/>
    <x v="92"/>
    <x v="0"/>
    <n v="503.91"/>
    <d v="2026-06-12T00:00:00"/>
    <x v="2"/>
  </r>
  <r>
    <x v="24"/>
    <x v="5"/>
    <x v="0"/>
    <x v="0"/>
    <x v="0"/>
    <x v="0"/>
    <n v="13616.54"/>
    <m/>
    <x v="2"/>
  </r>
  <r>
    <x v="24"/>
    <x v="5"/>
    <x v="0"/>
    <x v="0"/>
    <x v="1"/>
    <x v="0"/>
    <n v="2000"/>
    <m/>
    <x v="2"/>
  </r>
  <r>
    <x v="24"/>
    <x v="5"/>
    <x v="0"/>
    <x v="1"/>
    <x v="2"/>
    <x v="1"/>
    <n v="300"/>
    <m/>
    <x v="2"/>
  </r>
  <r>
    <x v="24"/>
    <x v="5"/>
    <x v="0"/>
    <x v="1"/>
    <x v="3"/>
    <x v="1"/>
    <n v="3105"/>
    <m/>
    <x v="2"/>
  </r>
  <r>
    <x v="24"/>
    <x v="5"/>
    <x v="0"/>
    <x v="1"/>
    <x v="4"/>
    <x v="1"/>
    <n v="713.25"/>
    <m/>
    <x v="2"/>
  </r>
  <r>
    <x v="24"/>
    <x v="5"/>
    <x v="0"/>
    <x v="1"/>
    <x v="56"/>
    <x v="1"/>
    <n v="2500"/>
    <m/>
    <x v="2"/>
  </r>
  <r>
    <x v="24"/>
    <x v="5"/>
    <x v="0"/>
    <x v="1"/>
    <x v="57"/>
    <x v="2"/>
    <n v="7600"/>
    <m/>
    <x v="2"/>
  </r>
  <r>
    <x v="24"/>
    <x v="5"/>
    <x v="0"/>
    <x v="2"/>
    <x v="93"/>
    <x v="0"/>
    <n v="1048.57"/>
    <d v="2026-06-15T00:00:00"/>
    <x v="2"/>
  </r>
  <r>
    <x v="24"/>
    <x v="5"/>
    <x v="0"/>
    <x v="2"/>
    <x v="6"/>
    <x v="1"/>
    <n v="150"/>
    <m/>
    <x v="2"/>
  </r>
  <r>
    <x v="24"/>
    <x v="5"/>
    <x v="0"/>
    <x v="2"/>
    <x v="94"/>
    <x v="0"/>
    <n v="200"/>
    <m/>
    <x v="2"/>
  </r>
  <r>
    <x v="24"/>
    <x v="5"/>
    <x v="0"/>
    <x v="2"/>
    <x v="32"/>
    <x v="0"/>
    <n v="552.86"/>
    <m/>
    <x v="2"/>
  </r>
  <r>
    <x v="24"/>
    <x v="5"/>
    <x v="0"/>
    <x v="3"/>
    <x v="38"/>
    <x v="0"/>
    <n v="860.91"/>
    <m/>
    <x v="2"/>
  </r>
  <r>
    <x v="24"/>
    <x v="5"/>
    <x v="0"/>
    <x v="3"/>
    <x v="41"/>
    <x v="0"/>
    <n v="410"/>
    <m/>
    <x v="2"/>
  </r>
  <r>
    <x v="24"/>
    <x v="5"/>
    <x v="0"/>
    <x v="3"/>
    <x v="9"/>
    <x v="0"/>
    <n v="2300"/>
    <m/>
    <x v="2"/>
  </r>
  <r>
    <x v="24"/>
    <x v="5"/>
    <x v="0"/>
    <x v="3"/>
    <x v="10"/>
    <x v="0"/>
    <n v="1405"/>
    <m/>
    <x v="2"/>
  </r>
  <r>
    <x v="24"/>
    <x v="5"/>
    <x v="0"/>
    <x v="3"/>
    <x v="58"/>
    <x v="0"/>
    <n v="2300"/>
    <m/>
    <x v="2"/>
  </r>
  <r>
    <x v="24"/>
    <x v="5"/>
    <x v="0"/>
    <x v="3"/>
    <x v="12"/>
    <x v="0"/>
    <n v="466.34"/>
    <m/>
    <x v="2"/>
  </r>
  <r>
    <x v="24"/>
    <x v="5"/>
    <x v="0"/>
    <x v="3"/>
    <x v="13"/>
    <x v="0"/>
    <n v="450"/>
    <m/>
    <x v="2"/>
  </r>
  <r>
    <x v="24"/>
    <x v="5"/>
    <x v="0"/>
    <x v="3"/>
    <x v="14"/>
    <x v="0"/>
    <n v="350"/>
    <m/>
    <x v="2"/>
  </r>
  <r>
    <x v="24"/>
    <x v="5"/>
    <x v="0"/>
    <x v="3"/>
    <x v="15"/>
    <x v="0"/>
    <n v="450"/>
    <m/>
    <x v="2"/>
  </r>
  <r>
    <x v="24"/>
    <x v="5"/>
    <x v="1"/>
    <x v="0"/>
    <x v="34"/>
    <x v="3"/>
    <n v="1100"/>
    <m/>
    <x v="2"/>
  </r>
  <r>
    <x v="24"/>
    <x v="5"/>
    <x v="1"/>
    <x v="0"/>
    <x v="16"/>
    <x v="3"/>
    <n v="1100"/>
    <m/>
    <x v="2"/>
  </r>
  <r>
    <x v="24"/>
    <x v="5"/>
    <x v="1"/>
    <x v="0"/>
    <x v="17"/>
    <x v="3"/>
    <n v="700"/>
    <m/>
    <x v="2"/>
  </r>
  <r>
    <x v="24"/>
    <x v="5"/>
    <x v="1"/>
    <x v="0"/>
    <x v="18"/>
    <x v="3"/>
    <n v="400"/>
    <m/>
    <x v="2"/>
  </r>
  <r>
    <x v="24"/>
    <x v="5"/>
    <x v="1"/>
    <x v="0"/>
    <x v="19"/>
    <x v="3"/>
    <n v="220"/>
    <m/>
    <x v="2"/>
  </r>
  <r>
    <x v="24"/>
    <x v="5"/>
    <x v="1"/>
    <x v="4"/>
    <x v="75"/>
    <x v="3"/>
    <n v="735"/>
    <m/>
    <x v="2"/>
  </r>
  <r>
    <x v="24"/>
    <x v="5"/>
    <x v="1"/>
    <x v="4"/>
    <x v="76"/>
    <x v="3"/>
    <n v="3000"/>
    <m/>
    <x v="2"/>
  </r>
  <r>
    <x v="24"/>
    <x v="5"/>
    <x v="1"/>
    <x v="4"/>
    <x v="61"/>
    <x v="3"/>
    <n v="209"/>
    <m/>
    <x v="2"/>
  </r>
  <r>
    <x v="24"/>
    <x v="5"/>
    <x v="1"/>
    <x v="1"/>
    <x v="2"/>
    <x v="4"/>
    <n v="330"/>
    <m/>
    <x v="2"/>
  </r>
  <r>
    <x v="24"/>
    <x v="5"/>
    <x v="1"/>
    <x v="1"/>
    <x v="3"/>
    <x v="4"/>
    <n v="11000"/>
    <m/>
    <x v="2"/>
  </r>
  <r>
    <x v="24"/>
    <x v="5"/>
    <x v="1"/>
    <x v="1"/>
    <x v="4"/>
    <x v="4"/>
    <n v="220"/>
    <m/>
    <x v="2"/>
  </r>
  <r>
    <x v="24"/>
    <x v="5"/>
    <x v="1"/>
    <x v="1"/>
    <x v="56"/>
    <x v="4"/>
    <n v="2500"/>
    <m/>
    <x v="2"/>
  </r>
  <r>
    <x v="24"/>
    <x v="5"/>
    <x v="1"/>
    <x v="1"/>
    <x v="57"/>
    <x v="9"/>
    <n v="7600"/>
    <m/>
    <x v="2"/>
  </r>
  <r>
    <x v="24"/>
    <x v="5"/>
    <x v="1"/>
    <x v="2"/>
    <x v="36"/>
    <x v="3"/>
    <n v="503.34"/>
    <m/>
    <x v="2"/>
  </r>
  <r>
    <x v="24"/>
    <x v="5"/>
    <x v="2"/>
    <x v="0"/>
    <x v="24"/>
    <x v="11"/>
    <n v="4900"/>
    <m/>
    <x v="2"/>
  </r>
  <r>
    <x v="24"/>
    <x v="5"/>
    <x v="2"/>
    <x v="0"/>
    <x v="25"/>
    <x v="11"/>
    <n v="2131"/>
    <m/>
    <x v="2"/>
  </r>
  <r>
    <x v="24"/>
    <x v="5"/>
    <x v="2"/>
    <x v="1"/>
    <x v="26"/>
    <x v="6"/>
    <n v="1000"/>
    <m/>
    <x v="2"/>
  </r>
  <r>
    <x v="24"/>
    <x v="5"/>
    <x v="2"/>
    <x v="1"/>
    <x v="2"/>
    <x v="11"/>
    <n v="200"/>
    <m/>
    <x v="2"/>
  </r>
  <r>
    <x v="24"/>
    <x v="5"/>
    <x v="2"/>
    <x v="1"/>
    <x v="3"/>
    <x v="11"/>
    <n v="5000"/>
    <m/>
    <x v="2"/>
  </r>
  <r>
    <x v="24"/>
    <x v="5"/>
    <x v="2"/>
    <x v="1"/>
    <x v="4"/>
    <x v="11"/>
    <n v="100"/>
    <m/>
    <x v="2"/>
  </r>
  <r>
    <x v="24"/>
    <x v="5"/>
    <x v="2"/>
    <x v="1"/>
    <x v="95"/>
    <x v="11"/>
    <n v="6400"/>
    <m/>
    <x v="2"/>
  </r>
  <r>
    <x v="24"/>
    <x v="5"/>
    <x v="2"/>
    <x v="2"/>
    <x v="60"/>
    <x v="11"/>
    <n v="1000"/>
    <m/>
    <x v="2"/>
  </r>
  <r>
    <x v="25"/>
    <x v="6"/>
    <x v="0"/>
    <x v="0"/>
    <x v="96"/>
    <x v="0"/>
    <n v="204.78"/>
    <d v="2026-07-12T00:00:00"/>
    <x v="2"/>
  </r>
  <r>
    <x v="25"/>
    <x v="6"/>
    <x v="0"/>
    <x v="0"/>
    <x v="97"/>
    <x v="0"/>
    <n v="503.91"/>
    <d v="2026-07-12T00:00:00"/>
    <x v="2"/>
  </r>
  <r>
    <x v="25"/>
    <x v="6"/>
    <x v="0"/>
    <x v="0"/>
    <x v="0"/>
    <x v="0"/>
    <n v="13616.54"/>
    <m/>
    <x v="2"/>
  </r>
  <r>
    <x v="25"/>
    <x v="6"/>
    <x v="0"/>
    <x v="0"/>
    <x v="1"/>
    <x v="0"/>
    <n v="2000"/>
    <m/>
    <x v="2"/>
  </r>
  <r>
    <x v="25"/>
    <x v="6"/>
    <x v="0"/>
    <x v="1"/>
    <x v="2"/>
    <x v="1"/>
    <n v="300"/>
    <m/>
    <x v="2"/>
  </r>
  <r>
    <x v="25"/>
    <x v="6"/>
    <x v="0"/>
    <x v="1"/>
    <x v="3"/>
    <x v="1"/>
    <n v="3105"/>
    <m/>
    <x v="2"/>
  </r>
  <r>
    <x v="25"/>
    <x v="6"/>
    <x v="0"/>
    <x v="1"/>
    <x v="4"/>
    <x v="1"/>
    <n v="713.25"/>
    <m/>
    <x v="2"/>
  </r>
  <r>
    <x v="25"/>
    <x v="6"/>
    <x v="0"/>
    <x v="2"/>
    <x v="98"/>
    <x v="0"/>
    <n v="1048.57"/>
    <d v="2026-07-15T00:00:00"/>
    <x v="2"/>
  </r>
  <r>
    <x v="25"/>
    <x v="6"/>
    <x v="0"/>
    <x v="2"/>
    <x v="6"/>
    <x v="1"/>
    <n v="150"/>
    <m/>
    <x v="2"/>
  </r>
  <r>
    <x v="25"/>
    <x v="6"/>
    <x v="0"/>
    <x v="2"/>
    <x v="32"/>
    <x v="0"/>
    <n v="552.86"/>
    <m/>
    <x v="2"/>
  </r>
  <r>
    <x v="25"/>
    <x v="6"/>
    <x v="0"/>
    <x v="3"/>
    <x v="38"/>
    <x v="0"/>
    <n v="860.91"/>
    <m/>
    <x v="2"/>
  </r>
  <r>
    <x v="25"/>
    <x v="6"/>
    <x v="0"/>
    <x v="3"/>
    <x v="99"/>
    <x v="0"/>
    <n v="3017.63"/>
    <m/>
    <x v="2"/>
  </r>
  <r>
    <x v="25"/>
    <x v="6"/>
    <x v="0"/>
    <x v="3"/>
    <x v="100"/>
    <x v="0"/>
    <n v="1864.61"/>
    <m/>
    <x v="2"/>
  </r>
  <r>
    <x v="25"/>
    <x v="6"/>
    <x v="0"/>
    <x v="3"/>
    <x v="41"/>
    <x v="0"/>
    <n v="410"/>
    <m/>
    <x v="2"/>
  </r>
  <r>
    <x v="25"/>
    <x v="6"/>
    <x v="0"/>
    <x v="3"/>
    <x v="9"/>
    <x v="0"/>
    <n v="2300"/>
    <m/>
    <x v="2"/>
  </r>
  <r>
    <x v="25"/>
    <x v="6"/>
    <x v="0"/>
    <x v="3"/>
    <x v="10"/>
    <x v="0"/>
    <n v="1405"/>
    <m/>
    <x v="2"/>
  </r>
  <r>
    <x v="25"/>
    <x v="6"/>
    <x v="0"/>
    <x v="3"/>
    <x v="58"/>
    <x v="0"/>
    <n v="2300"/>
    <m/>
    <x v="2"/>
  </r>
  <r>
    <x v="25"/>
    <x v="6"/>
    <x v="0"/>
    <x v="3"/>
    <x v="12"/>
    <x v="0"/>
    <n v="466.34"/>
    <m/>
    <x v="2"/>
  </r>
  <r>
    <x v="25"/>
    <x v="6"/>
    <x v="0"/>
    <x v="3"/>
    <x v="13"/>
    <x v="0"/>
    <n v="450"/>
    <m/>
    <x v="2"/>
  </r>
  <r>
    <x v="25"/>
    <x v="6"/>
    <x v="0"/>
    <x v="3"/>
    <x v="14"/>
    <x v="0"/>
    <n v="350"/>
    <m/>
    <x v="2"/>
  </r>
  <r>
    <x v="25"/>
    <x v="6"/>
    <x v="0"/>
    <x v="3"/>
    <x v="15"/>
    <x v="0"/>
    <n v="450"/>
    <m/>
    <x v="2"/>
  </r>
  <r>
    <x v="25"/>
    <x v="6"/>
    <x v="0"/>
    <x v="3"/>
    <x v="101"/>
    <x v="0"/>
    <n v="1480"/>
    <m/>
    <x v="2"/>
  </r>
  <r>
    <x v="25"/>
    <x v="6"/>
    <x v="1"/>
    <x v="0"/>
    <x v="34"/>
    <x v="3"/>
    <n v="1100"/>
    <m/>
    <x v="2"/>
  </r>
  <r>
    <x v="25"/>
    <x v="6"/>
    <x v="1"/>
    <x v="0"/>
    <x v="16"/>
    <x v="3"/>
    <n v="1100"/>
    <m/>
    <x v="2"/>
  </r>
  <r>
    <x v="25"/>
    <x v="6"/>
    <x v="1"/>
    <x v="0"/>
    <x v="17"/>
    <x v="3"/>
    <n v="700"/>
    <m/>
    <x v="2"/>
  </r>
  <r>
    <x v="25"/>
    <x v="6"/>
    <x v="1"/>
    <x v="0"/>
    <x v="18"/>
    <x v="3"/>
    <n v="400"/>
    <m/>
    <x v="2"/>
  </r>
  <r>
    <x v="25"/>
    <x v="6"/>
    <x v="1"/>
    <x v="0"/>
    <x v="19"/>
    <x v="3"/>
    <n v="220"/>
    <m/>
    <x v="2"/>
  </r>
  <r>
    <x v="25"/>
    <x v="6"/>
    <x v="1"/>
    <x v="4"/>
    <x v="75"/>
    <x v="3"/>
    <n v="735"/>
    <m/>
    <x v="2"/>
  </r>
  <r>
    <x v="25"/>
    <x v="6"/>
    <x v="1"/>
    <x v="4"/>
    <x v="76"/>
    <x v="3"/>
    <n v="3000"/>
    <m/>
    <x v="2"/>
  </r>
  <r>
    <x v="25"/>
    <x v="6"/>
    <x v="1"/>
    <x v="4"/>
    <x v="61"/>
    <x v="3"/>
    <n v="209"/>
    <m/>
    <x v="2"/>
  </r>
  <r>
    <x v="25"/>
    <x v="6"/>
    <x v="1"/>
    <x v="1"/>
    <x v="2"/>
    <x v="4"/>
    <n v="330"/>
    <m/>
    <x v="2"/>
  </r>
  <r>
    <x v="25"/>
    <x v="6"/>
    <x v="1"/>
    <x v="1"/>
    <x v="3"/>
    <x v="4"/>
    <n v="11000"/>
    <m/>
    <x v="2"/>
  </r>
  <r>
    <x v="25"/>
    <x v="6"/>
    <x v="1"/>
    <x v="1"/>
    <x v="4"/>
    <x v="4"/>
    <n v="220"/>
    <m/>
    <x v="2"/>
  </r>
  <r>
    <x v="25"/>
    <x v="6"/>
    <x v="1"/>
    <x v="2"/>
    <x v="36"/>
    <x v="3"/>
    <n v="503.34"/>
    <m/>
    <x v="2"/>
  </r>
  <r>
    <x v="25"/>
    <x v="6"/>
    <x v="2"/>
    <x v="0"/>
    <x v="24"/>
    <x v="11"/>
    <n v="4900"/>
    <m/>
    <x v="2"/>
  </r>
  <r>
    <x v="25"/>
    <x v="6"/>
    <x v="2"/>
    <x v="0"/>
    <x v="25"/>
    <x v="11"/>
    <n v="2131"/>
    <m/>
    <x v="2"/>
  </r>
  <r>
    <x v="25"/>
    <x v="6"/>
    <x v="2"/>
    <x v="1"/>
    <x v="26"/>
    <x v="6"/>
    <n v="1000"/>
    <m/>
    <x v="2"/>
  </r>
  <r>
    <x v="25"/>
    <x v="6"/>
    <x v="2"/>
    <x v="1"/>
    <x v="2"/>
    <x v="11"/>
    <n v="200"/>
    <m/>
    <x v="2"/>
  </r>
  <r>
    <x v="25"/>
    <x v="6"/>
    <x v="2"/>
    <x v="1"/>
    <x v="3"/>
    <x v="11"/>
    <n v="5000"/>
    <m/>
    <x v="2"/>
  </r>
  <r>
    <x v="25"/>
    <x v="6"/>
    <x v="2"/>
    <x v="1"/>
    <x v="4"/>
    <x v="11"/>
    <n v="100"/>
    <m/>
    <x v="2"/>
  </r>
  <r>
    <x v="25"/>
    <x v="6"/>
    <x v="2"/>
    <x v="2"/>
    <x v="60"/>
    <x v="11"/>
    <n v="1000"/>
    <m/>
    <x v="2"/>
  </r>
  <r>
    <x v="26"/>
    <x v="7"/>
    <x v="0"/>
    <x v="0"/>
    <x v="102"/>
    <x v="0"/>
    <n v="204.78"/>
    <d v="2026-08-12T00:00:00"/>
    <x v="2"/>
  </r>
  <r>
    <x v="26"/>
    <x v="7"/>
    <x v="0"/>
    <x v="0"/>
    <x v="103"/>
    <x v="0"/>
    <n v="503.91"/>
    <d v="2026-08-12T00:00:00"/>
    <x v="2"/>
  </r>
  <r>
    <x v="26"/>
    <x v="7"/>
    <x v="0"/>
    <x v="0"/>
    <x v="0"/>
    <x v="0"/>
    <n v="13616.54"/>
    <m/>
    <x v="2"/>
  </r>
  <r>
    <x v="26"/>
    <x v="7"/>
    <x v="0"/>
    <x v="0"/>
    <x v="1"/>
    <x v="0"/>
    <n v="2000"/>
    <m/>
    <x v="2"/>
  </r>
  <r>
    <x v="26"/>
    <x v="7"/>
    <x v="0"/>
    <x v="1"/>
    <x v="2"/>
    <x v="1"/>
    <n v="300"/>
    <m/>
    <x v="2"/>
  </r>
  <r>
    <x v="26"/>
    <x v="7"/>
    <x v="0"/>
    <x v="1"/>
    <x v="3"/>
    <x v="1"/>
    <n v="3105"/>
    <m/>
    <x v="2"/>
  </r>
  <r>
    <x v="26"/>
    <x v="7"/>
    <x v="0"/>
    <x v="1"/>
    <x v="4"/>
    <x v="1"/>
    <n v="713.25"/>
    <m/>
    <x v="2"/>
  </r>
  <r>
    <x v="26"/>
    <x v="7"/>
    <x v="0"/>
    <x v="1"/>
    <x v="48"/>
    <x v="2"/>
    <n v="36627.5"/>
    <m/>
    <x v="2"/>
  </r>
  <r>
    <x v="26"/>
    <x v="7"/>
    <x v="0"/>
    <x v="2"/>
    <x v="104"/>
    <x v="0"/>
    <n v="1048.57"/>
    <d v="2026-08-15T00:00:00"/>
    <x v="2"/>
  </r>
  <r>
    <x v="26"/>
    <x v="7"/>
    <x v="0"/>
    <x v="2"/>
    <x v="105"/>
    <x v="0"/>
    <n v="238.36"/>
    <m/>
    <x v="2"/>
  </r>
  <r>
    <x v="26"/>
    <x v="7"/>
    <x v="0"/>
    <x v="2"/>
    <x v="6"/>
    <x v="1"/>
    <n v="150"/>
    <m/>
    <x v="2"/>
  </r>
  <r>
    <x v="26"/>
    <x v="7"/>
    <x v="0"/>
    <x v="2"/>
    <x v="32"/>
    <x v="0"/>
    <n v="552.86"/>
    <m/>
    <x v="2"/>
  </r>
  <r>
    <x v="26"/>
    <x v="7"/>
    <x v="0"/>
    <x v="3"/>
    <x v="38"/>
    <x v="0"/>
    <n v="860.91"/>
    <m/>
    <x v="2"/>
  </r>
  <r>
    <x v="26"/>
    <x v="7"/>
    <x v="0"/>
    <x v="3"/>
    <x v="106"/>
    <x v="0"/>
    <n v="2297.77"/>
    <m/>
    <x v="2"/>
  </r>
  <r>
    <x v="26"/>
    <x v="7"/>
    <x v="0"/>
    <x v="3"/>
    <x v="107"/>
    <x v="0"/>
    <n v="1469.15"/>
    <m/>
    <x v="2"/>
  </r>
  <r>
    <x v="26"/>
    <x v="7"/>
    <x v="0"/>
    <x v="3"/>
    <x v="41"/>
    <x v="0"/>
    <n v="410"/>
    <m/>
    <x v="2"/>
  </r>
  <r>
    <x v="26"/>
    <x v="7"/>
    <x v="0"/>
    <x v="3"/>
    <x v="9"/>
    <x v="0"/>
    <n v="2300"/>
    <m/>
    <x v="2"/>
  </r>
  <r>
    <x v="26"/>
    <x v="7"/>
    <x v="0"/>
    <x v="3"/>
    <x v="10"/>
    <x v="0"/>
    <n v="1405"/>
    <m/>
    <x v="2"/>
  </r>
  <r>
    <x v="26"/>
    <x v="7"/>
    <x v="0"/>
    <x v="3"/>
    <x v="58"/>
    <x v="0"/>
    <n v="2300"/>
    <m/>
    <x v="2"/>
  </r>
  <r>
    <x v="26"/>
    <x v="7"/>
    <x v="0"/>
    <x v="3"/>
    <x v="12"/>
    <x v="0"/>
    <n v="466.34"/>
    <m/>
    <x v="2"/>
  </r>
  <r>
    <x v="26"/>
    <x v="7"/>
    <x v="0"/>
    <x v="3"/>
    <x v="108"/>
    <x v="0"/>
    <n v="238.36"/>
    <m/>
    <x v="2"/>
  </r>
  <r>
    <x v="26"/>
    <x v="7"/>
    <x v="0"/>
    <x v="3"/>
    <x v="13"/>
    <x v="0"/>
    <n v="450"/>
    <m/>
    <x v="2"/>
  </r>
  <r>
    <x v="26"/>
    <x v="7"/>
    <x v="0"/>
    <x v="3"/>
    <x v="14"/>
    <x v="0"/>
    <n v="350"/>
    <m/>
    <x v="2"/>
  </r>
  <r>
    <x v="26"/>
    <x v="7"/>
    <x v="0"/>
    <x v="3"/>
    <x v="15"/>
    <x v="0"/>
    <n v="450"/>
    <m/>
    <x v="2"/>
  </r>
  <r>
    <x v="26"/>
    <x v="7"/>
    <x v="1"/>
    <x v="0"/>
    <x v="34"/>
    <x v="3"/>
    <n v="1100"/>
    <m/>
    <x v="2"/>
  </r>
  <r>
    <x v="26"/>
    <x v="7"/>
    <x v="1"/>
    <x v="0"/>
    <x v="16"/>
    <x v="3"/>
    <n v="1100"/>
    <m/>
    <x v="2"/>
  </r>
  <r>
    <x v="26"/>
    <x v="7"/>
    <x v="1"/>
    <x v="0"/>
    <x v="17"/>
    <x v="3"/>
    <n v="700"/>
    <m/>
    <x v="2"/>
  </r>
  <r>
    <x v="26"/>
    <x v="7"/>
    <x v="1"/>
    <x v="0"/>
    <x v="18"/>
    <x v="3"/>
    <n v="400"/>
    <m/>
    <x v="2"/>
  </r>
  <r>
    <x v="26"/>
    <x v="7"/>
    <x v="1"/>
    <x v="0"/>
    <x v="19"/>
    <x v="3"/>
    <n v="220"/>
    <m/>
    <x v="2"/>
  </r>
  <r>
    <x v="26"/>
    <x v="7"/>
    <x v="1"/>
    <x v="4"/>
    <x v="75"/>
    <x v="3"/>
    <n v="735"/>
    <m/>
    <x v="2"/>
  </r>
  <r>
    <x v="26"/>
    <x v="7"/>
    <x v="1"/>
    <x v="4"/>
    <x v="76"/>
    <x v="3"/>
    <n v="3000"/>
    <m/>
    <x v="2"/>
  </r>
  <r>
    <x v="26"/>
    <x v="7"/>
    <x v="1"/>
    <x v="4"/>
    <x v="61"/>
    <x v="3"/>
    <n v="209"/>
    <m/>
    <x v="2"/>
  </r>
  <r>
    <x v="26"/>
    <x v="7"/>
    <x v="1"/>
    <x v="1"/>
    <x v="2"/>
    <x v="4"/>
    <n v="330"/>
    <m/>
    <x v="2"/>
  </r>
  <r>
    <x v="26"/>
    <x v="7"/>
    <x v="1"/>
    <x v="1"/>
    <x v="3"/>
    <x v="4"/>
    <n v="11000"/>
    <m/>
    <x v="2"/>
  </r>
  <r>
    <x v="26"/>
    <x v="7"/>
    <x v="1"/>
    <x v="1"/>
    <x v="4"/>
    <x v="4"/>
    <n v="220"/>
    <m/>
    <x v="2"/>
  </r>
  <r>
    <x v="26"/>
    <x v="7"/>
    <x v="1"/>
    <x v="1"/>
    <x v="48"/>
    <x v="9"/>
    <n v="36627.5"/>
    <m/>
    <x v="2"/>
  </r>
  <r>
    <x v="26"/>
    <x v="7"/>
    <x v="1"/>
    <x v="1"/>
    <x v="109"/>
    <x v="3"/>
    <n v="36000"/>
    <m/>
    <x v="2"/>
  </r>
  <r>
    <x v="26"/>
    <x v="7"/>
    <x v="1"/>
    <x v="2"/>
    <x v="36"/>
    <x v="3"/>
    <n v="503.34"/>
    <m/>
    <x v="2"/>
  </r>
  <r>
    <x v="26"/>
    <x v="7"/>
    <x v="2"/>
    <x v="0"/>
    <x v="24"/>
    <x v="11"/>
    <n v="4900"/>
    <m/>
    <x v="2"/>
  </r>
  <r>
    <x v="26"/>
    <x v="7"/>
    <x v="2"/>
    <x v="0"/>
    <x v="25"/>
    <x v="11"/>
    <n v="2131"/>
    <m/>
    <x v="2"/>
  </r>
  <r>
    <x v="26"/>
    <x v="7"/>
    <x v="2"/>
    <x v="1"/>
    <x v="26"/>
    <x v="6"/>
    <n v="1000"/>
    <m/>
    <x v="2"/>
  </r>
  <r>
    <x v="26"/>
    <x v="7"/>
    <x v="2"/>
    <x v="1"/>
    <x v="2"/>
    <x v="11"/>
    <n v="200"/>
    <m/>
    <x v="2"/>
  </r>
  <r>
    <x v="26"/>
    <x v="7"/>
    <x v="2"/>
    <x v="1"/>
    <x v="3"/>
    <x v="11"/>
    <n v="5000"/>
    <m/>
    <x v="2"/>
  </r>
  <r>
    <x v="26"/>
    <x v="7"/>
    <x v="2"/>
    <x v="1"/>
    <x v="4"/>
    <x v="11"/>
    <n v="100"/>
    <m/>
    <x v="2"/>
  </r>
  <r>
    <x v="27"/>
    <x v="8"/>
    <x v="0"/>
    <x v="0"/>
    <x v="110"/>
    <x v="0"/>
    <n v="204.78"/>
    <d v="2026-09-12T00:00:00"/>
    <x v="2"/>
  </r>
  <r>
    <x v="27"/>
    <x v="8"/>
    <x v="0"/>
    <x v="0"/>
    <x v="111"/>
    <x v="0"/>
    <n v="503.91"/>
    <d v="2026-09-12T00:00:00"/>
    <x v="2"/>
  </r>
  <r>
    <x v="27"/>
    <x v="8"/>
    <x v="0"/>
    <x v="0"/>
    <x v="0"/>
    <x v="0"/>
    <n v="13616.54"/>
    <m/>
    <x v="2"/>
  </r>
  <r>
    <x v="27"/>
    <x v="8"/>
    <x v="0"/>
    <x v="0"/>
    <x v="1"/>
    <x v="0"/>
    <n v="2000"/>
    <m/>
    <x v="2"/>
  </r>
  <r>
    <x v="27"/>
    <x v="8"/>
    <x v="0"/>
    <x v="1"/>
    <x v="2"/>
    <x v="1"/>
    <n v="300"/>
    <m/>
    <x v="2"/>
  </r>
  <r>
    <x v="27"/>
    <x v="8"/>
    <x v="0"/>
    <x v="1"/>
    <x v="3"/>
    <x v="1"/>
    <n v="3105"/>
    <m/>
    <x v="2"/>
  </r>
  <r>
    <x v="27"/>
    <x v="8"/>
    <x v="0"/>
    <x v="1"/>
    <x v="4"/>
    <x v="1"/>
    <n v="713.25"/>
    <m/>
    <x v="2"/>
  </r>
  <r>
    <x v="27"/>
    <x v="8"/>
    <x v="0"/>
    <x v="1"/>
    <x v="56"/>
    <x v="1"/>
    <n v="500"/>
    <m/>
    <x v="2"/>
  </r>
  <r>
    <x v="27"/>
    <x v="8"/>
    <x v="0"/>
    <x v="1"/>
    <x v="57"/>
    <x v="2"/>
    <n v="7600"/>
    <m/>
    <x v="2"/>
  </r>
  <r>
    <x v="27"/>
    <x v="8"/>
    <x v="0"/>
    <x v="2"/>
    <x v="112"/>
    <x v="0"/>
    <n v="1048.57"/>
    <d v="2026-09-15T00:00:00"/>
    <x v="2"/>
  </r>
  <r>
    <x v="27"/>
    <x v="8"/>
    <x v="0"/>
    <x v="2"/>
    <x v="113"/>
    <x v="0"/>
    <n v="300"/>
    <m/>
    <x v="2"/>
  </r>
  <r>
    <x v="27"/>
    <x v="8"/>
    <x v="0"/>
    <x v="2"/>
    <x v="6"/>
    <x v="1"/>
    <n v="150"/>
    <m/>
    <x v="2"/>
  </r>
  <r>
    <x v="27"/>
    <x v="8"/>
    <x v="0"/>
    <x v="2"/>
    <x v="32"/>
    <x v="0"/>
    <n v="552.86"/>
    <m/>
    <x v="2"/>
  </r>
  <r>
    <x v="27"/>
    <x v="8"/>
    <x v="0"/>
    <x v="3"/>
    <x v="114"/>
    <x v="0"/>
    <n v="1518"/>
    <m/>
    <x v="2"/>
  </r>
  <r>
    <x v="27"/>
    <x v="8"/>
    <x v="0"/>
    <x v="3"/>
    <x v="38"/>
    <x v="0"/>
    <n v="860.91"/>
    <m/>
    <x v="2"/>
  </r>
  <r>
    <x v="27"/>
    <x v="8"/>
    <x v="0"/>
    <x v="3"/>
    <x v="115"/>
    <x v="0"/>
    <n v="3017.63"/>
    <m/>
    <x v="2"/>
  </r>
  <r>
    <x v="27"/>
    <x v="8"/>
    <x v="0"/>
    <x v="3"/>
    <x v="41"/>
    <x v="0"/>
    <n v="410"/>
    <m/>
    <x v="2"/>
  </r>
  <r>
    <x v="27"/>
    <x v="8"/>
    <x v="0"/>
    <x v="3"/>
    <x v="9"/>
    <x v="0"/>
    <n v="2300"/>
    <m/>
    <x v="2"/>
  </r>
  <r>
    <x v="27"/>
    <x v="8"/>
    <x v="0"/>
    <x v="3"/>
    <x v="10"/>
    <x v="0"/>
    <n v="1405"/>
    <m/>
    <x v="2"/>
  </r>
  <r>
    <x v="27"/>
    <x v="8"/>
    <x v="0"/>
    <x v="3"/>
    <x v="58"/>
    <x v="0"/>
    <n v="2300"/>
    <m/>
    <x v="2"/>
  </r>
  <r>
    <x v="27"/>
    <x v="8"/>
    <x v="0"/>
    <x v="3"/>
    <x v="12"/>
    <x v="0"/>
    <n v="466.34"/>
    <m/>
    <x v="2"/>
  </r>
  <r>
    <x v="27"/>
    <x v="8"/>
    <x v="0"/>
    <x v="3"/>
    <x v="13"/>
    <x v="0"/>
    <n v="450"/>
    <m/>
    <x v="2"/>
  </r>
  <r>
    <x v="27"/>
    <x v="8"/>
    <x v="0"/>
    <x v="3"/>
    <x v="14"/>
    <x v="0"/>
    <n v="350"/>
    <m/>
    <x v="2"/>
  </r>
  <r>
    <x v="27"/>
    <x v="8"/>
    <x v="0"/>
    <x v="3"/>
    <x v="15"/>
    <x v="0"/>
    <n v="450"/>
    <m/>
    <x v="2"/>
  </r>
  <r>
    <x v="27"/>
    <x v="8"/>
    <x v="1"/>
    <x v="0"/>
    <x v="34"/>
    <x v="3"/>
    <n v="1100"/>
    <m/>
    <x v="2"/>
  </r>
  <r>
    <x v="27"/>
    <x v="8"/>
    <x v="1"/>
    <x v="0"/>
    <x v="16"/>
    <x v="3"/>
    <n v="1100"/>
    <m/>
    <x v="2"/>
  </r>
  <r>
    <x v="27"/>
    <x v="8"/>
    <x v="1"/>
    <x v="0"/>
    <x v="17"/>
    <x v="3"/>
    <n v="700"/>
    <m/>
    <x v="2"/>
  </r>
  <r>
    <x v="27"/>
    <x v="8"/>
    <x v="1"/>
    <x v="0"/>
    <x v="18"/>
    <x v="3"/>
    <n v="400"/>
    <m/>
    <x v="2"/>
  </r>
  <r>
    <x v="27"/>
    <x v="8"/>
    <x v="1"/>
    <x v="0"/>
    <x v="19"/>
    <x v="3"/>
    <n v="220"/>
    <m/>
    <x v="2"/>
  </r>
  <r>
    <x v="27"/>
    <x v="8"/>
    <x v="1"/>
    <x v="4"/>
    <x v="75"/>
    <x v="3"/>
    <n v="735"/>
    <m/>
    <x v="2"/>
  </r>
  <r>
    <x v="27"/>
    <x v="8"/>
    <x v="1"/>
    <x v="4"/>
    <x v="76"/>
    <x v="3"/>
    <n v="3000"/>
    <m/>
    <x v="2"/>
  </r>
  <r>
    <x v="27"/>
    <x v="8"/>
    <x v="1"/>
    <x v="4"/>
    <x v="61"/>
    <x v="3"/>
    <n v="209"/>
    <m/>
    <x v="2"/>
  </r>
  <r>
    <x v="27"/>
    <x v="8"/>
    <x v="1"/>
    <x v="1"/>
    <x v="2"/>
    <x v="4"/>
    <n v="330"/>
    <m/>
    <x v="2"/>
  </r>
  <r>
    <x v="27"/>
    <x v="8"/>
    <x v="1"/>
    <x v="1"/>
    <x v="3"/>
    <x v="4"/>
    <n v="11000"/>
    <m/>
    <x v="2"/>
  </r>
  <r>
    <x v="27"/>
    <x v="8"/>
    <x v="1"/>
    <x v="1"/>
    <x v="4"/>
    <x v="4"/>
    <n v="220"/>
    <m/>
    <x v="2"/>
  </r>
  <r>
    <x v="27"/>
    <x v="8"/>
    <x v="1"/>
    <x v="1"/>
    <x v="56"/>
    <x v="4"/>
    <n v="500"/>
    <m/>
    <x v="2"/>
  </r>
  <r>
    <x v="27"/>
    <x v="8"/>
    <x v="1"/>
    <x v="1"/>
    <x v="57"/>
    <x v="9"/>
    <n v="7600"/>
    <m/>
    <x v="2"/>
  </r>
  <r>
    <x v="27"/>
    <x v="8"/>
    <x v="1"/>
    <x v="1"/>
    <x v="109"/>
    <x v="3"/>
    <n v="36000"/>
    <m/>
    <x v="2"/>
  </r>
  <r>
    <x v="27"/>
    <x v="8"/>
    <x v="1"/>
    <x v="2"/>
    <x v="36"/>
    <x v="3"/>
    <n v="503.34"/>
    <m/>
    <x v="2"/>
  </r>
  <r>
    <x v="27"/>
    <x v="8"/>
    <x v="2"/>
    <x v="0"/>
    <x v="24"/>
    <x v="11"/>
    <n v="4900"/>
    <m/>
    <x v="2"/>
  </r>
  <r>
    <x v="27"/>
    <x v="8"/>
    <x v="2"/>
    <x v="0"/>
    <x v="25"/>
    <x v="11"/>
    <n v="2131"/>
    <m/>
    <x v="2"/>
  </r>
  <r>
    <x v="27"/>
    <x v="8"/>
    <x v="2"/>
    <x v="1"/>
    <x v="26"/>
    <x v="6"/>
    <n v="1000"/>
    <m/>
    <x v="2"/>
  </r>
  <r>
    <x v="27"/>
    <x v="8"/>
    <x v="2"/>
    <x v="1"/>
    <x v="2"/>
    <x v="11"/>
    <n v="200"/>
    <m/>
    <x v="2"/>
  </r>
  <r>
    <x v="27"/>
    <x v="8"/>
    <x v="2"/>
    <x v="1"/>
    <x v="3"/>
    <x v="11"/>
    <n v="5000"/>
    <m/>
    <x v="2"/>
  </r>
  <r>
    <x v="27"/>
    <x v="8"/>
    <x v="2"/>
    <x v="1"/>
    <x v="4"/>
    <x v="11"/>
    <n v="100"/>
    <m/>
    <x v="2"/>
  </r>
  <r>
    <x v="28"/>
    <x v="9"/>
    <x v="0"/>
    <x v="0"/>
    <x v="116"/>
    <x v="0"/>
    <n v="204.78"/>
    <d v="2026-10-12T00:00:00"/>
    <x v="2"/>
  </r>
  <r>
    <x v="28"/>
    <x v="9"/>
    <x v="0"/>
    <x v="0"/>
    <x v="117"/>
    <x v="0"/>
    <n v="503.91"/>
    <d v="2026-10-12T00:00:00"/>
    <x v="2"/>
  </r>
  <r>
    <x v="28"/>
    <x v="9"/>
    <x v="0"/>
    <x v="0"/>
    <x v="0"/>
    <x v="0"/>
    <n v="13616.54"/>
    <m/>
    <x v="2"/>
  </r>
  <r>
    <x v="28"/>
    <x v="9"/>
    <x v="0"/>
    <x v="0"/>
    <x v="1"/>
    <x v="0"/>
    <n v="2000"/>
    <m/>
    <x v="2"/>
  </r>
  <r>
    <x v="28"/>
    <x v="9"/>
    <x v="0"/>
    <x v="1"/>
    <x v="2"/>
    <x v="1"/>
    <n v="300"/>
    <m/>
    <x v="2"/>
  </r>
  <r>
    <x v="28"/>
    <x v="9"/>
    <x v="0"/>
    <x v="1"/>
    <x v="3"/>
    <x v="1"/>
    <n v="3105"/>
    <m/>
    <x v="2"/>
  </r>
  <r>
    <x v="28"/>
    <x v="9"/>
    <x v="0"/>
    <x v="1"/>
    <x v="4"/>
    <x v="1"/>
    <n v="713.25"/>
    <m/>
    <x v="2"/>
  </r>
  <r>
    <x v="28"/>
    <x v="9"/>
    <x v="0"/>
    <x v="1"/>
    <x v="118"/>
    <x v="2"/>
    <n v="17000"/>
    <m/>
    <x v="2"/>
  </r>
  <r>
    <x v="28"/>
    <x v="9"/>
    <x v="0"/>
    <x v="2"/>
    <x v="119"/>
    <x v="0"/>
    <n v="1048.57"/>
    <d v="2026-10-15T00:00:00"/>
    <x v="2"/>
  </r>
  <r>
    <x v="28"/>
    <x v="9"/>
    <x v="0"/>
    <x v="2"/>
    <x v="6"/>
    <x v="1"/>
    <n v="150"/>
    <m/>
    <x v="2"/>
  </r>
  <r>
    <x v="28"/>
    <x v="9"/>
    <x v="0"/>
    <x v="2"/>
    <x v="32"/>
    <x v="0"/>
    <n v="552.86"/>
    <m/>
    <x v="2"/>
  </r>
  <r>
    <x v="28"/>
    <x v="9"/>
    <x v="0"/>
    <x v="3"/>
    <x v="38"/>
    <x v="0"/>
    <n v="860.91"/>
    <m/>
    <x v="2"/>
  </r>
  <r>
    <x v="28"/>
    <x v="9"/>
    <x v="0"/>
    <x v="3"/>
    <x v="120"/>
    <x v="0"/>
    <n v="2297.77"/>
    <m/>
    <x v="2"/>
  </r>
  <r>
    <x v="28"/>
    <x v="9"/>
    <x v="0"/>
    <x v="3"/>
    <x v="41"/>
    <x v="0"/>
    <n v="410"/>
    <m/>
    <x v="2"/>
  </r>
  <r>
    <x v="28"/>
    <x v="9"/>
    <x v="0"/>
    <x v="3"/>
    <x v="9"/>
    <x v="0"/>
    <n v="2300"/>
    <m/>
    <x v="2"/>
  </r>
  <r>
    <x v="28"/>
    <x v="9"/>
    <x v="0"/>
    <x v="3"/>
    <x v="10"/>
    <x v="0"/>
    <n v="1405"/>
    <m/>
    <x v="2"/>
  </r>
  <r>
    <x v="28"/>
    <x v="9"/>
    <x v="0"/>
    <x v="3"/>
    <x v="58"/>
    <x v="0"/>
    <n v="2300"/>
    <m/>
    <x v="2"/>
  </r>
  <r>
    <x v="28"/>
    <x v="9"/>
    <x v="0"/>
    <x v="3"/>
    <x v="12"/>
    <x v="0"/>
    <n v="466.34"/>
    <m/>
    <x v="2"/>
  </r>
  <r>
    <x v="28"/>
    <x v="9"/>
    <x v="0"/>
    <x v="3"/>
    <x v="13"/>
    <x v="0"/>
    <n v="450"/>
    <m/>
    <x v="2"/>
  </r>
  <r>
    <x v="28"/>
    <x v="9"/>
    <x v="0"/>
    <x v="3"/>
    <x v="14"/>
    <x v="0"/>
    <n v="350"/>
    <m/>
    <x v="2"/>
  </r>
  <r>
    <x v="28"/>
    <x v="9"/>
    <x v="0"/>
    <x v="3"/>
    <x v="15"/>
    <x v="0"/>
    <n v="450"/>
    <m/>
    <x v="2"/>
  </r>
  <r>
    <x v="28"/>
    <x v="9"/>
    <x v="1"/>
    <x v="0"/>
    <x v="34"/>
    <x v="3"/>
    <n v="1100"/>
    <m/>
    <x v="2"/>
  </r>
  <r>
    <x v="28"/>
    <x v="9"/>
    <x v="1"/>
    <x v="0"/>
    <x v="16"/>
    <x v="3"/>
    <n v="1100"/>
    <m/>
    <x v="2"/>
  </r>
  <r>
    <x v="28"/>
    <x v="9"/>
    <x v="1"/>
    <x v="0"/>
    <x v="17"/>
    <x v="3"/>
    <n v="700"/>
    <m/>
    <x v="2"/>
  </r>
  <r>
    <x v="28"/>
    <x v="9"/>
    <x v="1"/>
    <x v="0"/>
    <x v="18"/>
    <x v="3"/>
    <n v="400"/>
    <m/>
    <x v="2"/>
  </r>
  <r>
    <x v="28"/>
    <x v="9"/>
    <x v="1"/>
    <x v="0"/>
    <x v="19"/>
    <x v="3"/>
    <n v="220"/>
    <m/>
    <x v="2"/>
  </r>
  <r>
    <x v="28"/>
    <x v="9"/>
    <x v="1"/>
    <x v="4"/>
    <x v="75"/>
    <x v="3"/>
    <n v="735"/>
    <m/>
    <x v="2"/>
  </r>
  <r>
    <x v="28"/>
    <x v="9"/>
    <x v="1"/>
    <x v="4"/>
    <x v="76"/>
    <x v="3"/>
    <n v="3000"/>
    <m/>
    <x v="2"/>
  </r>
  <r>
    <x v="28"/>
    <x v="9"/>
    <x v="1"/>
    <x v="4"/>
    <x v="61"/>
    <x v="3"/>
    <n v="209"/>
    <m/>
    <x v="2"/>
  </r>
  <r>
    <x v="28"/>
    <x v="9"/>
    <x v="1"/>
    <x v="1"/>
    <x v="2"/>
    <x v="4"/>
    <n v="330"/>
    <m/>
    <x v="2"/>
  </r>
  <r>
    <x v="28"/>
    <x v="9"/>
    <x v="1"/>
    <x v="1"/>
    <x v="3"/>
    <x v="4"/>
    <n v="11000"/>
    <m/>
    <x v="2"/>
  </r>
  <r>
    <x v="28"/>
    <x v="9"/>
    <x v="1"/>
    <x v="1"/>
    <x v="4"/>
    <x v="4"/>
    <n v="220"/>
    <m/>
    <x v="2"/>
  </r>
  <r>
    <x v="28"/>
    <x v="9"/>
    <x v="1"/>
    <x v="1"/>
    <x v="118"/>
    <x v="9"/>
    <n v="17000"/>
    <m/>
    <x v="2"/>
  </r>
  <r>
    <x v="28"/>
    <x v="9"/>
    <x v="1"/>
    <x v="1"/>
    <x v="109"/>
    <x v="3"/>
    <n v="36000"/>
    <m/>
    <x v="2"/>
  </r>
  <r>
    <x v="28"/>
    <x v="9"/>
    <x v="1"/>
    <x v="2"/>
    <x v="36"/>
    <x v="3"/>
    <n v="503.34"/>
    <m/>
    <x v="2"/>
  </r>
  <r>
    <x v="28"/>
    <x v="9"/>
    <x v="2"/>
    <x v="0"/>
    <x v="24"/>
    <x v="11"/>
    <n v="4900"/>
    <m/>
    <x v="2"/>
  </r>
  <r>
    <x v="28"/>
    <x v="9"/>
    <x v="2"/>
    <x v="0"/>
    <x v="25"/>
    <x v="11"/>
    <n v="2131"/>
    <m/>
    <x v="2"/>
  </r>
  <r>
    <x v="28"/>
    <x v="9"/>
    <x v="2"/>
    <x v="1"/>
    <x v="26"/>
    <x v="6"/>
    <n v="1000"/>
    <m/>
    <x v="2"/>
  </r>
  <r>
    <x v="28"/>
    <x v="9"/>
    <x v="2"/>
    <x v="1"/>
    <x v="2"/>
    <x v="11"/>
    <n v="200"/>
    <m/>
    <x v="2"/>
  </r>
  <r>
    <x v="28"/>
    <x v="9"/>
    <x v="2"/>
    <x v="1"/>
    <x v="3"/>
    <x v="11"/>
    <n v="5000"/>
    <m/>
    <x v="2"/>
  </r>
  <r>
    <x v="28"/>
    <x v="9"/>
    <x v="2"/>
    <x v="1"/>
    <x v="4"/>
    <x v="11"/>
    <n v="100"/>
    <m/>
    <x v="2"/>
  </r>
  <r>
    <x v="28"/>
    <x v="9"/>
    <x v="2"/>
    <x v="1"/>
    <x v="118"/>
    <x v="11"/>
    <n v="9200"/>
    <m/>
    <x v="2"/>
  </r>
  <r>
    <x v="29"/>
    <x v="10"/>
    <x v="0"/>
    <x v="0"/>
    <x v="121"/>
    <x v="0"/>
    <n v="204.78"/>
    <d v="2026-11-12T00:00:00"/>
    <x v="2"/>
  </r>
  <r>
    <x v="29"/>
    <x v="10"/>
    <x v="0"/>
    <x v="0"/>
    <x v="122"/>
    <x v="0"/>
    <n v="503.91"/>
    <d v="2026-11-12T00:00:00"/>
    <x v="2"/>
  </r>
  <r>
    <x v="29"/>
    <x v="10"/>
    <x v="0"/>
    <x v="0"/>
    <x v="0"/>
    <x v="0"/>
    <n v="13616.54"/>
    <m/>
    <x v="2"/>
  </r>
  <r>
    <x v="29"/>
    <x v="10"/>
    <x v="0"/>
    <x v="0"/>
    <x v="1"/>
    <x v="0"/>
    <n v="2000"/>
    <m/>
    <x v="2"/>
  </r>
  <r>
    <x v="29"/>
    <x v="10"/>
    <x v="0"/>
    <x v="1"/>
    <x v="2"/>
    <x v="1"/>
    <n v="300"/>
    <m/>
    <x v="2"/>
  </r>
  <r>
    <x v="29"/>
    <x v="10"/>
    <x v="0"/>
    <x v="1"/>
    <x v="3"/>
    <x v="1"/>
    <n v="3105"/>
    <m/>
    <x v="2"/>
  </r>
  <r>
    <x v="29"/>
    <x v="10"/>
    <x v="0"/>
    <x v="1"/>
    <x v="4"/>
    <x v="1"/>
    <n v="713.25"/>
    <m/>
    <x v="2"/>
  </r>
  <r>
    <x v="29"/>
    <x v="10"/>
    <x v="0"/>
    <x v="2"/>
    <x v="123"/>
    <x v="0"/>
    <n v="1048.57"/>
    <d v="2026-11-15T00:00:00"/>
    <x v="2"/>
  </r>
  <r>
    <x v="29"/>
    <x v="10"/>
    <x v="0"/>
    <x v="2"/>
    <x v="124"/>
    <x v="0"/>
    <n v="506"/>
    <m/>
    <x v="2"/>
  </r>
  <r>
    <x v="29"/>
    <x v="10"/>
    <x v="0"/>
    <x v="2"/>
    <x v="6"/>
    <x v="1"/>
    <n v="150"/>
    <m/>
    <x v="2"/>
  </r>
  <r>
    <x v="29"/>
    <x v="10"/>
    <x v="0"/>
    <x v="2"/>
    <x v="32"/>
    <x v="0"/>
    <n v="552.86"/>
    <m/>
    <x v="2"/>
  </r>
  <r>
    <x v="29"/>
    <x v="10"/>
    <x v="0"/>
    <x v="3"/>
    <x v="38"/>
    <x v="0"/>
    <n v="860.91"/>
    <m/>
    <x v="2"/>
  </r>
  <r>
    <x v="29"/>
    <x v="10"/>
    <x v="0"/>
    <x v="3"/>
    <x v="41"/>
    <x v="0"/>
    <n v="410"/>
    <m/>
    <x v="2"/>
  </r>
  <r>
    <x v="29"/>
    <x v="10"/>
    <x v="0"/>
    <x v="3"/>
    <x v="9"/>
    <x v="0"/>
    <n v="2300"/>
    <m/>
    <x v="2"/>
  </r>
  <r>
    <x v="29"/>
    <x v="10"/>
    <x v="0"/>
    <x v="3"/>
    <x v="10"/>
    <x v="0"/>
    <n v="1405"/>
    <m/>
    <x v="2"/>
  </r>
  <r>
    <x v="29"/>
    <x v="10"/>
    <x v="0"/>
    <x v="3"/>
    <x v="58"/>
    <x v="0"/>
    <n v="2300"/>
    <m/>
    <x v="2"/>
  </r>
  <r>
    <x v="29"/>
    <x v="10"/>
    <x v="0"/>
    <x v="3"/>
    <x v="125"/>
    <x v="0"/>
    <n v="1250"/>
    <m/>
    <x v="2"/>
  </r>
  <r>
    <x v="29"/>
    <x v="10"/>
    <x v="0"/>
    <x v="3"/>
    <x v="126"/>
    <x v="0"/>
    <n v="760"/>
    <m/>
    <x v="2"/>
  </r>
  <r>
    <x v="29"/>
    <x v="10"/>
    <x v="0"/>
    <x v="3"/>
    <x v="127"/>
    <x v="0"/>
    <n v="1250"/>
    <m/>
    <x v="2"/>
  </r>
  <r>
    <x v="29"/>
    <x v="10"/>
    <x v="0"/>
    <x v="3"/>
    <x v="12"/>
    <x v="0"/>
    <n v="466.34"/>
    <m/>
    <x v="2"/>
  </r>
  <r>
    <x v="29"/>
    <x v="10"/>
    <x v="0"/>
    <x v="3"/>
    <x v="13"/>
    <x v="0"/>
    <n v="450"/>
    <m/>
    <x v="2"/>
  </r>
  <r>
    <x v="29"/>
    <x v="10"/>
    <x v="0"/>
    <x v="3"/>
    <x v="14"/>
    <x v="0"/>
    <n v="350"/>
    <m/>
    <x v="2"/>
  </r>
  <r>
    <x v="29"/>
    <x v="10"/>
    <x v="0"/>
    <x v="3"/>
    <x v="15"/>
    <x v="0"/>
    <n v="450"/>
    <m/>
    <x v="2"/>
  </r>
  <r>
    <x v="29"/>
    <x v="10"/>
    <x v="1"/>
    <x v="0"/>
    <x v="34"/>
    <x v="3"/>
    <n v="1100"/>
    <m/>
    <x v="2"/>
  </r>
  <r>
    <x v="29"/>
    <x v="10"/>
    <x v="1"/>
    <x v="0"/>
    <x v="16"/>
    <x v="3"/>
    <n v="1100"/>
    <m/>
    <x v="2"/>
  </r>
  <r>
    <x v="29"/>
    <x v="10"/>
    <x v="1"/>
    <x v="0"/>
    <x v="17"/>
    <x v="3"/>
    <n v="700"/>
    <m/>
    <x v="2"/>
  </r>
  <r>
    <x v="29"/>
    <x v="10"/>
    <x v="1"/>
    <x v="0"/>
    <x v="18"/>
    <x v="3"/>
    <n v="400"/>
    <m/>
    <x v="2"/>
  </r>
  <r>
    <x v="29"/>
    <x v="10"/>
    <x v="1"/>
    <x v="0"/>
    <x v="19"/>
    <x v="3"/>
    <n v="220"/>
    <m/>
    <x v="2"/>
  </r>
  <r>
    <x v="29"/>
    <x v="10"/>
    <x v="1"/>
    <x v="4"/>
    <x v="75"/>
    <x v="3"/>
    <n v="735"/>
    <m/>
    <x v="2"/>
  </r>
  <r>
    <x v="29"/>
    <x v="10"/>
    <x v="1"/>
    <x v="4"/>
    <x v="76"/>
    <x v="3"/>
    <n v="3000"/>
    <m/>
    <x v="2"/>
  </r>
  <r>
    <x v="29"/>
    <x v="10"/>
    <x v="1"/>
    <x v="4"/>
    <x v="128"/>
    <x v="3"/>
    <n v="2000"/>
    <m/>
    <x v="2"/>
  </r>
  <r>
    <x v="29"/>
    <x v="10"/>
    <x v="1"/>
    <x v="4"/>
    <x v="61"/>
    <x v="3"/>
    <n v="209"/>
    <m/>
    <x v="2"/>
  </r>
  <r>
    <x v="29"/>
    <x v="10"/>
    <x v="1"/>
    <x v="1"/>
    <x v="2"/>
    <x v="4"/>
    <n v="330"/>
    <m/>
    <x v="2"/>
  </r>
  <r>
    <x v="29"/>
    <x v="10"/>
    <x v="1"/>
    <x v="1"/>
    <x v="3"/>
    <x v="4"/>
    <n v="11000"/>
    <m/>
    <x v="2"/>
  </r>
  <r>
    <x v="29"/>
    <x v="10"/>
    <x v="1"/>
    <x v="1"/>
    <x v="4"/>
    <x v="4"/>
    <n v="220"/>
    <m/>
    <x v="2"/>
  </r>
  <r>
    <x v="29"/>
    <x v="10"/>
    <x v="1"/>
    <x v="1"/>
    <x v="109"/>
    <x v="3"/>
    <n v="36000"/>
    <m/>
    <x v="2"/>
  </r>
  <r>
    <x v="29"/>
    <x v="10"/>
    <x v="1"/>
    <x v="2"/>
    <x v="36"/>
    <x v="3"/>
    <n v="503.34"/>
    <m/>
    <x v="2"/>
  </r>
  <r>
    <x v="29"/>
    <x v="10"/>
    <x v="2"/>
    <x v="0"/>
    <x v="24"/>
    <x v="11"/>
    <n v="4900"/>
    <m/>
    <x v="2"/>
  </r>
  <r>
    <x v="29"/>
    <x v="10"/>
    <x v="2"/>
    <x v="0"/>
    <x v="25"/>
    <x v="11"/>
    <n v="2131"/>
    <m/>
    <x v="2"/>
  </r>
  <r>
    <x v="29"/>
    <x v="10"/>
    <x v="2"/>
    <x v="1"/>
    <x v="26"/>
    <x v="6"/>
    <n v="1000"/>
    <m/>
    <x v="2"/>
  </r>
  <r>
    <x v="29"/>
    <x v="10"/>
    <x v="2"/>
    <x v="1"/>
    <x v="2"/>
    <x v="11"/>
    <n v="200"/>
    <m/>
    <x v="2"/>
  </r>
  <r>
    <x v="29"/>
    <x v="10"/>
    <x v="2"/>
    <x v="1"/>
    <x v="3"/>
    <x v="11"/>
    <n v="5000"/>
    <m/>
    <x v="2"/>
  </r>
  <r>
    <x v="29"/>
    <x v="10"/>
    <x v="2"/>
    <x v="1"/>
    <x v="77"/>
    <x v="6"/>
    <n v="10000"/>
    <m/>
    <x v="2"/>
  </r>
  <r>
    <x v="29"/>
    <x v="10"/>
    <x v="2"/>
    <x v="1"/>
    <x v="4"/>
    <x v="11"/>
    <n v="100"/>
    <m/>
    <x v="2"/>
  </r>
  <r>
    <x v="29"/>
    <x v="10"/>
    <x v="2"/>
    <x v="2"/>
    <x v="129"/>
    <x v="11"/>
    <n v="6200"/>
    <m/>
    <x v="2"/>
  </r>
  <r>
    <x v="30"/>
    <x v="11"/>
    <x v="0"/>
    <x v="0"/>
    <x v="130"/>
    <x v="0"/>
    <n v="204.78"/>
    <d v="2026-12-12T00:00:00"/>
    <x v="2"/>
  </r>
  <r>
    <x v="30"/>
    <x v="11"/>
    <x v="0"/>
    <x v="0"/>
    <x v="131"/>
    <x v="0"/>
    <n v="503.91"/>
    <d v="2026-12-12T00:00:00"/>
    <x v="2"/>
  </r>
  <r>
    <x v="30"/>
    <x v="11"/>
    <x v="0"/>
    <x v="0"/>
    <x v="0"/>
    <x v="0"/>
    <n v="13616.54"/>
    <m/>
    <x v="2"/>
  </r>
  <r>
    <x v="30"/>
    <x v="11"/>
    <x v="0"/>
    <x v="0"/>
    <x v="1"/>
    <x v="0"/>
    <n v="2000"/>
    <m/>
    <x v="2"/>
  </r>
  <r>
    <x v="30"/>
    <x v="11"/>
    <x v="0"/>
    <x v="1"/>
    <x v="2"/>
    <x v="1"/>
    <n v="300"/>
    <m/>
    <x v="2"/>
  </r>
  <r>
    <x v="30"/>
    <x v="11"/>
    <x v="0"/>
    <x v="1"/>
    <x v="3"/>
    <x v="1"/>
    <n v="3105"/>
    <m/>
    <x v="2"/>
  </r>
  <r>
    <x v="30"/>
    <x v="11"/>
    <x v="0"/>
    <x v="1"/>
    <x v="4"/>
    <x v="1"/>
    <n v="713.25"/>
    <m/>
    <x v="2"/>
  </r>
  <r>
    <x v="30"/>
    <x v="11"/>
    <x v="0"/>
    <x v="1"/>
    <x v="56"/>
    <x v="1"/>
    <n v="2500"/>
    <m/>
    <x v="2"/>
  </r>
  <r>
    <x v="30"/>
    <x v="11"/>
    <x v="0"/>
    <x v="1"/>
    <x v="57"/>
    <x v="2"/>
    <n v="7600"/>
    <m/>
    <x v="2"/>
  </r>
  <r>
    <x v="30"/>
    <x v="11"/>
    <x v="0"/>
    <x v="2"/>
    <x v="6"/>
    <x v="1"/>
    <n v="150"/>
    <m/>
    <x v="2"/>
  </r>
  <r>
    <x v="30"/>
    <x v="11"/>
    <x v="0"/>
    <x v="2"/>
    <x v="32"/>
    <x v="0"/>
    <n v="552.86"/>
    <m/>
    <x v="2"/>
  </r>
  <r>
    <x v="30"/>
    <x v="11"/>
    <x v="0"/>
    <x v="3"/>
    <x v="38"/>
    <x v="0"/>
    <n v="860.91"/>
    <m/>
    <x v="2"/>
  </r>
  <r>
    <x v="30"/>
    <x v="11"/>
    <x v="0"/>
    <x v="3"/>
    <x v="41"/>
    <x v="0"/>
    <n v="410"/>
    <m/>
    <x v="2"/>
  </r>
  <r>
    <x v="30"/>
    <x v="11"/>
    <x v="0"/>
    <x v="3"/>
    <x v="9"/>
    <x v="0"/>
    <n v="2300"/>
    <m/>
    <x v="2"/>
  </r>
  <r>
    <x v="30"/>
    <x v="11"/>
    <x v="0"/>
    <x v="3"/>
    <x v="10"/>
    <x v="0"/>
    <n v="1405"/>
    <m/>
    <x v="2"/>
  </r>
  <r>
    <x v="30"/>
    <x v="11"/>
    <x v="0"/>
    <x v="3"/>
    <x v="58"/>
    <x v="0"/>
    <n v="2300"/>
    <m/>
    <x v="2"/>
  </r>
  <r>
    <x v="30"/>
    <x v="11"/>
    <x v="0"/>
    <x v="3"/>
    <x v="132"/>
    <x v="0"/>
    <n v="1100"/>
    <m/>
    <x v="2"/>
  </r>
  <r>
    <x v="30"/>
    <x v="11"/>
    <x v="0"/>
    <x v="3"/>
    <x v="133"/>
    <x v="0"/>
    <n v="650"/>
    <m/>
    <x v="2"/>
  </r>
  <r>
    <x v="30"/>
    <x v="11"/>
    <x v="0"/>
    <x v="3"/>
    <x v="134"/>
    <x v="0"/>
    <n v="1100"/>
    <m/>
    <x v="2"/>
  </r>
  <r>
    <x v="30"/>
    <x v="11"/>
    <x v="0"/>
    <x v="3"/>
    <x v="135"/>
    <x v="0"/>
    <n v="650"/>
    <m/>
    <x v="2"/>
  </r>
  <r>
    <x v="30"/>
    <x v="11"/>
    <x v="0"/>
    <x v="3"/>
    <x v="12"/>
    <x v="0"/>
    <n v="466.34"/>
    <m/>
    <x v="2"/>
  </r>
  <r>
    <x v="30"/>
    <x v="11"/>
    <x v="0"/>
    <x v="3"/>
    <x v="13"/>
    <x v="0"/>
    <n v="450"/>
    <m/>
    <x v="2"/>
  </r>
  <r>
    <x v="30"/>
    <x v="11"/>
    <x v="0"/>
    <x v="3"/>
    <x v="14"/>
    <x v="0"/>
    <n v="350"/>
    <m/>
    <x v="2"/>
  </r>
  <r>
    <x v="30"/>
    <x v="11"/>
    <x v="0"/>
    <x v="3"/>
    <x v="15"/>
    <x v="0"/>
    <n v="450"/>
    <m/>
    <x v="2"/>
  </r>
  <r>
    <x v="30"/>
    <x v="11"/>
    <x v="1"/>
    <x v="0"/>
    <x v="34"/>
    <x v="3"/>
    <n v="1100"/>
    <m/>
    <x v="2"/>
  </r>
  <r>
    <x v="30"/>
    <x v="11"/>
    <x v="1"/>
    <x v="0"/>
    <x v="16"/>
    <x v="3"/>
    <n v="1100"/>
    <m/>
    <x v="2"/>
  </r>
  <r>
    <x v="30"/>
    <x v="11"/>
    <x v="1"/>
    <x v="0"/>
    <x v="17"/>
    <x v="3"/>
    <n v="700"/>
    <m/>
    <x v="2"/>
  </r>
  <r>
    <x v="30"/>
    <x v="11"/>
    <x v="1"/>
    <x v="0"/>
    <x v="18"/>
    <x v="3"/>
    <n v="400"/>
    <m/>
    <x v="2"/>
  </r>
  <r>
    <x v="30"/>
    <x v="11"/>
    <x v="1"/>
    <x v="0"/>
    <x v="19"/>
    <x v="3"/>
    <n v="220"/>
    <m/>
    <x v="2"/>
  </r>
  <r>
    <x v="30"/>
    <x v="11"/>
    <x v="1"/>
    <x v="4"/>
    <x v="75"/>
    <x v="3"/>
    <n v="735"/>
    <m/>
    <x v="2"/>
  </r>
  <r>
    <x v="30"/>
    <x v="11"/>
    <x v="1"/>
    <x v="4"/>
    <x v="76"/>
    <x v="3"/>
    <n v="3000"/>
    <m/>
    <x v="2"/>
  </r>
  <r>
    <x v="30"/>
    <x v="11"/>
    <x v="1"/>
    <x v="4"/>
    <x v="136"/>
    <x v="3"/>
    <n v="1000"/>
    <m/>
    <x v="2"/>
  </r>
  <r>
    <x v="30"/>
    <x v="11"/>
    <x v="1"/>
    <x v="4"/>
    <x v="61"/>
    <x v="3"/>
    <n v="209"/>
    <m/>
    <x v="2"/>
  </r>
  <r>
    <x v="30"/>
    <x v="11"/>
    <x v="1"/>
    <x v="1"/>
    <x v="2"/>
    <x v="4"/>
    <n v="330"/>
    <m/>
    <x v="2"/>
  </r>
  <r>
    <x v="30"/>
    <x v="11"/>
    <x v="1"/>
    <x v="1"/>
    <x v="3"/>
    <x v="4"/>
    <n v="11000"/>
    <m/>
    <x v="2"/>
  </r>
  <r>
    <x v="30"/>
    <x v="11"/>
    <x v="1"/>
    <x v="1"/>
    <x v="85"/>
    <x v="4"/>
    <n v="6000"/>
    <m/>
    <x v="2"/>
  </r>
  <r>
    <x v="30"/>
    <x v="11"/>
    <x v="1"/>
    <x v="1"/>
    <x v="4"/>
    <x v="4"/>
    <n v="220"/>
    <m/>
    <x v="2"/>
  </r>
  <r>
    <x v="30"/>
    <x v="11"/>
    <x v="1"/>
    <x v="1"/>
    <x v="56"/>
    <x v="4"/>
    <n v="2500"/>
    <m/>
    <x v="2"/>
  </r>
  <r>
    <x v="30"/>
    <x v="11"/>
    <x v="1"/>
    <x v="1"/>
    <x v="57"/>
    <x v="9"/>
    <n v="7600"/>
    <m/>
    <x v="2"/>
  </r>
  <r>
    <x v="30"/>
    <x v="11"/>
    <x v="1"/>
    <x v="1"/>
    <x v="109"/>
    <x v="3"/>
    <n v="36000"/>
    <m/>
    <x v="2"/>
  </r>
  <r>
    <x v="30"/>
    <x v="11"/>
    <x v="1"/>
    <x v="2"/>
    <x v="36"/>
    <x v="3"/>
    <n v="503.34"/>
    <m/>
    <x v="2"/>
  </r>
  <r>
    <x v="30"/>
    <x v="11"/>
    <x v="2"/>
    <x v="0"/>
    <x v="24"/>
    <x v="11"/>
    <n v="4900"/>
    <m/>
    <x v="2"/>
  </r>
  <r>
    <x v="30"/>
    <x v="11"/>
    <x v="2"/>
    <x v="0"/>
    <x v="25"/>
    <x v="11"/>
    <n v="2131"/>
    <m/>
    <x v="2"/>
  </r>
  <r>
    <x v="30"/>
    <x v="11"/>
    <x v="2"/>
    <x v="1"/>
    <x v="26"/>
    <x v="6"/>
    <n v="1000"/>
    <m/>
    <x v="2"/>
  </r>
  <r>
    <x v="30"/>
    <x v="11"/>
    <x v="2"/>
    <x v="1"/>
    <x v="2"/>
    <x v="11"/>
    <n v="200"/>
    <m/>
    <x v="2"/>
  </r>
  <r>
    <x v="30"/>
    <x v="11"/>
    <x v="2"/>
    <x v="1"/>
    <x v="3"/>
    <x v="11"/>
    <n v="5000"/>
    <m/>
    <x v="2"/>
  </r>
  <r>
    <x v="30"/>
    <x v="11"/>
    <x v="2"/>
    <x v="1"/>
    <x v="4"/>
    <x v="11"/>
    <n v="100"/>
    <m/>
    <x v="2"/>
  </r>
  <r>
    <x v="30"/>
    <x v="11"/>
    <x v="2"/>
    <x v="2"/>
    <x v="89"/>
    <x v="11"/>
    <n v="5000"/>
    <m/>
    <x v="2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  <r>
    <x v="31"/>
    <x v="12"/>
    <x v="4"/>
    <x v="6"/>
    <x v="137"/>
    <x v="12"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3">
  <r>
    <x v="0"/>
    <x v="0"/>
    <x v="0"/>
    <x v="0"/>
    <x v="0"/>
    <x v="0"/>
    <x v="0"/>
    <x v="0"/>
    <x v="0"/>
    <s v="-"/>
    <x v="0"/>
    <x v="0"/>
    <x v="0"/>
    <n v="383184.43"/>
  </r>
  <r>
    <x v="0"/>
    <x v="0"/>
    <x v="1"/>
    <x v="1"/>
    <x v="1"/>
    <x v="1"/>
    <x v="1"/>
    <x v="0"/>
    <x v="1"/>
    <s v="-"/>
    <x v="1"/>
    <x v="0"/>
    <x v="1"/>
    <n v="-700"/>
  </r>
  <r>
    <x v="0"/>
    <x v="0"/>
    <x v="2"/>
    <x v="2"/>
    <x v="2"/>
    <x v="2"/>
    <x v="2"/>
    <x v="0"/>
    <x v="2"/>
    <s v="-"/>
    <x v="2"/>
    <x v="0"/>
    <x v="1"/>
    <n v="-150"/>
  </r>
  <r>
    <x v="0"/>
    <x v="0"/>
    <x v="3"/>
    <x v="3"/>
    <x v="0"/>
    <x v="3"/>
    <x v="3"/>
    <x v="0"/>
    <x v="3"/>
    <s v="-"/>
    <x v="2"/>
    <x v="0"/>
    <x v="2"/>
    <n v="-62680.130000000005"/>
  </r>
  <r>
    <x v="0"/>
    <x v="0"/>
    <x v="4"/>
    <x v="4"/>
    <x v="0"/>
    <x v="4"/>
    <x v="4"/>
    <x v="0"/>
    <x v="0"/>
    <s v="-"/>
    <x v="2"/>
    <x v="0"/>
    <x v="3"/>
    <n v="-100000"/>
  </r>
  <r>
    <x v="0"/>
    <x v="0"/>
    <x v="5"/>
    <x v="5"/>
    <x v="0"/>
    <x v="4"/>
    <x v="5"/>
    <x v="0"/>
    <x v="4"/>
    <s v="-"/>
    <x v="3"/>
    <x v="0"/>
    <x v="1"/>
    <n v="-1878"/>
  </r>
  <r>
    <x v="0"/>
    <x v="0"/>
    <x v="6"/>
    <x v="6"/>
    <x v="0"/>
    <x v="5"/>
    <x v="6"/>
    <x v="0"/>
    <x v="4"/>
    <s v="-"/>
    <x v="0"/>
    <x v="1"/>
    <x v="4"/>
    <n v="900"/>
  </r>
  <r>
    <x v="0"/>
    <x v="0"/>
    <x v="6"/>
    <x v="6"/>
    <x v="0"/>
    <x v="5"/>
    <x v="7"/>
    <x v="0"/>
    <x v="0"/>
    <s v="-"/>
    <x v="0"/>
    <x v="1"/>
    <x v="4"/>
    <n v="3700"/>
  </r>
  <r>
    <x v="0"/>
    <x v="0"/>
    <x v="0"/>
    <x v="7"/>
    <x v="0"/>
    <x v="5"/>
    <x v="0"/>
    <x v="0"/>
    <x v="0"/>
    <s v="-"/>
    <x v="0"/>
    <x v="1"/>
    <x v="0"/>
    <n v="51.15"/>
  </r>
  <r>
    <x v="0"/>
    <x v="0"/>
    <x v="0"/>
    <x v="7"/>
    <x v="0"/>
    <x v="5"/>
    <x v="0"/>
    <x v="0"/>
    <x v="0"/>
    <s v="-"/>
    <x v="0"/>
    <x v="2"/>
    <x v="0"/>
    <n v="100"/>
  </r>
  <r>
    <x v="0"/>
    <x v="0"/>
    <x v="6"/>
    <x v="6"/>
    <x v="0"/>
    <x v="5"/>
    <x v="8"/>
    <x v="0"/>
    <x v="0"/>
    <s v="-"/>
    <x v="0"/>
    <x v="2"/>
    <x v="4"/>
    <n v="12732.35"/>
  </r>
  <r>
    <x v="0"/>
    <x v="0"/>
    <x v="7"/>
    <x v="8"/>
    <x v="2"/>
    <x v="5"/>
    <x v="9"/>
    <x v="0"/>
    <x v="0"/>
    <s v="-"/>
    <x v="4"/>
    <x v="2"/>
    <x v="1"/>
    <n v="-0.03"/>
  </r>
  <r>
    <x v="0"/>
    <x v="0"/>
    <x v="7"/>
    <x v="8"/>
    <x v="2"/>
    <x v="5"/>
    <x v="10"/>
    <x v="0"/>
    <x v="0"/>
    <s v="-"/>
    <x v="4"/>
    <x v="2"/>
    <x v="1"/>
    <n v="-0.21"/>
  </r>
  <r>
    <x v="0"/>
    <x v="0"/>
    <x v="7"/>
    <x v="8"/>
    <x v="2"/>
    <x v="5"/>
    <x v="11"/>
    <x v="0"/>
    <x v="0"/>
    <s v="-"/>
    <x v="4"/>
    <x v="2"/>
    <x v="1"/>
    <n v="-1.68"/>
  </r>
  <r>
    <x v="0"/>
    <x v="0"/>
    <x v="7"/>
    <x v="9"/>
    <x v="1"/>
    <x v="5"/>
    <x v="12"/>
    <x v="0"/>
    <x v="3"/>
    <s v="-"/>
    <x v="4"/>
    <x v="2"/>
    <x v="1"/>
    <n v="-100"/>
  </r>
  <r>
    <x v="0"/>
    <x v="0"/>
    <x v="8"/>
    <x v="10"/>
    <x v="0"/>
    <x v="4"/>
    <x v="5"/>
    <x v="0"/>
    <x v="0"/>
    <s v="-"/>
    <x v="3"/>
    <x v="2"/>
    <x v="5"/>
    <n v="1878"/>
  </r>
  <r>
    <x v="1"/>
    <x v="0"/>
    <x v="9"/>
    <x v="11"/>
    <x v="1"/>
    <x v="6"/>
    <x v="13"/>
    <x v="0"/>
    <x v="5"/>
    <s v="-"/>
    <x v="1"/>
    <x v="0"/>
    <x v="1"/>
    <n v="-4574"/>
  </r>
  <r>
    <x v="1"/>
    <x v="0"/>
    <x v="10"/>
    <x v="12"/>
    <x v="2"/>
    <x v="7"/>
    <x v="14"/>
    <x v="0"/>
    <x v="6"/>
    <s v="-"/>
    <x v="1"/>
    <x v="0"/>
    <x v="1"/>
    <n v="-70"/>
  </r>
  <r>
    <x v="1"/>
    <x v="0"/>
    <x v="2"/>
    <x v="2"/>
    <x v="2"/>
    <x v="8"/>
    <x v="15"/>
    <x v="0"/>
    <x v="7"/>
    <s v="-"/>
    <x v="1"/>
    <x v="0"/>
    <x v="1"/>
    <n v="-258.29000000000002"/>
  </r>
  <r>
    <x v="1"/>
    <x v="0"/>
    <x v="1"/>
    <x v="13"/>
    <x v="1"/>
    <x v="9"/>
    <x v="16"/>
    <x v="0"/>
    <x v="8"/>
    <s v="-"/>
    <x v="2"/>
    <x v="0"/>
    <x v="1"/>
    <n v="-4490.42"/>
  </r>
  <r>
    <x v="1"/>
    <x v="0"/>
    <x v="3"/>
    <x v="3"/>
    <x v="0"/>
    <x v="3"/>
    <x v="3"/>
    <x v="0"/>
    <x v="3"/>
    <s v="-"/>
    <x v="2"/>
    <x v="0"/>
    <x v="2"/>
    <n v="-18359.129999999997"/>
  </r>
  <r>
    <x v="1"/>
    <x v="0"/>
    <x v="6"/>
    <x v="6"/>
    <x v="0"/>
    <x v="5"/>
    <x v="7"/>
    <x v="0"/>
    <x v="0"/>
    <s v="-"/>
    <x v="0"/>
    <x v="1"/>
    <x v="4"/>
    <n v="13000"/>
  </r>
  <r>
    <x v="1"/>
    <x v="0"/>
    <x v="7"/>
    <x v="9"/>
    <x v="1"/>
    <x v="5"/>
    <x v="17"/>
    <x v="0"/>
    <x v="3"/>
    <s v="-"/>
    <x v="4"/>
    <x v="1"/>
    <x v="1"/>
    <n v="-58.9"/>
  </r>
  <r>
    <x v="1"/>
    <x v="0"/>
    <x v="11"/>
    <x v="14"/>
    <x v="3"/>
    <x v="10"/>
    <x v="18"/>
    <x v="1"/>
    <x v="9"/>
    <s v="2/2"/>
    <x v="2"/>
    <x v="1"/>
    <x v="1"/>
    <n v="-3700"/>
  </r>
  <r>
    <x v="1"/>
    <x v="0"/>
    <x v="11"/>
    <x v="14"/>
    <x v="3"/>
    <x v="11"/>
    <x v="19"/>
    <x v="1"/>
    <x v="10"/>
    <s v="1/3"/>
    <x v="1"/>
    <x v="2"/>
    <x v="1"/>
    <n v="-961.93"/>
  </r>
  <r>
    <x v="1"/>
    <x v="0"/>
    <x v="11"/>
    <x v="14"/>
    <x v="3"/>
    <x v="12"/>
    <x v="20"/>
    <x v="1"/>
    <x v="11"/>
    <s v="1/5"/>
    <x v="1"/>
    <x v="2"/>
    <x v="1"/>
    <n v="-1921.9"/>
  </r>
  <r>
    <x v="1"/>
    <x v="0"/>
    <x v="11"/>
    <x v="14"/>
    <x v="3"/>
    <x v="13"/>
    <x v="21"/>
    <x v="2"/>
    <x v="12"/>
    <s v="-"/>
    <x v="1"/>
    <x v="2"/>
    <x v="1"/>
    <n v="-8797.94"/>
  </r>
  <r>
    <x v="1"/>
    <x v="0"/>
    <x v="11"/>
    <x v="14"/>
    <x v="3"/>
    <x v="14"/>
    <x v="22"/>
    <x v="1"/>
    <x v="13"/>
    <s v="-"/>
    <x v="1"/>
    <x v="2"/>
    <x v="1"/>
    <n v="-603.22"/>
  </r>
  <r>
    <x v="2"/>
    <x v="0"/>
    <x v="6"/>
    <x v="6"/>
    <x v="0"/>
    <x v="5"/>
    <x v="7"/>
    <x v="0"/>
    <x v="0"/>
    <s v="-"/>
    <x v="0"/>
    <x v="1"/>
    <x v="4"/>
    <n v="3765.33"/>
  </r>
  <r>
    <x v="2"/>
    <x v="0"/>
    <x v="11"/>
    <x v="14"/>
    <x v="3"/>
    <x v="15"/>
    <x v="23"/>
    <x v="1"/>
    <x v="14"/>
    <s v="2/2"/>
    <x v="1"/>
    <x v="1"/>
    <x v="1"/>
    <n v="-13000"/>
  </r>
  <r>
    <x v="3"/>
    <x v="0"/>
    <x v="3"/>
    <x v="3"/>
    <x v="0"/>
    <x v="3"/>
    <x v="3"/>
    <x v="0"/>
    <x v="3"/>
    <s v="-"/>
    <x v="2"/>
    <x v="0"/>
    <x v="2"/>
    <n v="-2102.1799999999998"/>
  </r>
  <r>
    <x v="3"/>
    <x v="0"/>
    <x v="2"/>
    <x v="15"/>
    <x v="2"/>
    <x v="16"/>
    <x v="24"/>
    <x v="0"/>
    <x v="15"/>
    <s v="-"/>
    <x v="2"/>
    <x v="0"/>
    <x v="1"/>
    <n v="-740"/>
  </r>
  <r>
    <x v="3"/>
    <x v="0"/>
    <x v="10"/>
    <x v="16"/>
    <x v="2"/>
    <x v="16"/>
    <x v="25"/>
    <x v="0"/>
    <x v="16"/>
    <s v="-"/>
    <x v="2"/>
    <x v="0"/>
    <x v="1"/>
    <n v="-450"/>
  </r>
  <r>
    <x v="3"/>
    <x v="0"/>
    <x v="6"/>
    <x v="6"/>
    <x v="0"/>
    <x v="5"/>
    <x v="7"/>
    <x v="0"/>
    <x v="0"/>
    <s v="-"/>
    <x v="0"/>
    <x v="1"/>
    <x v="4"/>
    <n v="1797"/>
  </r>
  <r>
    <x v="3"/>
    <x v="0"/>
    <x v="11"/>
    <x v="14"/>
    <x v="3"/>
    <x v="11"/>
    <x v="19"/>
    <x v="1"/>
    <x v="17"/>
    <s v="2/3"/>
    <x v="1"/>
    <x v="1"/>
    <x v="1"/>
    <n v="-3765.33"/>
  </r>
  <r>
    <x v="3"/>
    <x v="0"/>
    <x v="11"/>
    <x v="14"/>
    <x v="3"/>
    <x v="17"/>
    <x v="26"/>
    <x v="1"/>
    <x v="18"/>
    <s v="2/3"/>
    <x v="1"/>
    <x v="1"/>
    <x v="1"/>
    <n v="-1797"/>
  </r>
  <r>
    <x v="3"/>
    <x v="0"/>
    <x v="7"/>
    <x v="9"/>
    <x v="1"/>
    <x v="5"/>
    <x v="27"/>
    <x v="0"/>
    <x v="3"/>
    <s v="-"/>
    <x v="4"/>
    <x v="1"/>
    <x v="1"/>
    <n v="-10"/>
  </r>
  <r>
    <x v="3"/>
    <x v="0"/>
    <x v="6"/>
    <x v="6"/>
    <x v="0"/>
    <x v="5"/>
    <x v="8"/>
    <x v="0"/>
    <x v="0"/>
    <s v="-"/>
    <x v="0"/>
    <x v="2"/>
    <x v="4"/>
    <n v="8760.1"/>
  </r>
  <r>
    <x v="3"/>
    <x v="0"/>
    <x v="11"/>
    <x v="14"/>
    <x v="3"/>
    <x v="18"/>
    <x v="22"/>
    <x v="1"/>
    <x v="19"/>
    <s v="-"/>
    <x v="2"/>
    <x v="2"/>
    <x v="1"/>
    <n v="-1166.77"/>
  </r>
  <r>
    <x v="4"/>
    <x v="0"/>
    <x v="2"/>
    <x v="2"/>
    <x v="2"/>
    <x v="19"/>
    <x v="28"/>
    <x v="0"/>
    <x v="20"/>
    <s v="2/2"/>
    <x v="1"/>
    <x v="0"/>
    <x v="1"/>
    <n v="-1695"/>
  </r>
  <r>
    <x v="4"/>
    <x v="0"/>
    <x v="11"/>
    <x v="14"/>
    <x v="3"/>
    <x v="20"/>
    <x v="29"/>
    <x v="3"/>
    <x v="21"/>
    <s v="-"/>
    <x v="5"/>
    <x v="0"/>
    <x v="1"/>
    <n v="-5952.38"/>
  </r>
  <r>
    <x v="4"/>
    <x v="0"/>
    <x v="11"/>
    <x v="14"/>
    <x v="3"/>
    <x v="20"/>
    <x v="29"/>
    <x v="1"/>
    <x v="22"/>
    <s v="-"/>
    <x v="5"/>
    <x v="0"/>
    <x v="1"/>
    <n v="-93.199999999999989"/>
  </r>
  <r>
    <x v="4"/>
    <x v="0"/>
    <x v="11"/>
    <x v="14"/>
    <x v="3"/>
    <x v="20"/>
    <x v="29"/>
    <x v="4"/>
    <x v="23"/>
    <s v="-"/>
    <x v="5"/>
    <x v="0"/>
    <x v="1"/>
    <n v="-1555.32"/>
  </r>
  <r>
    <x v="4"/>
    <x v="0"/>
    <x v="6"/>
    <x v="6"/>
    <x v="0"/>
    <x v="5"/>
    <x v="7"/>
    <x v="0"/>
    <x v="0"/>
    <s v="-"/>
    <x v="0"/>
    <x v="1"/>
    <x v="4"/>
    <n v="9800"/>
  </r>
  <r>
    <x v="4"/>
    <x v="0"/>
    <x v="6"/>
    <x v="6"/>
    <x v="0"/>
    <x v="5"/>
    <x v="8"/>
    <x v="0"/>
    <x v="0"/>
    <s v="-"/>
    <x v="0"/>
    <x v="2"/>
    <x v="4"/>
    <n v="129"/>
  </r>
  <r>
    <x v="4"/>
    <x v="0"/>
    <x v="11"/>
    <x v="14"/>
    <x v="3"/>
    <x v="11"/>
    <x v="19"/>
    <x v="1"/>
    <x v="24"/>
    <s v="1/3"/>
    <x v="1"/>
    <x v="2"/>
    <x v="1"/>
    <n v="-391.66"/>
  </r>
  <r>
    <x v="4"/>
    <x v="0"/>
    <x v="8"/>
    <x v="10"/>
    <x v="0"/>
    <x v="4"/>
    <x v="30"/>
    <x v="0"/>
    <x v="0"/>
    <s v="-"/>
    <x v="3"/>
    <x v="2"/>
    <x v="5"/>
    <n v="100488.96000000001"/>
  </r>
  <r>
    <x v="4"/>
    <x v="0"/>
    <x v="4"/>
    <x v="4"/>
    <x v="0"/>
    <x v="4"/>
    <x v="31"/>
    <x v="0"/>
    <x v="0"/>
    <s v="-"/>
    <x v="3"/>
    <x v="2"/>
    <x v="3"/>
    <n v="-100488.96000000001"/>
  </r>
  <r>
    <x v="5"/>
    <x v="0"/>
    <x v="9"/>
    <x v="17"/>
    <x v="1"/>
    <x v="21"/>
    <x v="32"/>
    <x v="0"/>
    <x v="25"/>
    <s v="-"/>
    <x v="2"/>
    <x v="0"/>
    <x v="1"/>
    <n v="-1974"/>
  </r>
  <r>
    <x v="6"/>
    <x v="0"/>
    <x v="11"/>
    <x v="14"/>
    <x v="3"/>
    <x v="19"/>
    <x v="19"/>
    <x v="1"/>
    <x v="26"/>
    <s v="-"/>
    <x v="2"/>
    <x v="2"/>
    <x v="1"/>
    <n v="-55.7"/>
  </r>
  <r>
    <x v="7"/>
    <x v="0"/>
    <x v="11"/>
    <x v="14"/>
    <x v="3"/>
    <x v="22"/>
    <x v="33"/>
    <x v="1"/>
    <x v="27"/>
    <s v="3/5"/>
    <x v="2"/>
    <x v="1"/>
    <x v="1"/>
    <n v="-9800"/>
  </r>
  <r>
    <x v="7"/>
    <x v="0"/>
    <x v="6"/>
    <x v="6"/>
    <x v="0"/>
    <x v="5"/>
    <x v="8"/>
    <x v="0"/>
    <x v="0"/>
    <s v="-"/>
    <x v="0"/>
    <x v="2"/>
    <x v="4"/>
    <n v="2109"/>
  </r>
  <r>
    <x v="7"/>
    <x v="0"/>
    <x v="11"/>
    <x v="14"/>
    <x v="3"/>
    <x v="23"/>
    <x v="34"/>
    <x v="1"/>
    <x v="28"/>
    <s v="-"/>
    <x v="1"/>
    <x v="2"/>
    <x v="1"/>
    <n v="-129"/>
  </r>
  <r>
    <x v="7"/>
    <x v="0"/>
    <x v="7"/>
    <x v="9"/>
    <x v="1"/>
    <x v="5"/>
    <x v="17"/>
    <x v="0"/>
    <x v="3"/>
    <s v="-"/>
    <x v="4"/>
    <x v="2"/>
    <x v="1"/>
    <n v="-56.5"/>
  </r>
  <r>
    <x v="8"/>
    <x v="0"/>
    <x v="2"/>
    <x v="15"/>
    <x v="2"/>
    <x v="24"/>
    <x v="35"/>
    <x v="0"/>
    <x v="29"/>
    <s v="-"/>
    <x v="1"/>
    <x v="0"/>
    <x v="1"/>
    <n v="-875"/>
  </r>
  <r>
    <x v="8"/>
    <x v="0"/>
    <x v="2"/>
    <x v="18"/>
    <x v="2"/>
    <x v="25"/>
    <x v="36"/>
    <x v="0"/>
    <x v="30"/>
    <s v="-"/>
    <x v="1"/>
    <x v="0"/>
    <x v="1"/>
    <n v="-801.56"/>
  </r>
  <r>
    <x v="8"/>
    <x v="0"/>
    <x v="8"/>
    <x v="10"/>
    <x v="0"/>
    <x v="4"/>
    <x v="37"/>
    <x v="0"/>
    <x v="0"/>
    <s v="-"/>
    <x v="2"/>
    <x v="0"/>
    <x v="5"/>
    <n v="7600.9"/>
  </r>
  <r>
    <x v="8"/>
    <x v="0"/>
    <x v="6"/>
    <x v="6"/>
    <x v="0"/>
    <x v="5"/>
    <x v="8"/>
    <x v="0"/>
    <x v="0"/>
    <s v="-"/>
    <x v="0"/>
    <x v="2"/>
    <x v="4"/>
    <n v="442"/>
  </r>
  <r>
    <x v="8"/>
    <x v="0"/>
    <x v="6"/>
    <x v="6"/>
    <x v="0"/>
    <x v="5"/>
    <x v="8"/>
    <x v="0"/>
    <x v="0"/>
    <s v="-"/>
    <x v="0"/>
    <x v="2"/>
    <x v="4"/>
    <n v="7045.07"/>
  </r>
  <r>
    <x v="8"/>
    <x v="0"/>
    <x v="11"/>
    <x v="14"/>
    <x v="3"/>
    <x v="17"/>
    <x v="26"/>
    <x v="1"/>
    <x v="31"/>
    <s v="-"/>
    <x v="1"/>
    <x v="2"/>
    <x v="1"/>
    <n v="-382.4"/>
  </r>
  <r>
    <x v="8"/>
    <x v="0"/>
    <x v="11"/>
    <x v="14"/>
    <x v="3"/>
    <x v="26"/>
    <x v="38"/>
    <x v="1"/>
    <x v="32"/>
    <s v="-"/>
    <x v="2"/>
    <x v="2"/>
    <x v="1"/>
    <n v="-442"/>
  </r>
  <r>
    <x v="8"/>
    <x v="0"/>
    <x v="11"/>
    <x v="14"/>
    <x v="3"/>
    <x v="27"/>
    <x v="39"/>
    <x v="1"/>
    <x v="33"/>
    <s v="1/5"/>
    <x v="2"/>
    <x v="2"/>
    <x v="1"/>
    <n v="-3760"/>
  </r>
  <r>
    <x v="8"/>
    <x v="0"/>
    <x v="11"/>
    <x v="14"/>
    <x v="3"/>
    <x v="27"/>
    <x v="40"/>
    <x v="1"/>
    <x v="34"/>
    <s v="1/5"/>
    <x v="2"/>
    <x v="2"/>
    <x v="1"/>
    <n v="-1540"/>
  </r>
  <r>
    <x v="8"/>
    <x v="0"/>
    <x v="5"/>
    <x v="5"/>
    <x v="0"/>
    <x v="4"/>
    <x v="37"/>
    <x v="0"/>
    <x v="0"/>
    <s v="-"/>
    <x v="2"/>
    <x v="2"/>
    <x v="1"/>
    <n v="-7600.92"/>
  </r>
  <r>
    <x v="9"/>
    <x v="0"/>
    <x v="6"/>
    <x v="6"/>
    <x v="0"/>
    <x v="5"/>
    <x v="8"/>
    <x v="0"/>
    <x v="0"/>
    <s v="-"/>
    <x v="0"/>
    <x v="2"/>
    <x v="4"/>
    <n v="442"/>
  </r>
  <r>
    <x v="9"/>
    <x v="0"/>
    <x v="11"/>
    <x v="14"/>
    <x v="3"/>
    <x v="28"/>
    <x v="41"/>
    <x v="1"/>
    <x v="35"/>
    <s v="1/4"/>
    <x v="1"/>
    <x v="2"/>
    <x v="1"/>
    <n v="-1737.5"/>
  </r>
  <r>
    <x v="9"/>
    <x v="0"/>
    <x v="11"/>
    <x v="14"/>
    <x v="3"/>
    <x v="14"/>
    <x v="22"/>
    <x v="1"/>
    <x v="36"/>
    <s v="-"/>
    <x v="1"/>
    <x v="2"/>
    <x v="1"/>
    <n v="-1642.2"/>
  </r>
  <r>
    <x v="9"/>
    <x v="0"/>
    <x v="11"/>
    <x v="14"/>
    <x v="3"/>
    <x v="26"/>
    <x v="38"/>
    <x v="1"/>
    <x v="37"/>
    <s v="-"/>
    <x v="2"/>
    <x v="2"/>
    <x v="1"/>
    <n v="-442"/>
  </r>
  <r>
    <x v="10"/>
    <x v="0"/>
    <x v="2"/>
    <x v="2"/>
    <x v="2"/>
    <x v="29"/>
    <x v="42"/>
    <x v="0"/>
    <x v="38"/>
    <s v="-"/>
    <x v="1"/>
    <x v="0"/>
    <x v="1"/>
    <n v="-248.06"/>
  </r>
  <r>
    <x v="10"/>
    <x v="0"/>
    <x v="9"/>
    <x v="19"/>
    <x v="2"/>
    <x v="30"/>
    <x v="43"/>
    <x v="0"/>
    <x v="0"/>
    <s v="1/12"/>
    <x v="6"/>
    <x v="0"/>
    <x v="1"/>
    <n v="-24.16"/>
  </r>
  <r>
    <x v="10"/>
    <x v="0"/>
    <x v="9"/>
    <x v="19"/>
    <x v="2"/>
    <x v="31"/>
    <x v="44"/>
    <x v="0"/>
    <x v="39"/>
    <s v="10/12"/>
    <x v="6"/>
    <x v="0"/>
    <x v="1"/>
    <n v="-398.91"/>
  </r>
  <r>
    <x v="10"/>
    <x v="0"/>
    <x v="9"/>
    <x v="20"/>
    <x v="2"/>
    <x v="32"/>
    <x v="45"/>
    <x v="0"/>
    <x v="40"/>
    <s v="-"/>
    <x v="6"/>
    <x v="0"/>
    <x v="1"/>
    <n v="-99.25"/>
  </r>
  <r>
    <x v="10"/>
    <x v="0"/>
    <x v="2"/>
    <x v="21"/>
    <x v="2"/>
    <x v="33"/>
    <x v="46"/>
    <x v="0"/>
    <x v="41"/>
    <s v="-"/>
    <x v="6"/>
    <x v="0"/>
    <x v="1"/>
    <n v="-235.52"/>
  </r>
  <r>
    <x v="10"/>
    <x v="0"/>
    <x v="2"/>
    <x v="2"/>
    <x v="2"/>
    <x v="34"/>
    <x v="47"/>
    <x v="0"/>
    <x v="42"/>
    <s v="-"/>
    <x v="6"/>
    <x v="0"/>
    <x v="1"/>
    <n v="-258.7"/>
  </r>
  <r>
    <x v="10"/>
    <x v="0"/>
    <x v="1"/>
    <x v="1"/>
    <x v="2"/>
    <x v="35"/>
    <x v="48"/>
    <x v="0"/>
    <x v="43"/>
    <s v="-"/>
    <x v="6"/>
    <x v="0"/>
    <x v="1"/>
    <n v="-866"/>
  </r>
  <r>
    <x v="10"/>
    <x v="0"/>
    <x v="6"/>
    <x v="6"/>
    <x v="0"/>
    <x v="5"/>
    <x v="7"/>
    <x v="0"/>
    <x v="0"/>
    <s v="-"/>
    <x v="0"/>
    <x v="1"/>
    <x v="4"/>
    <n v="10616.31"/>
  </r>
  <r>
    <x v="11"/>
    <x v="0"/>
    <x v="8"/>
    <x v="10"/>
    <x v="0"/>
    <x v="4"/>
    <x v="30"/>
    <x v="0"/>
    <x v="0"/>
    <s v="-"/>
    <x v="3"/>
    <x v="0"/>
    <x v="5"/>
    <n v="200084.84"/>
  </r>
  <r>
    <x v="11"/>
    <x v="0"/>
    <x v="6"/>
    <x v="6"/>
    <x v="0"/>
    <x v="5"/>
    <x v="8"/>
    <x v="0"/>
    <x v="0"/>
    <s v="-"/>
    <x v="0"/>
    <x v="2"/>
    <x v="4"/>
    <n v="17320.939999999999"/>
  </r>
  <r>
    <x v="11"/>
    <x v="0"/>
    <x v="11"/>
    <x v="14"/>
    <x v="3"/>
    <x v="19"/>
    <x v="19"/>
    <x v="1"/>
    <x v="44"/>
    <s v="-"/>
    <x v="2"/>
    <x v="2"/>
    <x v="1"/>
    <n v="-84.4"/>
  </r>
  <r>
    <x v="12"/>
    <x v="0"/>
    <x v="11"/>
    <x v="14"/>
    <x v="3"/>
    <x v="11"/>
    <x v="19"/>
    <x v="1"/>
    <x v="45"/>
    <s v="2/3"/>
    <x v="1"/>
    <x v="1"/>
    <x v="1"/>
    <n v="-1348.67"/>
  </r>
  <r>
    <x v="12"/>
    <x v="0"/>
    <x v="11"/>
    <x v="14"/>
    <x v="3"/>
    <x v="13"/>
    <x v="21"/>
    <x v="2"/>
    <x v="46"/>
    <s v="2/3"/>
    <x v="1"/>
    <x v="1"/>
    <x v="1"/>
    <n v="-2583.19"/>
  </r>
  <r>
    <x v="12"/>
    <x v="0"/>
    <x v="11"/>
    <x v="14"/>
    <x v="3"/>
    <x v="13"/>
    <x v="21"/>
    <x v="2"/>
    <x v="47"/>
    <s v="2/3"/>
    <x v="1"/>
    <x v="1"/>
    <x v="1"/>
    <n v="-6027.45"/>
  </r>
  <r>
    <x v="13"/>
    <x v="0"/>
    <x v="11"/>
    <x v="22"/>
    <x v="2"/>
    <x v="19"/>
    <x v="49"/>
    <x v="0"/>
    <x v="48"/>
    <s v="-"/>
    <x v="2"/>
    <x v="0"/>
    <x v="1"/>
    <n v="-65.45"/>
  </r>
  <r>
    <x v="14"/>
    <x v="0"/>
    <x v="8"/>
    <x v="10"/>
    <x v="0"/>
    <x v="4"/>
    <x v="37"/>
    <x v="0"/>
    <x v="0"/>
    <s v="-"/>
    <x v="2"/>
    <x v="0"/>
    <x v="5"/>
    <n v="16516.939999999999"/>
  </r>
  <r>
    <x v="14"/>
    <x v="0"/>
    <x v="5"/>
    <x v="5"/>
    <x v="0"/>
    <x v="4"/>
    <x v="30"/>
    <x v="0"/>
    <x v="0"/>
    <s v="-"/>
    <x v="3"/>
    <x v="0"/>
    <x v="1"/>
    <n v="-200084.84"/>
  </r>
  <r>
    <x v="14"/>
    <x v="0"/>
    <x v="6"/>
    <x v="6"/>
    <x v="0"/>
    <x v="5"/>
    <x v="7"/>
    <x v="0"/>
    <x v="0"/>
    <s v="-"/>
    <x v="0"/>
    <x v="1"/>
    <x v="4"/>
    <n v="26325.57"/>
  </r>
  <r>
    <x v="14"/>
    <x v="0"/>
    <x v="11"/>
    <x v="14"/>
    <x v="3"/>
    <x v="36"/>
    <x v="50"/>
    <x v="2"/>
    <x v="49"/>
    <s v="-"/>
    <x v="1"/>
    <x v="2"/>
    <x v="1"/>
    <n v="-804"/>
  </r>
  <r>
    <x v="14"/>
    <x v="0"/>
    <x v="5"/>
    <x v="5"/>
    <x v="0"/>
    <x v="4"/>
    <x v="37"/>
    <x v="0"/>
    <x v="0"/>
    <s v="-"/>
    <x v="2"/>
    <x v="2"/>
    <x v="1"/>
    <n v="-16516.939999999999"/>
  </r>
  <r>
    <x v="14"/>
    <x v="0"/>
    <x v="8"/>
    <x v="10"/>
    <x v="0"/>
    <x v="4"/>
    <x v="30"/>
    <x v="0"/>
    <x v="0"/>
    <s v="-"/>
    <x v="3"/>
    <x v="2"/>
    <x v="5"/>
    <n v="200084.84"/>
  </r>
  <r>
    <x v="14"/>
    <x v="0"/>
    <x v="4"/>
    <x v="4"/>
    <x v="0"/>
    <x v="4"/>
    <x v="31"/>
    <x v="0"/>
    <x v="0"/>
    <s v="-"/>
    <x v="3"/>
    <x v="2"/>
    <x v="3"/>
    <n v="-200084.84"/>
  </r>
  <r>
    <x v="15"/>
    <x v="0"/>
    <x v="2"/>
    <x v="23"/>
    <x v="2"/>
    <x v="37"/>
    <x v="51"/>
    <x v="0"/>
    <x v="50"/>
    <s v="-"/>
    <x v="1"/>
    <x v="0"/>
    <x v="1"/>
    <n v="-761.69"/>
  </r>
  <r>
    <x v="15"/>
    <x v="0"/>
    <x v="11"/>
    <x v="14"/>
    <x v="3"/>
    <x v="38"/>
    <x v="52"/>
    <x v="3"/>
    <x v="21"/>
    <s v="-"/>
    <x v="5"/>
    <x v="0"/>
    <x v="1"/>
    <n v="-13095.24"/>
  </r>
  <r>
    <x v="15"/>
    <x v="0"/>
    <x v="11"/>
    <x v="14"/>
    <x v="3"/>
    <x v="38"/>
    <x v="52"/>
    <x v="4"/>
    <x v="23"/>
    <s v="-"/>
    <x v="5"/>
    <x v="0"/>
    <x v="1"/>
    <n v="-3421.7"/>
  </r>
  <r>
    <x v="15"/>
    <x v="0"/>
    <x v="1"/>
    <x v="24"/>
    <x v="1"/>
    <x v="38"/>
    <x v="53"/>
    <x v="0"/>
    <x v="8"/>
    <s v="-"/>
    <x v="5"/>
    <x v="0"/>
    <x v="1"/>
    <n v="-2428.98"/>
  </r>
  <r>
    <x v="15"/>
    <x v="0"/>
    <x v="1"/>
    <x v="24"/>
    <x v="1"/>
    <x v="39"/>
    <x v="54"/>
    <x v="0"/>
    <x v="51"/>
    <s v="-"/>
    <x v="5"/>
    <x v="0"/>
    <x v="1"/>
    <n v="-200"/>
  </r>
  <r>
    <x v="15"/>
    <x v="0"/>
    <x v="1"/>
    <x v="24"/>
    <x v="1"/>
    <x v="39"/>
    <x v="55"/>
    <x v="0"/>
    <x v="8"/>
    <s v="-"/>
    <x v="5"/>
    <x v="0"/>
    <x v="1"/>
    <n v="-400"/>
  </r>
  <r>
    <x v="15"/>
    <x v="0"/>
    <x v="3"/>
    <x v="3"/>
    <x v="0"/>
    <x v="3"/>
    <x v="3"/>
    <x v="0"/>
    <x v="3"/>
    <s v="-"/>
    <x v="2"/>
    <x v="0"/>
    <x v="2"/>
    <n v="-915.86"/>
  </r>
  <r>
    <x v="15"/>
    <x v="0"/>
    <x v="11"/>
    <x v="14"/>
    <x v="3"/>
    <x v="40"/>
    <x v="56"/>
    <x v="2"/>
    <x v="52"/>
    <s v="4/4"/>
    <x v="1"/>
    <x v="1"/>
    <x v="1"/>
    <n v="-26325.57"/>
  </r>
  <r>
    <x v="16"/>
    <x v="0"/>
    <x v="11"/>
    <x v="14"/>
    <x v="3"/>
    <x v="17"/>
    <x v="26"/>
    <x v="1"/>
    <x v="53"/>
    <s v="2/3"/>
    <x v="1"/>
    <x v="1"/>
    <x v="1"/>
    <n v="-657"/>
  </r>
  <r>
    <x v="16"/>
    <x v="0"/>
    <x v="7"/>
    <x v="9"/>
    <x v="1"/>
    <x v="5"/>
    <x v="12"/>
    <x v="0"/>
    <x v="3"/>
    <s v="-"/>
    <x v="4"/>
    <x v="1"/>
    <x v="1"/>
    <n v="-50"/>
  </r>
  <r>
    <x v="17"/>
    <x v="0"/>
    <x v="3"/>
    <x v="3"/>
    <x v="0"/>
    <x v="3"/>
    <x v="3"/>
    <x v="0"/>
    <x v="3"/>
    <s v="-"/>
    <x v="2"/>
    <x v="0"/>
    <x v="2"/>
    <n v="-100"/>
  </r>
  <r>
    <x v="17"/>
    <x v="0"/>
    <x v="6"/>
    <x v="6"/>
    <x v="0"/>
    <x v="5"/>
    <x v="8"/>
    <x v="0"/>
    <x v="0"/>
    <s v="-"/>
    <x v="0"/>
    <x v="2"/>
    <x v="4"/>
    <n v="780.13"/>
  </r>
  <r>
    <x v="17"/>
    <x v="0"/>
    <x v="6"/>
    <x v="6"/>
    <x v="0"/>
    <x v="5"/>
    <x v="8"/>
    <x v="0"/>
    <x v="0"/>
    <s v="-"/>
    <x v="0"/>
    <x v="2"/>
    <x v="4"/>
    <n v="2850"/>
  </r>
  <r>
    <x v="18"/>
    <x v="0"/>
    <x v="11"/>
    <x v="14"/>
    <x v="3"/>
    <x v="41"/>
    <x v="57"/>
    <x v="1"/>
    <x v="54"/>
    <s v="-"/>
    <x v="1"/>
    <x v="2"/>
    <x v="1"/>
    <n v="-380.13"/>
  </r>
  <r>
    <x v="18"/>
    <x v="0"/>
    <x v="11"/>
    <x v="14"/>
    <x v="3"/>
    <x v="17"/>
    <x v="26"/>
    <x v="1"/>
    <x v="55"/>
    <s v="2/6"/>
    <x v="1"/>
    <x v="2"/>
    <x v="1"/>
    <n v="-2850"/>
  </r>
  <r>
    <x v="19"/>
    <x v="0"/>
    <x v="3"/>
    <x v="25"/>
    <x v="1"/>
    <x v="42"/>
    <x v="58"/>
    <x v="0"/>
    <x v="3"/>
    <s v="-"/>
    <x v="2"/>
    <x v="0"/>
    <x v="1"/>
    <n v="-8489.33"/>
  </r>
  <r>
    <x v="20"/>
    <x v="0"/>
    <x v="1"/>
    <x v="1"/>
    <x v="2"/>
    <x v="43"/>
    <x v="59"/>
    <x v="0"/>
    <x v="56"/>
    <s v="-"/>
    <x v="1"/>
    <x v="0"/>
    <x v="1"/>
    <n v="-180"/>
  </r>
  <r>
    <x v="20"/>
    <x v="0"/>
    <x v="1"/>
    <x v="1"/>
    <x v="2"/>
    <x v="43"/>
    <x v="60"/>
    <x v="0"/>
    <x v="57"/>
    <s v="-"/>
    <x v="1"/>
    <x v="0"/>
    <x v="1"/>
    <n v="-310"/>
  </r>
  <r>
    <x v="21"/>
    <x v="0"/>
    <x v="6"/>
    <x v="6"/>
    <x v="0"/>
    <x v="5"/>
    <x v="7"/>
    <x v="0"/>
    <x v="0"/>
    <s v="-"/>
    <x v="0"/>
    <x v="1"/>
    <x v="4"/>
    <n v="12200"/>
  </r>
  <r>
    <x v="21"/>
    <x v="0"/>
    <x v="11"/>
    <x v="14"/>
    <x v="3"/>
    <x v="44"/>
    <x v="61"/>
    <x v="2"/>
    <x v="58"/>
    <s v="-"/>
    <x v="1"/>
    <x v="2"/>
    <x v="1"/>
    <n v="-400"/>
  </r>
  <r>
    <x v="22"/>
    <x v="0"/>
    <x v="9"/>
    <x v="26"/>
    <x v="4"/>
    <x v="45"/>
    <x v="62"/>
    <x v="0"/>
    <x v="4"/>
    <s v="-"/>
    <x v="2"/>
    <x v="0"/>
    <x v="1"/>
    <n v="-200"/>
  </r>
  <r>
    <x v="22"/>
    <x v="0"/>
    <x v="11"/>
    <x v="14"/>
    <x v="3"/>
    <x v="46"/>
    <x v="63"/>
    <x v="1"/>
    <x v="59"/>
    <s v="4/5"/>
    <x v="1"/>
    <x v="1"/>
    <x v="1"/>
    <n v="-12200"/>
  </r>
  <r>
    <x v="23"/>
    <x v="0"/>
    <x v="9"/>
    <x v="26"/>
    <x v="1"/>
    <x v="47"/>
    <x v="64"/>
    <x v="0"/>
    <x v="60"/>
    <s v="-"/>
    <x v="5"/>
    <x v="0"/>
    <x v="1"/>
    <n v="-18524.599999999999"/>
  </r>
  <r>
    <x v="23"/>
    <x v="0"/>
    <x v="9"/>
    <x v="26"/>
    <x v="1"/>
    <x v="38"/>
    <x v="65"/>
    <x v="0"/>
    <x v="60"/>
    <s v="-"/>
    <x v="5"/>
    <x v="0"/>
    <x v="1"/>
    <n v="-10179.9"/>
  </r>
  <r>
    <x v="23"/>
    <x v="0"/>
    <x v="3"/>
    <x v="3"/>
    <x v="0"/>
    <x v="3"/>
    <x v="3"/>
    <x v="0"/>
    <x v="3"/>
    <s v="-"/>
    <x v="2"/>
    <x v="0"/>
    <x v="2"/>
    <n v="-444"/>
  </r>
  <r>
    <x v="23"/>
    <x v="0"/>
    <x v="9"/>
    <x v="19"/>
    <x v="2"/>
    <x v="48"/>
    <x v="66"/>
    <x v="0"/>
    <x v="61"/>
    <s v="1/2"/>
    <x v="2"/>
    <x v="0"/>
    <x v="1"/>
    <n v="-207.5"/>
  </r>
  <r>
    <x v="23"/>
    <x v="0"/>
    <x v="6"/>
    <x v="6"/>
    <x v="0"/>
    <x v="5"/>
    <x v="8"/>
    <x v="0"/>
    <x v="0"/>
    <s v="-"/>
    <x v="0"/>
    <x v="2"/>
    <x v="4"/>
    <n v="900"/>
  </r>
  <r>
    <x v="23"/>
    <x v="0"/>
    <x v="11"/>
    <x v="14"/>
    <x v="3"/>
    <x v="49"/>
    <x v="67"/>
    <x v="1"/>
    <x v="62"/>
    <s v="-"/>
    <x v="2"/>
    <x v="2"/>
    <x v="1"/>
    <n v="-900"/>
  </r>
  <r>
    <x v="24"/>
    <x v="0"/>
    <x v="3"/>
    <x v="3"/>
    <x v="0"/>
    <x v="3"/>
    <x v="3"/>
    <x v="0"/>
    <x v="3"/>
    <s v="-"/>
    <x v="2"/>
    <x v="0"/>
    <x v="2"/>
    <n v="-9355.7199999999993"/>
  </r>
  <r>
    <x v="24"/>
    <x v="0"/>
    <x v="12"/>
    <x v="27"/>
    <x v="0"/>
    <x v="50"/>
    <x v="68"/>
    <x v="0"/>
    <x v="63"/>
    <s v="-"/>
    <x v="2"/>
    <x v="0"/>
    <x v="5"/>
    <n v="960000"/>
  </r>
  <r>
    <x v="25"/>
    <x v="1"/>
    <x v="3"/>
    <x v="3"/>
    <x v="0"/>
    <x v="3"/>
    <x v="3"/>
    <x v="0"/>
    <x v="64"/>
    <s v="-"/>
    <x v="2"/>
    <x v="0"/>
    <x v="2"/>
    <n v="-79702.920000000013"/>
  </r>
  <r>
    <x v="26"/>
    <x v="1"/>
    <x v="7"/>
    <x v="9"/>
    <x v="1"/>
    <x v="5"/>
    <x v="12"/>
    <x v="0"/>
    <x v="64"/>
    <s v="-"/>
    <x v="4"/>
    <x v="2"/>
    <x v="1"/>
    <n v="-100"/>
  </r>
  <r>
    <x v="26"/>
    <x v="1"/>
    <x v="2"/>
    <x v="2"/>
    <x v="2"/>
    <x v="2"/>
    <x v="2"/>
    <x v="0"/>
    <x v="65"/>
    <s v="-"/>
    <x v="2"/>
    <x v="0"/>
    <x v="1"/>
    <n v="-1010"/>
  </r>
  <r>
    <x v="26"/>
    <x v="1"/>
    <x v="10"/>
    <x v="16"/>
    <x v="2"/>
    <x v="51"/>
    <x v="69"/>
    <x v="0"/>
    <x v="66"/>
    <s v="-"/>
    <x v="2"/>
    <x v="0"/>
    <x v="1"/>
    <n v="-350"/>
  </r>
  <r>
    <x v="26"/>
    <x v="1"/>
    <x v="6"/>
    <x v="6"/>
    <x v="0"/>
    <x v="5"/>
    <x v="8"/>
    <x v="0"/>
    <x v="0"/>
    <s v="-"/>
    <x v="0"/>
    <x v="2"/>
    <x v="4"/>
    <n v="1737.5"/>
  </r>
  <r>
    <x v="26"/>
    <x v="1"/>
    <x v="6"/>
    <x v="6"/>
    <x v="0"/>
    <x v="5"/>
    <x v="8"/>
    <x v="0"/>
    <x v="0"/>
    <s v="-"/>
    <x v="0"/>
    <x v="2"/>
    <x v="4"/>
    <n v="3270.67"/>
  </r>
  <r>
    <x v="26"/>
    <x v="1"/>
    <x v="11"/>
    <x v="14"/>
    <x v="3"/>
    <x v="28"/>
    <x v="41"/>
    <x v="1"/>
    <x v="35"/>
    <s v="2/4"/>
    <x v="1"/>
    <x v="2"/>
    <x v="1"/>
    <n v="-1737.5"/>
  </r>
  <r>
    <x v="27"/>
    <x v="1"/>
    <x v="11"/>
    <x v="14"/>
    <x v="3"/>
    <x v="52"/>
    <x v="70"/>
    <x v="1"/>
    <x v="67"/>
    <s v="1/5"/>
    <x v="1"/>
    <x v="2"/>
    <x v="1"/>
    <n v="-5000"/>
  </r>
  <r>
    <x v="27"/>
    <x v="1"/>
    <x v="6"/>
    <x v="6"/>
    <x v="0"/>
    <x v="5"/>
    <x v="8"/>
    <x v="0"/>
    <x v="0"/>
    <s v="-"/>
    <x v="0"/>
    <x v="2"/>
    <x v="4"/>
    <n v="6400"/>
  </r>
  <r>
    <x v="27"/>
    <x v="1"/>
    <x v="11"/>
    <x v="14"/>
    <x v="3"/>
    <x v="53"/>
    <x v="71"/>
    <x v="2"/>
    <x v="68"/>
    <s v="1/2"/>
    <x v="2"/>
    <x v="2"/>
    <x v="1"/>
    <n v="-1400"/>
  </r>
  <r>
    <x v="27"/>
    <x v="1"/>
    <x v="3"/>
    <x v="3"/>
    <x v="0"/>
    <x v="3"/>
    <x v="3"/>
    <x v="0"/>
    <x v="64"/>
    <s v="-"/>
    <x v="2"/>
    <x v="0"/>
    <x v="2"/>
    <n v="-1100"/>
  </r>
  <r>
    <x v="27"/>
    <x v="1"/>
    <x v="11"/>
    <x v="14"/>
    <x v="3"/>
    <x v="11"/>
    <x v="19"/>
    <x v="1"/>
    <x v="10"/>
    <s v="2/3"/>
    <x v="1"/>
    <x v="2"/>
    <x v="1"/>
    <n v="-961"/>
  </r>
  <r>
    <x v="27"/>
    <x v="1"/>
    <x v="1"/>
    <x v="1"/>
    <x v="1"/>
    <x v="1"/>
    <x v="1"/>
    <x v="0"/>
    <x v="69"/>
    <s v="-"/>
    <x v="1"/>
    <x v="0"/>
    <x v="1"/>
    <n v="-700"/>
  </r>
  <r>
    <x v="27"/>
    <x v="1"/>
    <x v="9"/>
    <x v="26"/>
    <x v="4"/>
    <x v="20"/>
    <x v="72"/>
    <x v="0"/>
    <x v="4"/>
    <s v="-"/>
    <x v="2"/>
    <x v="0"/>
    <x v="1"/>
    <n v="-1204.4100000000001"/>
  </r>
  <r>
    <x v="28"/>
    <x v="1"/>
    <x v="6"/>
    <x v="6"/>
    <x v="0"/>
    <x v="5"/>
    <x v="8"/>
    <x v="0"/>
    <x v="0"/>
    <s v="-"/>
    <x v="0"/>
    <x v="2"/>
    <x v="4"/>
    <n v="6190.75"/>
  </r>
  <r>
    <x v="28"/>
    <x v="1"/>
    <x v="9"/>
    <x v="26"/>
    <x v="4"/>
    <x v="3"/>
    <x v="73"/>
    <x v="0"/>
    <x v="0"/>
    <s v="-"/>
    <x v="2"/>
    <x v="0"/>
    <x v="1"/>
    <n v="-259.77"/>
  </r>
  <r>
    <x v="28"/>
    <x v="1"/>
    <x v="6"/>
    <x v="6"/>
    <x v="0"/>
    <x v="5"/>
    <x v="7"/>
    <x v="0"/>
    <x v="0"/>
    <s v="-"/>
    <x v="0"/>
    <x v="1"/>
    <x v="4"/>
    <n v="5562.33"/>
  </r>
  <r>
    <x v="28"/>
    <x v="1"/>
    <x v="2"/>
    <x v="18"/>
    <x v="2"/>
    <x v="25"/>
    <x v="74"/>
    <x v="0"/>
    <x v="70"/>
    <s v="-"/>
    <x v="1"/>
    <x v="0"/>
    <x v="1"/>
    <n v="-595.32000000000005"/>
  </r>
  <r>
    <x v="29"/>
    <x v="1"/>
    <x v="10"/>
    <x v="12"/>
    <x v="2"/>
    <x v="7"/>
    <x v="14"/>
    <x v="0"/>
    <x v="71"/>
    <s v="-"/>
    <x v="2"/>
    <x v="0"/>
    <x v="1"/>
    <n v="-70"/>
  </r>
  <r>
    <x v="29"/>
    <x v="1"/>
    <x v="11"/>
    <x v="14"/>
    <x v="3"/>
    <x v="12"/>
    <x v="20"/>
    <x v="1"/>
    <x v="11"/>
    <s v="2/5"/>
    <x v="1"/>
    <x v="2"/>
    <x v="1"/>
    <n v="-1918"/>
  </r>
  <r>
    <x v="29"/>
    <x v="1"/>
    <x v="9"/>
    <x v="11"/>
    <x v="1"/>
    <x v="6"/>
    <x v="13"/>
    <x v="0"/>
    <x v="72"/>
    <s v="-"/>
    <x v="1"/>
    <x v="0"/>
    <x v="1"/>
    <n v="-4885"/>
  </r>
  <r>
    <x v="29"/>
    <x v="1"/>
    <x v="1"/>
    <x v="13"/>
    <x v="1"/>
    <x v="9"/>
    <x v="16"/>
    <x v="0"/>
    <x v="3"/>
    <s v="-"/>
    <x v="2"/>
    <x v="0"/>
    <x v="1"/>
    <n v="-4498.5"/>
  </r>
  <r>
    <x v="29"/>
    <x v="1"/>
    <x v="11"/>
    <x v="14"/>
    <x v="3"/>
    <x v="17"/>
    <x v="26"/>
    <x v="1"/>
    <x v="18"/>
    <s v="3/3"/>
    <x v="1"/>
    <x v="1"/>
    <x v="1"/>
    <n v="-1797"/>
  </r>
  <r>
    <x v="29"/>
    <x v="1"/>
    <x v="7"/>
    <x v="9"/>
    <x v="1"/>
    <x v="5"/>
    <x v="17"/>
    <x v="0"/>
    <x v="64"/>
    <s v="-"/>
    <x v="4"/>
    <x v="1"/>
    <x v="1"/>
    <n v="-58.9"/>
  </r>
  <r>
    <x v="29"/>
    <x v="1"/>
    <x v="11"/>
    <x v="14"/>
    <x v="3"/>
    <x v="23"/>
    <x v="34"/>
    <x v="1"/>
    <x v="73"/>
    <s v="-"/>
    <x v="1"/>
    <x v="2"/>
    <x v="1"/>
    <n v="-129"/>
  </r>
  <r>
    <x v="29"/>
    <x v="1"/>
    <x v="2"/>
    <x v="2"/>
    <x v="2"/>
    <x v="23"/>
    <x v="34"/>
    <x v="0"/>
    <x v="74"/>
    <s v="-"/>
    <x v="1"/>
    <x v="0"/>
    <x v="1"/>
    <n v="-129"/>
  </r>
  <r>
    <x v="30"/>
    <x v="1"/>
    <x v="11"/>
    <x v="14"/>
    <x v="3"/>
    <x v="11"/>
    <x v="19"/>
    <x v="1"/>
    <x v="17"/>
    <s v="3/3"/>
    <x v="1"/>
    <x v="1"/>
    <x v="1"/>
    <n v="-3765.33"/>
  </r>
  <r>
    <x v="30"/>
    <x v="1"/>
    <x v="6"/>
    <x v="6"/>
    <x v="0"/>
    <x v="5"/>
    <x v="8"/>
    <x v="0"/>
    <x v="0"/>
    <s v="-"/>
    <x v="0"/>
    <x v="2"/>
    <x v="4"/>
    <n v="94.56"/>
  </r>
  <r>
    <x v="30"/>
    <x v="1"/>
    <x v="6"/>
    <x v="6"/>
    <x v="0"/>
    <x v="5"/>
    <x v="7"/>
    <x v="0"/>
    <x v="0"/>
    <s v="-"/>
    <x v="0"/>
    <x v="2"/>
    <x v="4"/>
    <n v="5000"/>
  </r>
  <r>
    <x v="30"/>
    <x v="1"/>
    <x v="11"/>
    <x v="14"/>
    <x v="3"/>
    <x v="18"/>
    <x v="22"/>
    <x v="1"/>
    <x v="75"/>
    <s v="-"/>
    <x v="2"/>
    <x v="2"/>
    <x v="1"/>
    <n v="-1357.66"/>
  </r>
  <r>
    <x v="30"/>
    <x v="1"/>
    <x v="6"/>
    <x v="6"/>
    <x v="0"/>
    <x v="5"/>
    <x v="7"/>
    <x v="0"/>
    <x v="0"/>
    <s v="-"/>
    <x v="0"/>
    <x v="2"/>
    <x v="4"/>
    <n v="1357.66"/>
  </r>
  <r>
    <x v="30"/>
    <x v="1"/>
    <x v="11"/>
    <x v="14"/>
    <x v="3"/>
    <x v="54"/>
    <x v="75"/>
    <x v="1"/>
    <x v="76"/>
    <s v="1/4"/>
    <x v="1"/>
    <x v="2"/>
    <x v="1"/>
    <n v="-5000"/>
  </r>
  <r>
    <x v="31"/>
    <x v="1"/>
    <x v="11"/>
    <x v="14"/>
    <x v="3"/>
    <x v="14"/>
    <x v="22"/>
    <x v="1"/>
    <x v="77"/>
    <s v="-"/>
    <x v="1"/>
    <x v="2"/>
    <x v="1"/>
    <n v="-329.93"/>
  </r>
  <r>
    <x v="31"/>
    <x v="1"/>
    <x v="11"/>
    <x v="14"/>
    <x v="3"/>
    <x v="11"/>
    <x v="19"/>
    <x v="1"/>
    <x v="24"/>
    <s v="2/3"/>
    <x v="1"/>
    <x v="2"/>
    <x v="1"/>
    <n v="-391.67"/>
  </r>
  <r>
    <x v="31"/>
    <x v="1"/>
    <x v="5"/>
    <x v="5"/>
    <x v="0"/>
    <x v="4"/>
    <x v="37"/>
    <x v="0"/>
    <x v="0"/>
    <s v="-"/>
    <x v="2"/>
    <x v="2"/>
    <x v="1"/>
    <n v="-94.56"/>
  </r>
  <r>
    <x v="31"/>
    <x v="1"/>
    <x v="6"/>
    <x v="6"/>
    <x v="0"/>
    <x v="5"/>
    <x v="7"/>
    <x v="0"/>
    <x v="0"/>
    <s v="-"/>
    <x v="0"/>
    <x v="1"/>
    <x v="4"/>
    <n v="9800"/>
  </r>
  <r>
    <x v="31"/>
    <x v="1"/>
    <x v="2"/>
    <x v="2"/>
    <x v="2"/>
    <x v="29"/>
    <x v="76"/>
    <x v="0"/>
    <x v="78"/>
    <s v="-"/>
    <x v="1"/>
    <x v="0"/>
    <x v="1"/>
    <n v="-950.2"/>
  </r>
  <r>
    <x v="31"/>
    <x v="1"/>
    <x v="7"/>
    <x v="9"/>
    <x v="1"/>
    <x v="5"/>
    <x v="27"/>
    <x v="0"/>
    <x v="64"/>
    <s v="-"/>
    <x v="4"/>
    <x v="1"/>
    <x v="1"/>
    <n v="-10"/>
  </r>
  <r>
    <x v="31"/>
    <x v="1"/>
    <x v="2"/>
    <x v="15"/>
    <x v="2"/>
    <x v="55"/>
    <x v="77"/>
    <x v="0"/>
    <x v="79"/>
    <s v="-"/>
    <x v="2"/>
    <x v="0"/>
    <x v="1"/>
    <n v="-95"/>
  </r>
  <r>
    <x v="31"/>
    <x v="1"/>
    <x v="8"/>
    <x v="10"/>
    <x v="0"/>
    <x v="4"/>
    <x v="37"/>
    <x v="0"/>
    <x v="0"/>
    <s v="-"/>
    <x v="2"/>
    <x v="0"/>
    <x v="5"/>
    <n v="94.56"/>
  </r>
  <r>
    <x v="32"/>
    <x v="1"/>
    <x v="11"/>
    <x v="14"/>
    <x v="3"/>
    <x v="20"/>
    <x v="29"/>
    <x v="1"/>
    <x v="34"/>
    <s v="-"/>
    <x v="5"/>
    <x v="0"/>
    <x v="1"/>
    <n v="-94.56"/>
  </r>
  <r>
    <x v="32"/>
    <x v="1"/>
    <x v="9"/>
    <x v="17"/>
    <x v="1"/>
    <x v="21"/>
    <x v="32"/>
    <x v="0"/>
    <x v="80"/>
    <s v="-"/>
    <x v="2"/>
    <x v="0"/>
    <x v="1"/>
    <n v="-1120"/>
  </r>
  <r>
    <x v="32"/>
    <x v="1"/>
    <x v="11"/>
    <x v="14"/>
    <x v="3"/>
    <x v="22"/>
    <x v="33"/>
    <x v="1"/>
    <x v="27"/>
    <s v="4/5"/>
    <x v="2"/>
    <x v="1"/>
    <x v="1"/>
    <n v="-9800"/>
  </r>
  <r>
    <x v="32"/>
    <x v="1"/>
    <x v="7"/>
    <x v="9"/>
    <x v="1"/>
    <x v="5"/>
    <x v="17"/>
    <x v="0"/>
    <x v="64"/>
    <s v="-"/>
    <x v="4"/>
    <x v="2"/>
    <x v="1"/>
    <n v="-56.5"/>
  </r>
  <r>
    <x v="33"/>
    <x v="1"/>
    <x v="3"/>
    <x v="3"/>
    <x v="0"/>
    <x v="3"/>
    <x v="3"/>
    <x v="0"/>
    <x v="64"/>
    <s v="-"/>
    <x v="2"/>
    <x v="0"/>
    <x v="2"/>
    <n v="-855.76"/>
  </r>
  <r>
    <x v="33"/>
    <x v="1"/>
    <x v="11"/>
    <x v="14"/>
    <x v="3"/>
    <x v="56"/>
    <x v="78"/>
    <x v="1"/>
    <x v="81"/>
    <s v="-"/>
    <x v="1"/>
    <x v="2"/>
    <x v="1"/>
    <n v="-370"/>
  </r>
  <r>
    <x v="33"/>
    <x v="1"/>
    <x v="6"/>
    <x v="6"/>
    <x v="0"/>
    <x v="5"/>
    <x v="7"/>
    <x v="0"/>
    <x v="0"/>
    <s v="-"/>
    <x v="0"/>
    <x v="2"/>
    <x v="4"/>
    <n v="804"/>
  </r>
  <r>
    <x v="33"/>
    <x v="1"/>
    <x v="2"/>
    <x v="15"/>
    <x v="2"/>
    <x v="24"/>
    <x v="79"/>
    <x v="0"/>
    <x v="82"/>
    <s v="-"/>
    <x v="1"/>
    <x v="0"/>
    <x v="1"/>
    <n v="-955"/>
  </r>
  <r>
    <x v="33"/>
    <x v="1"/>
    <x v="2"/>
    <x v="2"/>
    <x v="2"/>
    <x v="56"/>
    <x v="80"/>
    <x v="0"/>
    <x v="83"/>
    <s v="-"/>
    <x v="1"/>
    <x v="0"/>
    <x v="1"/>
    <n v="-275"/>
  </r>
  <r>
    <x v="33"/>
    <x v="1"/>
    <x v="11"/>
    <x v="14"/>
    <x v="3"/>
    <x v="57"/>
    <x v="21"/>
    <x v="1"/>
    <x v="84"/>
    <s v="-"/>
    <x v="7"/>
    <x v="2"/>
    <x v="1"/>
    <n v="-62.8"/>
  </r>
  <r>
    <x v="34"/>
    <x v="1"/>
    <x v="6"/>
    <x v="6"/>
    <x v="0"/>
    <x v="5"/>
    <x v="8"/>
    <x v="0"/>
    <x v="0"/>
    <s v="-"/>
    <x v="0"/>
    <x v="2"/>
    <x v="4"/>
    <n v="4000"/>
  </r>
  <r>
    <x v="34"/>
    <x v="1"/>
    <x v="6"/>
    <x v="6"/>
    <x v="0"/>
    <x v="5"/>
    <x v="8"/>
    <x v="0"/>
    <x v="0"/>
    <s v="-"/>
    <x v="0"/>
    <x v="2"/>
    <x v="4"/>
    <n v="4500"/>
  </r>
  <r>
    <x v="34"/>
    <x v="1"/>
    <x v="11"/>
    <x v="14"/>
    <x v="3"/>
    <x v="58"/>
    <x v="81"/>
    <x v="1"/>
    <x v="85"/>
    <s v="1/2"/>
    <x v="2"/>
    <x v="2"/>
    <x v="1"/>
    <n v="-4500"/>
  </r>
  <r>
    <x v="34"/>
    <x v="1"/>
    <x v="11"/>
    <x v="14"/>
    <x v="3"/>
    <x v="36"/>
    <x v="50"/>
    <x v="2"/>
    <x v="86"/>
    <s v="-"/>
    <x v="1"/>
    <x v="2"/>
    <x v="1"/>
    <n v="-804"/>
  </r>
  <r>
    <x v="34"/>
    <x v="1"/>
    <x v="6"/>
    <x v="6"/>
    <x v="0"/>
    <x v="5"/>
    <x v="7"/>
    <x v="0"/>
    <x v="0"/>
    <s v="-"/>
    <x v="0"/>
    <x v="2"/>
    <x v="4"/>
    <n v="62.8"/>
  </r>
  <r>
    <x v="34"/>
    <x v="1"/>
    <x v="11"/>
    <x v="14"/>
    <x v="3"/>
    <x v="54"/>
    <x v="75"/>
    <x v="1"/>
    <x v="76"/>
    <s v="2/4"/>
    <x v="1"/>
    <x v="2"/>
    <x v="1"/>
    <n v="-4000"/>
  </r>
  <r>
    <x v="34"/>
    <x v="1"/>
    <x v="11"/>
    <x v="14"/>
    <x v="3"/>
    <x v="13"/>
    <x v="21"/>
    <x v="2"/>
    <x v="87"/>
    <s v="1/3"/>
    <x v="1"/>
    <x v="2"/>
    <x v="1"/>
    <n v="-5194.1000000000004"/>
  </r>
  <r>
    <x v="34"/>
    <x v="1"/>
    <x v="6"/>
    <x v="6"/>
    <x v="0"/>
    <x v="5"/>
    <x v="7"/>
    <x v="0"/>
    <x v="0"/>
    <s v="-"/>
    <x v="0"/>
    <x v="1"/>
    <x v="4"/>
    <n v="10616.31"/>
  </r>
  <r>
    <x v="34"/>
    <x v="1"/>
    <x v="2"/>
    <x v="15"/>
    <x v="2"/>
    <x v="59"/>
    <x v="82"/>
    <x v="0"/>
    <x v="88"/>
    <s v="-"/>
    <x v="1"/>
    <x v="0"/>
    <x v="1"/>
    <n v="-2130"/>
  </r>
  <r>
    <x v="35"/>
    <x v="1"/>
    <x v="11"/>
    <x v="14"/>
    <x v="3"/>
    <x v="19"/>
    <x v="19"/>
    <x v="1"/>
    <x v="89"/>
    <s v="-"/>
    <x v="1"/>
    <x v="2"/>
    <x v="1"/>
    <n v="-167.72"/>
  </r>
  <r>
    <x v="35"/>
    <x v="1"/>
    <x v="6"/>
    <x v="6"/>
    <x v="0"/>
    <x v="5"/>
    <x v="8"/>
    <x v="0"/>
    <x v="0"/>
    <s v="-"/>
    <x v="0"/>
    <x v="2"/>
    <x v="4"/>
    <n v="3372.17"/>
  </r>
  <r>
    <x v="35"/>
    <x v="1"/>
    <x v="2"/>
    <x v="23"/>
    <x v="2"/>
    <x v="37"/>
    <x v="51"/>
    <x v="0"/>
    <x v="90"/>
    <s v="-"/>
    <x v="1"/>
    <x v="0"/>
    <x v="1"/>
    <n v="-917.35"/>
  </r>
  <r>
    <x v="35"/>
    <x v="1"/>
    <x v="6"/>
    <x v="6"/>
    <x v="0"/>
    <x v="5"/>
    <x v="8"/>
    <x v="0"/>
    <x v="0"/>
    <s v="-"/>
    <x v="0"/>
    <x v="2"/>
    <x v="4"/>
    <n v="1301.3900000000001"/>
  </r>
  <r>
    <x v="35"/>
    <x v="1"/>
    <x v="2"/>
    <x v="2"/>
    <x v="2"/>
    <x v="8"/>
    <x v="83"/>
    <x v="0"/>
    <x v="91"/>
    <s v="-"/>
    <x v="1"/>
    <x v="0"/>
    <x v="1"/>
    <n v="-140.46"/>
  </r>
  <r>
    <x v="36"/>
    <x v="1"/>
    <x v="11"/>
    <x v="14"/>
    <x v="3"/>
    <x v="13"/>
    <x v="21"/>
    <x v="2"/>
    <x v="46"/>
    <s v="3/3"/>
    <x v="1"/>
    <x v="1"/>
    <x v="1"/>
    <n v="-2583.1999999999998"/>
  </r>
  <r>
    <x v="36"/>
    <x v="1"/>
    <x v="11"/>
    <x v="14"/>
    <x v="3"/>
    <x v="13"/>
    <x v="21"/>
    <x v="2"/>
    <x v="47"/>
    <s v="3/3"/>
    <x v="1"/>
    <x v="1"/>
    <x v="1"/>
    <n v="-6027.44"/>
  </r>
  <r>
    <x v="36"/>
    <x v="1"/>
    <x v="2"/>
    <x v="2"/>
    <x v="2"/>
    <x v="60"/>
    <x v="84"/>
    <x v="0"/>
    <x v="92"/>
    <s v="-"/>
    <x v="6"/>
    <x v="0"/>
    <x v="1"/>
    <n v="-93.5"/>
  </r>
  <r>
    <x v="36"/>
    <x v="1"/>
    <x v="9"/>
    <x v="19"/>
    <x v="2"/>
    <x v="30"/>
    <x v="43"/>
    <x v="0"/>
    <x v="0"/>
    <s v="2/12"/>
    <x v="6"/>
    <x v="0"/>
    <x v="1"/>
    <n v="-24.16"/>
  </r>
  <r>
    <x v="36"/>
    <x v="1"/>
    <x v="2"/>
    <x v="2"/>
    <x v="2"/>
    <x v="61"/>
    <x v="85"/>
    <x v="0"/>
    <x v="93"/>
    <s v="-"/>
    <x v="6"/>
    <x v="0"/>
    <x v="1"/>
    <n v="-850"/>
  </r>
  <r>
    <x v="36"/>
    <x v="1"/>
    <x v="9"/>
    <x v="19"/>
    <x v="2"/>
    <x v="31"/>
    <x v="44"/>
    <x v="0"/>
    <x v="39"/>
    <s v="11/12"/>
    <x v="6"/>
    <x v="0"/>
    <x v="1"/>
    <n v="-398.91"/>
  </r>
  <r>
    <x v="36"/>
    <x v="1"/>
    <x v="11"/>
    <x v="14"/>
    <x v="3"/>
    <x v="27"/>
    <x v="40"/>
    <x v="1"/>
    <x v="34"/>
    <s v="2/5"/>
    <x v="6"/>
    <x v="2"/>
    <x v="1"/>
    <n v="-361.39"/>
  </r>
  <r>
    <x v="36"/>
    <x v="1"/>
    <x v="11"/>
    <x v="14"/>
    <x v="3"/>
    <x v="27"/>
    <x v="86"/>
    <x v="1"/>
    <x v="33"/>
    <s v="2/5"/>
    <x v="6"/>
    <x v="2"/>
    <x v="1"/>
    <n v="-940"/>
  </r>
  <r>
    <x v="36"/>
    <x v="1"/>
    <x v="2"/>
    <x v="21"/>
    <x v="2"/>
    <x v="33"/>
    <x v="46"/>
    <x v="0"/>
    <x v="41"/>
    <s v="-"/>
    <x v="6"/>
    <x v="0"/>
    <x v="1"/>
    <n v="-235.52"/>
  </r>
  <r>
    <x v="36"/>
    <x v="1"/>
    <x v="11"/>
    <x v="14"/>
    <x v="3"/>
    <x v="11"/>
    <x v="19"/>
    <x v="1"/>
    <x v="45"/>
    <s v="3/3"/>
    <x v="1"/>
    <x v="1"/>
    <x v="1"/>
    <n v="-1348.67"/>
  </r>
  <r>
    <x v="36"/>
    <x v="1"/>
    <x v="11"/>
    <x v="14"/>
    <x v="3"/>
    <x v="17"/>
    <x v="26"/>
    <x v="1"/>
    <x v="94"/>
    <s v="-"/>
    <x v="1"/>
    <x v="2"/>
    <x v="1"/>
    <n v="-782.5"/>
  </r>
  <r>
    <x v="36"/>
    <x v="1"/>
    <x v="11"/>
    <x v="14"/>
    <x v="3"/>
    <x v="14"/>
    <x v="22"/>
    <x v="1"/>
    <x v="95"/>
    <s v="-"/>
    <x v="1"/>
    <x v="2"/>
    <x v="1"/>
    <n v="-78.239999999999995"/>
  </r>
  <r>
    <x v="36"/>
    <x v="1"/>
    <x v="11"/>
    <x v="14"/>
    <x v="3"/>
    <x v="62"/>
    <x v="87"/>
    <x v="1"/>
    <x v="96"/>
    <s v="1/5"/>
    <x v="1"/>
    <x v="2"/>
    <x v="1"/>
    <n v="-2511.4299999999998"/>
  </r>
  <r>
    <x v="36"/>
    <x v="1"/>
    <x v="11"/>
    <x v="14"/>
    <x v="3"/>
    <x v="17"/>
    <x v="26"/>
    <x v="1"/>
    <x v="53"/>
    <s v="3/3"/>
    <x v="1"/>
    <x v="1"/>
    <x v="1"/>
    <n v="-657"/>
  </r>
  <r>
    <x v="36"/>
    <x v="1"/>
    <x v="2"/>
    <x v="2"/>
    <x v="2"/>
    <x v="56"/>
    <x v="88"/>
    <x v="1"/>
    <x v="97"/>
    <s v="-"/>
    <x v="1"/>
    <x v="0"/>
    <x v="1"/>
    <n v="-700"/>
  </r>
  <r>
    <x v="37"/>
    <x v="1"/>
    <x v="11"/>
    <x v="14"/>
    <x v="3"/>
    <x v="63"/>
    <x v="89"/>
    <x v="2"/>
    <x v="98"/>
    <s v="-"/>
    <x v="2"/>
    <x v="2"/>
    <x v="1"/>
    <n v="-1000"/>
  </r>
  <r>
    <x v="37"/>
    <x v="1"/>
    <x v="11"/>
    <x v="14"/>
    <x v="3"/>
    <x v="54"/>
    <x v="75"/>
    <x v="1"/>
    <x v="76"/>
    <s v="3/4"/>
    <x v="1"/>
    <x v="2"/>
    <x v="1"/>
    <n v="-750"/>
  </r>
  <r>
    <x v="37"/>
    <x v="1"/>
    <x v="6"/>
    <x v="6"/>
    <x v="0"/>
    <x v="5"/>
    <x v="8"/>
    <x v="0"/>
    <x v="0"/>
    <s v="-"/>
    <x v="0"/>
    <x v="2"/>
    <x v="4"/>
    <n v="2850"/>
  </r>
  <r>
    <x v="37"/>
    <x v="1"/>
    <x v="11"/>
    <x v="14"/>
    <x v="3"/>
    <x v="58"/>
    <x v="90"/>
    <x v="1"/>
    <x v="99"/>
    <s v="1/2"/>
    <x v="2"/>
    <x v="2"/>
    <x v="1"/>
    <n v="-1200"/>
  </r>
  <r>
    <x v="37"/>
    <x v="1"/>
    <x v="6"/>
    <x v="6"/>
    <x v="0"/>
    <x v="5"/>
    <x v="8"/>
    <x v="0"/>
    <x v="0"/>
    <s v="-"/>
    <x v="0"/>
    <x v="2"/>
    <x v="4"/>
    <n v="2950"/>
  </r>
  <r>
    <x v="37"/>
    <x v="1"/>
    <x v="6"/>
    <x v="6"/>
    <x v="0"/>
    <x v="5"/>
    <x v="8"/>
    <x v="0"/>
    <x v="0"/>
    <s v="-"/>
    <x v="0"/>
    <x v="2"/>
    <x v="4"/>
    <n v="240"/>
  </r>
  <r>
    <x v="37"/>
    <x v="1"/>
    <x v="11"/>
    <x v="14"/>
    <x v="3"/>
    <x v="64"/>
    <x v="57"/>
    <x v="1"/>
    <x v="100"/>
    <s v="-"/>
    <x v="2"/>
    <x v="2"/>
    <x v="1"/>
    <n v="-240"/>
  </r>
  <r>
    <x v="38"/>
    <x v="1"/>
    <x v="11"/>
    <x v="14"/>
    <x v="3"/>
    <x v="17"/>
    <x v="26"/>
    <x v="1"/>
    <x v="55"/>
    <s v="3/6"/>
    <x v="1"/>
    <x v="2"/>
    <x v="1"/>
    <n v="-2850"/>
  </r>
  <r>
    <x v="38"/>
    <x v="1"/>
    <x v="1"/>
    <x v="24"/>
    <x v="1"/>
    <x v="39"/>
    <x v="55"/>
    <x v="0"/>
    <x v="3"/>
    <s v="-"/>
    <x v="5"/>
    <x v="0"/>
    <x v="1"/>
    <n v="-400"/>
  </r>
  <r>
    <x v="38"/>
    <x v="1"/>
    <x v="1"/>
    <x v="24"/>
    <x v="1"/>
    <x v="38"/>
    <x v="53"/>
    <x v="0"/>
    <x v="3"/>
    <s v="-"/>
    <x v="5"/>
    <x v="0"/>
    <x v="1"/>
    <n v="-1836.5"/>
  </r>
  <r>
    <x v="39"/>
    <x v="1"/>
    <x v="9"/>
    <x v="19"/>
    <x v="2"/>
    <x v="48"/>
    <x v="66"/>
    <x v="0"/>
    <x v="61"/>
    <s v="2/2"/>
    <x v="2"/>
    <x v="0"/>
    <x v="1"/>
    <n v="-287.5"/>
  </r>
  <r>
    <x v="40"/>
    <x v="1"/>
    <x v="7"/>
    <x v="9"/>
    <x v="1"/>
    <x v="5"/>
    <x v="12"/>
    <x v="0"/>
    <x v="64"/>
    <s v="-"/>
    <x v="4"/>
    <x v="1"/>
    <x v="1"/>
    <n v="-50"/>
  </r>
  <r>
    <x v="41"/>
    <x v="1"/>
    <x v="6"/>
    <x v="6"/>
    <x v="0"/>
    <x v="5"/>
    <x v="8"/>
    <x v="0"/>
    <x v="0"/>
    <s v="-"/>
    <x v="0"/>
    <x v="2"/>
    <x v="4"/>
    <n v="1400"/>
  </r>
  <r>
    <x v="41"/>
    <x v="1"/>
    <x v="6"/>
    <x v="6"/>
    <x v="0"/>
    <x v="5"/>
    <x v="8"/>
    <x v="0"/>
    <x v="0"/>
    <s v="-"/>
    <x v="0"/>
    <x v="2"/>
    <x v="4"/>
    <n v="400"/>
  </r>
  <r>
    <x v="41"/>
    <x v="1"/>
    <x v="3"/>
    <x v="25"/>
    <x v="1"/>
    <x v="42"/>
    <x v="58"/>
    <x v="0"/>
    <x v="64"/>
    <s v="-"/>
    <x v="1"/>
    <x v="0"/>
    <x v="1"/>
    <n v="-8489.33"/>
  </r>
  <r>
    <x v="41"/>
    <x v="1"/>
    <x v="3"/>
    <x v="3"/>
    <x v="0"/>
    <x v="3"/>
    <x v="3"/>
    <x v="0"/>
    <x v="64"/>
    <s v="-"/>
    <x v="2"/>
    <x v="0"/>
    <x v="2"/>
    <n v="-3315.3"/>
  </r>
  <r>
    <x v="41"/>
    <x v="1"/>
    <x v="9"/>
    <x v="19"/>
    <x v="2"/>
    <x v="65"/>
    <x v="91"/>
    <x v="0"/>
    <x v="85"/>
    <s v="-"/>
    <x v="2"/>
    <x v="0"/>
    <x v="1"/>
    <n v="-1050"/>
  </r>
  <r>
    <x v="42"/>
    <x v="1"/>
    <x v="11"/>
    <x v="14"/>
    <x v="3"/>
    <x v="44"/>
    <x v="61"/>
    <x v="2"/>
    <x v="101"/>
    <s v="-"/>
    <x v="1"/>
    <x v="2"/>
    <x v="1"/>
    <n v="-400"/>
  </r>
  <r>
    <x v="42"/>
    <x v="1"/>
    <x v="1"/>
    <x v="1"/>
    <x v="2"/>
    <x v="43"/>
    <x v="59"/>
    <x v="0"/>
    <x v="102"/>
    <s v="-"/>
    <x v="1"/>
    <x v="0"/>
    <x v="1"/>
    <n v="-180"/>
  </r>
  <r>
    <x v="42"/>
    <x v="1"/>
    <x v="1"/>
    <x v="1"/>
    <x v="2"/>
    <x v="43"/>
    <x v="60"/>
    <x v="0"/>
    <x v="103"/>
    <s v="-"/>
    <x v="1"/>
    <x v="0"/>
    <x v="1"/>
    <n v="-310"/>
  </r>
  <r>
    <x v="42"/>
    <x v="1"/>
    <x v="6"/>
    <x v="6"/>
    <x v="0"/>
    <x v="5"/>
    <x v="7"/>
    <x v="0"/>
    <x v="0"/>
    <s v="-"/>
    <x v="0"/>
    <x v="1"/>
    <x v="4"/>
    <n v="12200"/>
  </r>
  <r>
    <x v="42"/>
    <x v="1"/>
    <x v="11"/>
    <x v="14"/>
    <x v="3"/>
    <x v="53"/>
    <x v="71"/>
    <x v="2"/>
    <x v="68"/>
    <s v="2/2"/>
    <x v="1"/>
    <x v="2"/>
    <x v="1"/>
    <n v="-1400"/>
  </r>
  <r>
    <x v="43"/>
    <x v="1"/>
    <x v="11"/>
    <x v="14"/>
    <x v="3"/>
    <x v="58"/>
    <x v="90"/>
    <x v="1"/>
    <x v="99"/>
    <s v="2/2"/>
    <x v="2"/>
    <x v="2"/>
    <x v="1"/>
    <n v="-1200"/>
  </r>
  <r>
    <x v="43"/>
    <x v="1"/>
    <x v="11"/>
    <x v="14"/>
    <x v="3"/>
    <x v="46"/>
    <x v="63"/>
    <x v="1"/>
    <x v="59"/>
    <s v="5/5"/>
    <x v="1"/>
    <x v="1"/>
    <x v="1"/>
    <n v="-12200"/>
  </r>
  <r>
    <x v="43"/>
    <x v="1"/>
    <x v="6"/>
    <x v="6"/>
    <x v="0"/>
    <x v="5"/>
    <x v="8"/>
    <x v="0"/>
    <x v="0"/>
    <s v="-"/>
    <x v="0"/>
    <x v="2"/>
    <x v="4"/>
    <n v="641.37"/>
  </r>
  <r>
    <x v="43"/>
    <x v="1"/>
    <x v="11"/>
    <x v="14"/>
    <x v="3"/>
    <x v="54"/>
    <x v="75"/>
    <x v="1"/>
    <x v="76"/>
    <s v="4/4"/>
    <x v="1"/>
    <x v="2"/>
    <x v="1"/>
    <n v="-750"/>
  </r>
  <r>
    <x v="43"/>
    <x v="1"/>
    <x v="9"/>
    <x v="19"/>
    <x v="1"/>
    <x v="66"/>
    <x v="92"/>
    <x v="0"/>
    <x v="104"/>
    <s v="-"/>
    <x v="1"/>
    <x v="0"/>
    <x v="1"/>
    <n v="-1197.5999999999999"/>
  </r>
  <r>
    <x v="43"/>
    <x v="1"/>
    <x v="6"/>
    <x v="6"/>
    <x v="0"/>
    <x v="5"/>
    <x v="8"/>
    <x v="0"/>
    <x v="0"/>
    <s v="-"/>
    <x v="0"/>
    <x v="2"/>
    <x v="4"/>
    <n v="750"/>
  </r>
  <r>
    <x v="43"/>
    <x v="1"/>
    <x v="6"/>
    <x v="6"/>
    <x v="0"/>
    <x v="5"/>
    <x v="8"/>
    <x v="0"/>
    <x v="0"/>
    <s v="-"/>
    <x v="0"/>
    <x v="2"/>
    <x v="4"/>
    <n v="1200"/>
  </r>
  <r>
    <x v="44"/>
    <x v="1"/>
    <x v="10"/>
    <x v="12"/>
    <x v="2"/>
    <x v="67"/>
    <x v="93"/>
    <x v="0"/>
    <x v="105"/>
    <s v="-"/>
    <x v="1"/>
    <x v="0"/>
    <x v="1"/>
    <n v="-170"/>
  </r>
  <r>
    <x v="44"/>
    <x v="1"/>
    <x v="11"/>
    <x v="14"/>
    <x v="3"/>
    <x v="41"/>
    <x v="57"/>
    <x v="1"/>
    <x v="106"/>
    <s v="-"/>
    <x v="1"/>
    <x v="2"/>
    <x v="1"/>
    <n v="-641.37"/>
  </r>
  <r>
    <x v="45"/>
    <x v="2"/>
    <x v="7"/>
    <x v="9"/>
    <x v="1"/>
    <x v="5"/>
    <x v="12"/>
    <x v="0"/>
    <x v="107"/>
    <s v="-"/>
    <x v="4"/>
    <x v="2"/>
    <x v="1"/>
    <n v="-100"/>
  </r>
  <r>
    <x v="45"/>
    <x v="2"/>
    <x v="11"/>
    <x v="14"/>
    <x v="3"/>
    <x v="11"/>
    <x v="19"/>
    <x v="1"/>
    <x v="108"/>
    <s v="-"/>
    <x v="1"/>
    <x v="2"/>
    <x v="1"/>
    <n v="-225"/>
  </r>
  <r>
    <x v="45"/>
    <x v="2"/>
    <x v="11"/>
    <x v="14"/>
    <x v="3"/>
    <x v="19"/>
    <x v="19"/>
    <x v="1"/>
    <x v="109"/>
    <s v="-"/>
    <x v="2"/>
    <x v="2"/>
    <x v="1"/>
    <n v="-4805.63"/>
  </r>
  <r>
    <x v="45"/>
    <x v="2"/>
    <x v="3"/>
    <x v="3"/>
    <x v="0"/>
    <x v="3"/>
    <x v="3"/>
    <x v="0"/>
    <x v="107"/>
    <s v="-"/>
    <x v="2"/>
    <x v="0"/>
    <x v="2"/>
    <n v="-153908.75"/>
  </r>
  <r>
    <x v="45"/>
    <x v="2"/>
    <x v="6"/>
    <x v="6"/>
    <x v="0"/>
    <x v="5"/>
    <x v="8"/>
    <x v="0"/>
    <x v="0"/>
    <s v="-"/>
    <x v="0"/>
    <x v="2"/>
    <x v="4"/>
    <n v="1120.46"/>
  </r>
  <r>
    <x v="45"/>
    <x v="2"/>
    <x v="6"/>
    <x v="6"/>
    <x v="0"/>
    <x v="5"/>
    <x v="8"/>
    <x v="0"/>
    <x v="0"/>
    <s v="-"/>
    <x v="0"/>
    <x v="2"/>
    <x v="4"/>
    <n v="5466.49"/>
  </r>
  <r>
    <x v="45"/>
    <x v="2"/>
    <x v="11"/>
    <x v="14"/>
    <x v="3"/>
    <x v="52"/>
    <x v="70"/>
    <x v="1"/>
    <x v="67"/>
    <s v="2/5"/>
    <x v="1"/>
    <x v="2"/>
    <x v="1"/>
    <n v="-2725"/>
  </r>
  <r>
    <x v="45"/>
    <x v="2"/>
    <x v="6"/>
    <x v="6"/>
    <x v="0"/>
    <x v="5"/>
    <x v="8"/>
    <x v="0"/>
    <x v="0"/>
    <s v="-"/>
    <x v="0"/>
    <x v="2"/>
    <x v="4"/>
    <n v="2725"/>
  </r>
  <r>
    <x v="45"/>
    <x v="2"/>
    <x v="6"/>
    <x v="6"/>
    <x v="0"/>
    <x v="5"/>
    <x v="8"/>
    <x v="0"/>
    <x v="0"/>
    <s v="-"/>
    <x v="0"/>
    <x v="2"/>
    <x v="4"/>
    <n v="1737.5"/>
  </r>
  <r>
    <x v="45"/>
    <x v="2"/>
    <x v="11"/>
    <x v="14"/>
    <x v="3"/>
    <x v="28"/>
    <x v="41"/>
    <x v="1"/>
    <x v="35"/>
    <s v="3/4"/>
    <x v="1"/>
    <x v="2"/>
    <x v="1"/>
    <n v="-1737.5"/>
  </r>
  <r>
    <x v="45"/>
    <x v="2"/>
    <x v="10"/>
    <x v="12"/>
    <x v="2"/>
    <x v="68"/>
    <x v="94"/>
    <x v="0"/>
    <x v="110"/>
    <s v="-"/>
    <x v="2"/>
    <x v="0"/>
    <x v="1"/>
    <n v="-350"/>
  </r>
  <r>
    <x v="45"/>
    <x v="2"/>
    <x v="2"/>
    <x v="2"/>
    <x v="2"/>
    <x v="2"/>
    <x v="2"/>
    <x v="0"/>
    <x v="111"/>
    <s v="-"/>
    <x v="2"/>
    <x v="0"/>
    <x v="1"/>
    <n v="-1955"/>
  </r>
  <r>
    <x v="45"/>
    <x v="2"/>
    <x v="11"/>
    <x v="14"/>
    <x v="3"/>
    <x v="14"/>
    <x v="22"/>
    <x v="1"/>
    <x v="112"/>
    <s v="-"/>
    <x v="1"/>
    <x v="2"/>
    <x v="1"/>
    <n v="-306.86"/>
  </r>
  <r>
    <x v="45"/>
    <x v="2"/>
    <x v="11"/>
    <x v="14"/>
    <x v="3"/>
    <x v="18"/>
    <x v="22"/>
    <x v="1"/>
    <x v="113"/>
    <s v="-"/>
    <x v="1"/>
    <x v="2"/>
    <x v="1"/>
    <n v="-1120.46"/>
  </r>
  <r>
    <x v="45"/>
    <x v="2"/>
    <x v="1"/>
    <x v="1"/>
    <x v="1"/>
    <x v="1"/>
    <x v="1"/>
    <x v="0"/>
    <x v="114"/>
    <s v="-"/>
    <x v="1"/>
    <x v="0"/>
    <x v="1"/>
    <n v="-700"/>
  </r>
  <r>
    <x v="46"/>
    <x v="2"/>
    <x v="2"/>
    <x v="18"/>
    <x v="2"/>
    <x v="25"/>
    <x v="74"/>
    <x v="0"/>
    <x v="115"/>
    <s v="-"/>
    <x v="1"/>
    <x v="0"/>
    <x v="1"/>
    <n v="-595.32000000000005"/>
  </r>
  <r>
    <x v="47"/>
    <x v="2"/>
    <x v="6"/>
    <x v="6"/>
    <x v="0"/>
    <x v="5"/>
    <x v="8"/>
    <x v="0"/>
    <x v="0"/>
    <s v="-"/>
    <x v="0"/>
    <x v="2"/>
    <x v="4"/>
    <n v="3270.67"/>
  </r>
  <r>
    <x v="48"/>
    <x v="2"/>
    <x v="7"/>
    <x v="9"/>
    <x v="1"/>
    <x v="5"/>
    <x v="95"/>
    <x v="0"/>
    <x v="64"/>
    <s v="-"/>
    <x v="4"/>
    <x v="1"/>
    <x v="1"/>
    <n v="-58.9"/>
  </r>
  <r>
    <x v="48"/>
    <x v="2"/>
    <x v="11"/>
    <x v="14"/>
    <x v="3"/>
    <x v="58"/>
    <x v="81"/>
    <x v="1"/>
    <x v="85"/>
    <s v="2/2"/>
    <x v="2"/>
    <x v="2"/>
    <x v="1"/>
    <n v="-5244"/>
  </r>
  <r>
    <x v="48"/>
    <x v="2"/>
    <x v="11"/>
    <x v="14"/>
    <x v="3"/>
    <x v="11"/>
    <x v="19"/>
    <x v="1"/>
    <x v="10"/>
    <s v="3/3"/>
    <x v="1"/>
    <x v="2"/>
    <x v="1"/>
    <n v="-961"/>
  </r>
  <r>
    <x v="48"/>
    <x v="2"/>
    <x v="11"/>
    <x v="14"/>
    <x v="3"/>
    <x v="12"/>
    <x v="20"/>
    <x v="1"/>
    <x v="11"/>
    <s v="3/5"/>
    <x v="1"/>
    <x v="2"/>
    <x v="1"/>
    <n v="-1918"/>
  </r>
  <r>
    <x v="48"/>
    <x v="2"/>
    <x v="6"/>
    <x v="6"/>
    <x v="0"/>
    <x v="5"/>
    <x v="8"/>
    <x v="0"/>
    <x v="0"/>
    <s v="-"/>
    <x v="0"/>
    <x v="2"/>
    <x v="4"/>
    <n v="5244"/>
  </r>
  <r>
    <x v="48"/>
    <x v="2"/>
    <x v="2"/>
    <x v="2"/>
    <x v="2"/>
    <x v="41"/>
    <x v="96"/>
    <x v="0"/>
    <x v="116"/>
    <s v="-"/>
    <x v="1"/>
    <x v="0"/>
    <x v="1"/>
    <n v="-698.87"/>
  </r>
  <r>
    <x v="48"/>
    <x v="2"/>
    <x v="9"/>
    <x v="11"/>
    <x v="1"/>
    <x v="6"/>
    <x v="13"/>
    <x v="0"/>
    <x v="117"/>
    <s v="-"/>
    <x v="1"/>
    <x v="0"/>
    <x v="1"/>
    <n v="-4885"/>
  </r>
  <r>
    <x v="48"/>
    <x v="2"/>
    <x v="10"/>
    <x v="12"/>
    <x v="2"/>
    <x v="7"/>
    <x v="14"/>
    <x v="0"/>
    <x v="118"/>
    <s v="-"/>
    <x v="2"/>
    <x v="0"/>
    <x v="1"/>
    <n v="-70"/>
  </r>
  <r>
    <x v="48"/>
    <x v="2"/>
    <x v="1"/>
    <x v="13"/>
    <x v="1"/>
    <x v="9"/>
    <x v="16"/>
    <x v="0"/>
    <x v="64"/>
    <s v="-"/>
    <x v="2"/>
    <x v="0"/>
    <x v="1"/>
    <n v="-4498.5"/>
  </r>
  <r>
    <x v="49"/>
    <x v="2"/>
    <x v="11"/>
    <x v="14"/>
    <x v="3"/>
    <x v="23"/>
    <x v="34"/>
    <x v="1"/>
    <x v="119"/>
    <s v="-"/>
    <x v="1"/>
    <x v="2"/>
    <x v="1"/>
    <n v="-129"/>
  </r>
  <r>
    <x v="49"/>
    <x v="2"/>
    <x v="6"/>
    <x v="6"/>
    <x v="0"/>
    <x v="5"/>
    <x v="8"/>
    <x v="0"/>
    <x v="0"/>
    <s v="-"/>
    <x v="0"/>
    <x v="2"/>
    <x v="4"/>
    <n v="1349.92"/>
  </r>
  <r>
    <x v="49"/>
    <x v="2"/>
    <x v="2"/>
    <x v="2"/>
    <x v="2"/>
    <x v="23"/>
    <x v="34"/>
    <x v="0"/>
    <x v="120"/>
    <s v="-"/>
    <x v="1"/>
    <x v="0"/>
    <x v="1"/>
    <n v="-129"/>
  </r>
  <r>
    <x v="50"/>
    <x v="2"/>
    <x v="11"/>
    <x v="14"/>
    <x v="3"/>
    <x v="14"/>
    <x v="22"/>
    <x v="1"/>
    <x v="121"/>
    <s v="-"/>
    <x v="1"/>
    <x v="2"/>
    <x v="1"/>
    <n v="-1349.92"/>
  </r>
  <r>
    <x v="50"/>
    <x v="2"/>
    <x v="7"/>
    <x v="9"/>
    <x v="1"/>
    <x v="5"/>
    <x v="27"/>
    <x v="0"/>
    <x v="107"/>
    <s v="-"/>
    <x v="4"/>
    <x v="1"/>
    <x v="1"/>
    <n v="-10"/>
  </r>
  <r>
    <x v="50"/>
    <x v="2"/>
    <x v="6"/>
    <x v="6"/>
    <x v="0"/>
    <x v="5"/>
    <x v="7"/>
    <x v="0"/>
    <x v="0"/>
    <s v="-"/>
    <x v="0"/>
    <x v="1"/>
    <x v="4"/>
    <n v="9800"/>
  </r>
  <r>
    <x v="51"/>
    <x v="2"/>
    <x v="6"/>
    <x v="6"/>
    <x v="0"/>
    <x v="5"/>
    <x v="97"/>
    <x v="0"/>
    <x v="0"/>
    <s v="-"/>
    <x v="0"/>
    <x v="1"/>
    <x v="4"/>
    <n v="7076.7"/>
  </r>
  <r>
    <x v="51"/>
    <x v="2"/>
    <x v="6"/>
    <x v="6"/>
    <x v="0"/>
    <x v="5"/>
    <x v="98"/>
    <x v="0"/>
    <x v="0"/>
    <s v="-"/>
    <x v="0"/>
    <x v="1"/>
    <x v="4"/>
    <n v="2270.77"/>
  </r>
  <r>
    <x v="51"/>
    <x v="2"/>
    <x v="6"/>
    <x v="6"/>
    <x v="0"/>
    <x v="5"/>
    <x v="99"/>
    <x v="0"/>
    <x v="0"/>
    <s v="-"/>
    <x v="0"/>
    <x v="1"/>
    <x v="4"/>
    <n v="4138.87"/>
  </r>
  <r>
    <x v="51"/>
    <x v="2"/>
    <x v="5"/>
    <x v="5"/>
    <x v="0"/>
    <x v="4"/>
    <x v="100"/>
    <x v="0"/>
    <x v="0"/>
    <s v="-"/>
    <x v="3"/>
    <x v="1"/>
    <x v="1"/>
    <n v="-14130.79"/>
  </r>
  <r>
    <x v="51"/>
    <x v="2"/>
    <x v="4"/>
    <x v="4"/>
    <x v="0"/>
    <x v="5"/>
    <x v="101"/>
    <x v="0"/>
    <x v="0"/>
    <s v="-"/>
    <x v="3"/>
    <x v="2"/>
    <x v="3"/>
    <n v="-14130.79"/>
  </r>
  <r>
    <x v="51"/>
    <x v="2"/>
    <x v="8"/>
    <x v="10"/>
    <x v="0"/>
    <x v="4"/>
    <x v="100"/>
    <x v="0"/>
    <x v="0"/>
    <s v="-"/>
    <x v="3"/>
    <x v="2"/>
    <x v="5"/>
    <n v="14130.79"/>
  </r>
  <r>
    <x v="51"/>
    <x v="2"/>
    <x v="11"/>
    <x v="14"/>
    <x v="3"/>
    <x v="11"/>
    <x v="19"/>
    <x v="1"/>
    <x v="24"/>
    <s v="3/3"/>
    <x v="1"/>
    <x v="2"/>
    <x v="1"/>
    <n v="-391.67"/>
  </r>
  <r>
    <x v="51"/>
    <x v="2"/>
    <x v="6"/>
    <x v="6"/>
    <x v="0"/>
    <x v="5"/>
    <x v="8"/>
    <x v="0"/>
    <x v="0"/>
    <s v="-"/>
    <x v="0"/>
    <x v="2"/>
    <x v="4"/>
    <n v="313.39999999999998"/>
  </r>
  <r>
    <x v="51"/>
    <x v="2"/>
    <x v="11"/>
    <x v="14"/>
    <x v="3"/>
    <x v="22"/>
    <x v="33"/>
    <x v="1"/>
    <x v="27"/>
    <s v="5/5"/>
    <x v="2"/>
    <x v="1"/>
    <x v="1"/>
    <n v="-9800"/>
  </r>
  <r>
    <x v="51"/>
    <x v="2"/>
    <x v="9"/>
    <x v="17"/>
    <x v="1"/>
    <x v="21"/>
    <x v="32"/>
    <x v="0"/>
    <x v="122"/>
    <s v="-"/>
    <x v="2"/>
    <x v="0"/>
    <x v="1"/>
    <n v="-1120"/>
  </r>
  <r>
    <x v="51"/>
    <x v="2"/>
    <x v="10"/>
    <x v="16"/>
    <x v="2"/>
    <x v="69"/>
    <x v="102"/>
    <x v="0"/>
    <x v="123"/>
    <s v="-"/>
    <x v="2"/>
    <x v="0"/>
    <x v="1"/>
    <n v="-180"/>
  </r>
  <r>
    <x v="51"/>
    <x v="2"/>
    <x v="10"/>
    <x v="12"/>
    <x v="2"/>
    <x v="68"/>
    <x v="103"/>
    <x v="0"/>
    <x v="124"/>
    <s v="-"/>
    <x v="2"/>
    <x v="0"/>
    <x v="1"/>
    <n v="-1500"/>
  </r>
  <r>
    <x v="51"/>
    <x v="2"/>
    <x v="7"/>
    <x v="9"/>
    <x v="1"/>
    <x v="5"/>
    <x v="17"/>
    <x v="0"/>
    <x v="107"/>
    <s v="-"/>
    <x v="4"/>
    <x v="2"/>
    <x v="1"/>
    <n v="-56.5"/>
  </r>
  <r>
    <x v="52"/>
    <x v="2"/>
    <x v="3"/>
    <x v="3"/>
    <x v="0"/>
    <x v="3"/>
    <x v="3"/>
    <x v="0"/>
    <x v="107"/>
    <s v="-"/>
    <x v="2"/>
    <x v="0"/>
    <x v="2"/>
    <n v="-2370.77"/>
  </r>
  <r>
    <x v="52"/>
    <x v="2"/>
    <x v="11"/>
    <x v="14"/>
    <x v="3"/>
    <x v="19"/>
    <x v="19"/>
    <x v="1"/>
    <x v="125"/>
    <s v="-"/>
    <x v="1"/>
    <x v="2"/>
    <x v="1"/>
    <n v="-313.39999999999998"/>
  </r>
  <r>
    <x v="53"/>
    <x v="2"/>
    <x v="3"/>
    <x v="3"/>
    <x v="0"/>
    <x v="3"/>
    <x v="3"/>
    <x v="0"/>
    <x v="107"/>
    <s v="-"/>
    <x v="2"/>
    <x v="0"/>
    <x v="2"/>
    <n v="-680"/>
  </r>
  <r>
    <x v="53"/>
    <x v="2"/>
    <x v="6"/>
    <x v="6"/>
    <x v="0"/>
    <x v="5"/>
    <x v="8"/>
    <x v="0"/>
    <x v="0"/>
    <s v="-"/>
    <x v="0"/>
    <x v="2"/>
    <x v="4"/>
    <n v="5194.1000000000004"/>
  </r>
  <r>
    <x v="53"/>
    <x v="2"/>
    <x v="11"/>
    <x v="14"/>
    <x v="3"/>
    <x v="13"/>
    <x v="21"/>
    <x v="2"/>
    <x v="87"/>
    <s v="2/3"/>
    <x v="1"/>
    <x v="2"/>
    <x v="1"/>
    <n v="-5194.1000000000004"/>
  </r>
  <r>
    <x v="53"/>
    <x v="2"/>
    <x v="6"/>
    <x v="6"/>
    <x v="0"/>
    <x v="5"/>
    <x v="8"/>
    <x v="0"/>
    <x v="0"/>
    <s v="-"/>
    <x v="0"/>
    <x v="2"/>
    <x v="4"/>
    <n v="804"/>
  </r>
  <r>
    <x v="53"/>
    <x v="2"/>
    <x v="11"/>
    <x v="14"/>
    <x v="3"/>
    <x v="70"/>
    <x v="70"/>
    <x v="1"/>
    <x v="126"/>
    <s v="-"/>
    <x v="1"/>
    <x v="2"/>
    <x v="1"/>
    <n v="-3910.5"/>
  </r>
  <r>
    <x v="53"/>
    <x v="2"/>
    <x v="6"/>
    <x v="6"/>
    <x v="0"/>
    <x v="5"/>
    <x v="97"/>
    <x v="0"/>
    <x v="0"/>
    <s v="-"/>
    <x v="0"/>
    <x v="2"/>
    <x v="4"/>
    <n v="3910.5"/>
  </r>
  <r>
    <x v="54"/>
    <x v="2"/>
    <x v="6"/>
    <x v="6"/>
    <x v="0"/>
    <x v="5"/>
    <x v="8"/>
    <x v="0"/>
    <x v="0"/>
    <s v="-"/>
    <x v="0"/>
    <x v="2"/>
    <x v="4"/>
    <n v="223.5"/>
  </r>
  <r>
    <x v="54"/>
    <x v="2"/>
    <x v="11"/>
    <x v="14"/>
    <x v="3"/>
    <x v="36"/>
    <x v="50"/>
    <x v="2"/>
    <x v="127"/>
    <s v="-"/>
    <x v="1"/>
    <x v="2"/>
    <x v="1"/>
    <n v="-804"/>
  </r>
  <r>
    <x v="54"/>
    <x v="2"/>
    <x v="6"/>
    <x v="6"/>
    <x v="0"/>
    <x v="5"/>
    <x v="8"/>
    <x v="0"/>
    <x v="0"/>
    <s v="-"/>
    <x v="0"/>
    <x v="2"/>
    <x v="4"/>
    <n v="1498.87"/>
  </r>
  <r>
    <x v="54"/>
    <x v="2"/>
    <x v="2"/>
    <x v="23"/>
    <x v="2"/>
    <x v="37"/>
    <x v="51"/>
    <x v="0"/>
    <x v="128"/>
    <s v="-"/>
    <x v="1"/>
    <x v="0"/>
    <x v="1"/>
    <n v="-738.1"/>
  </r>
  <r>
    <x v="55"/>
    <x v="2"/>
    <x v="9"/>
    <x v="19"/>
    <x v="2"/>
    <x v="30"/>
    <x v="43"/>
    <x v="0"/>
    <x v="0"/>
    <s v="3/12"/>
    <x v="6"/>
    <x v="0"/>
    <x v="1"/>
    <n v="-24.16"/>
  </r>
  <r>
    <x v="55"/>
    <x v="2"/>
    <x v="13"/>
    <x v="28"/>
    <x v="2"/>
    <x v="31"/>
    <x v="104"/>
    <x v="0"/>
    <x v="0"/>
    <s v="-"/>
    <x v="6"/>
    <x v="0"/>
    <x v="5"/>
    <n v="333.09"/>
  </r>
  <r>
    <x v="55"/>
    <x v="2"/>
    <x v="9"/>
    <x v="19"/>
    <x v="2"/>
    <x v="71"/>
    <x v="105"/>
    <x v="0"/>
    <x v="0"/>
    <s v="-"/>
    <x v="6"/>
    <x v="0"/>
    <x v="1"/>
    <n v="-60"/>
  </r>
  <r>
    <x v="55"/>
    <x v="2"/>
    <x v="1"/>
    <x v="1"/>
    <x v="2"/>
    <x v="72"/>
    <x v="106"/>
    <x v="0"/>
    <x v="129"/>
    <s v="-"/>
    <x v="6"/>
    <x v="0"/>
    <x v="1"/>
    <n v="-150"/>
  </r>
  <r>
    <x v="55"/>
    <x v="2"/>
    <x v="9"/>
    <x v="19"/>
    <x v="2"/>
    <x v="31"/>
    <x v="44"/>
    <x v="0"/>
    <x v="39"/>
    <s v="12/12"/>
    <x v="6"/>
    <x v="0"/>
    <x v="1"/>
    <n v="-398.91"/>
  </r>
  <r>
    <x v="55"/>
    <x v="2"/>
    <x v="2"/>
    <x v="21"/>
    <x v="2"/>
    <x v="33"/>
    <x v="46"/>
    <x v="0"/>
    <x v="130"/>
    <s v="-"/>
    <x v="6"/>
    <x v="0"/>
    <x v="1"/>
    <n v="-235.52"/>
  </r>
  <r>
    <x v="55"/>
    <x v="2"/>
    <x v="2"/>
    <x v="2"/>
    <x v="2"/>
    <x v="23"/>
    <x v="34"/>
    <x v="0"/>
    <x v="131"/>
    <s v="-"/>
    <x v="6"/>
    <x v="0"/>
    <x v="1"/>
    <n v="-129"/>
  </r>
  <r>
    <x v="56"/>
    <x v="2"/>
    <x v="11"/>
    <x v="14"/>
    <x v="3"/>
    <x v="19"/>
    <x v="107"/>
    <x v="1"/>
    <x v="132"/>
    <s v="-"/>
    <x v="1"/>
    <x v="2"/>
    <x v="1"/>
    <n v="-223.5"/>
  </r>
  <r>
    <x v="56"/>
    <x v="2"/>
    <x v="11"/>
    <x v="14"/>
    <x v="3"/>
    <x v="27"/>
    <x v="108"/>
    <x v="1"/>
    <x v="34"/>
    <s v="3/5"/>
    <x v="6"/>
    <x v="2"/>
    <x v="1"/>
    <n v="-361.37"/>
  </r>
  <r>
    <x v="56"/>
    <x v="2"/>
    <x v="11"/>
    <x v="14"/>
    <x v="3"/>
    <x v="27"/>
    <x v="86"/>
    <x v="1"/>
    <x v="33"/>
    <s v="3/5"/>
    <x v="6"/>
    <x v="2"/>
    <x v="1"/>
    <n v="-940"/>
  </r>
  <r>
    <x v="56"/>
    <x v="2"/>
    <x v="11"/>
    <x v="14"/>
    <x v="3"/>
    <x v="73"/>
    <x v="109"/>
    <x v="1"/>
    <x v="133"/>
    <s v="-"/>
    <x v="6"/>
    <x v="2"/>
    <x v="1"/>
    <n v="-197.5"/>
  </r>
  <r>
    <x v="56"/>
    <x v="2"/>
    <x v="6"/>
    <x v="6"/>
    <x v="0"/>
    <x v="5"/>
    <x v="8"/>
    <x v="0"/>
    <x v="0"/>
    <s v="-"/>
    <x v="0"/>
    <x v="2"/>
    <x v="4"/>
    <n v="180.89"/>
  </r>
  <r>
    <x v="57"/>
    <x v="2"/>
    <x v="11"/>
    <x v="14"/>
    <x v="3"/>
    <x v="14"/>
    <x v="22"/>
    <x v="1"/>
    <x v="134"/>
    <s v="-"/>
    <x v="1"/>
    <x v="2"/>
    <x v="1"/>
    <n v="-180.89"/>
  </r>
  <r>
    <x v="58"/>
    <x v="2"/>
    <x v="2"/>
    <x v="2"/>
    <x v="2"/>
    <x v="74"/>
    <x v="110"/>
    <x v="0"/>
    <x v="135"/>
    <s v="-"/>
    <x v="1"/>
    <x v="0"/>
    <x v="1"/>
    <n v="-655"/>
  </r>
  <r>
    <x v="58"/>
    <x v="2"/>
    <x v="6"/>
    <x v="6"/>
    <x v="0"/>
    <x v="5"/>
    <x v="8"/>
    <x v="0"/>
    <x v="0"/>
    <s v="-"/>
    <x v="0"/>
    <x v="2"/>
    <x v="4"/>
    <n v="890.88"/>
  </r>
  <r>
    <x v="59"/>
    <x v="2"/>
    <x v="6"/>
    <x v="6"/>
    <x v="0"/>
    <x v="5"/>
    <x v="8"/>
    <x v="0"/>
    <x v="0"/>
    <s v="-"/>
    <x v="0"/>
    <x v="2"/>
    <x v="4"/>
    <n v="2511.41"/>
  </r>
  <r>
    <x v="59"/>
    <x v="2"/>
    <x v="11"/>
    <x v="14"/>
    <x v="3"/>
    <x v="17"/>
    <x v="26"/>
    <x v="1"/>
    <x v="136"/>
    <s v="1/3"/>
    <x v="1"/>
    <x v="2"/>
    <x v="1"/>
    <n v="-890.88"/>
  </r>
  <r>
    <x v="59"/>
    <x v="2"/>
    <x v="6"/>
    <x v="6"/>
    <x v="0"/>
    <x v="5"/>
    <x v="8"/>
    <x v="0"/>
    <x v="0"/>
    <s v="-"/>
    <x v="0"/>
    <x v="2"/>
    <x v="4"/>
    <n v="2850"/>
  </r>
  <r>
    <x v="60"/>
    <x v="2"/>
    <x v="6"/>
    <x v="6"/>
    <x v="0"/>
    <x v="5"/>
    <x v="8"/>
    <x v="0"/>
    <x v="0"/>
    <s v="-"/>
    <x v="0"/>
    <x v="2"/>
    <x v="4"/>
    <n v="1301.24"/>
  </r>
  <r>
    <x v="60"/>
    <x v="2"/>
    <x v="6"/>
    <x v="6"/>
    <x v="0"/>
    <x v="5"/>
    <x v="8"/>
    <x v="0"/>
    <x v="0"/>
    <s v="-"/>
    <x v="0"/>
    <x v="2"/>
    <x v="4"/>
    <n v="9500.52"/>
  </r>
  <r>
    <x v="60"/>
    <x v="2"/>
    <x v="11"/>
    <x v="14"/>
    <x v="3"/>
    <x v="75"/>
    <x v="111"/>
    <x v="1"/>
    <x v="137"/>
    <s v="-"/>
    <x v="2"/>
    <x v="2"/>
    <x v="1"/>
    <n v="-9500.52"/>
  </r>
  <r>
    <x v="60"/>
    <x v="2"/>
    <x v="6"/>
    <x v="6"/>
    <x v="0"/>
    <x v="5"/>
    <x v="8"/>
    <x v="0"/>
    <x v="0"/>
    <s v="-"/>
    <x v="0"/>
    <x v="2"/>
    <x v="4"/>
    <n v="12200"/>
  </r>
  <r>
    <x v="60"/>
    <x v="2"/>
    <x v="11"/>
    <x v="14"/>
    <x v="3"/>
    <x v="62"/>
    <x v="87"/>
    <x v="1"/>
    <x v="96"/>
    <s v="2/5"/>
    <x v="1"/>
    <x v="2"/>
    <x v="1"/>
    <n v="-2511.41"/>
  </r>
  <r>
    <x v="60"/>
    <x v="2"/>
    <x v="11"/>
    <x v="14"/>
    <x v="3"/>
    <x v="17"/>
    <x v="26"/>
    <x v="1"/>
    <x v="55"/>
    <s v="4/6"/>
    <x v="1"/>
    <x v="2"/>
    <x v="1"/>
    <n v="-2850"/>
  </r>
  <r>
    <x v="60"/>
    <x v="2"/>
    <x v="2"/>
    <x v="29"/>
    <x v="2"/>
    <x v="76"/>
    <x v="112"/>
    <x v="0"/>
    <x v="138"/>
    <s v="-"/>
    <x v="1"/>
    <x v="0"/>
    <x v="1"/>
    <n v="-1560"/>
  </r>
  <r>
    <x v="60"/>
    <x v="2"/>
    <x v="1"/>
    <x v="24"/>
    <x v="1"/>
    <x v="39"/>
    <x v="55"/>
    <x v="0"/>
    <x v="64"/>
    <s v="-"/>
    <x v="5"/>
    <x v="0"/>
    <x v="1"/>
    <n v="-400"/>
  </r>
  <r>
    <x v="60"/>
    <x v="2"/>
    <x v="1"/>
    <x v="24"/>
    <x v="1"/>
    <x v="38"/>
    <x v="53"/>
    <x v="0"/>
    <x v="64"/>
    <s v="-"/>
    <x v="5"/>
    <x v="0"/>
    <x v="1"/>
    <n v="-1836.5"/>
  </r>
  <r>
    <x v="60"/>
    <x v="2"/>
    <x v="2"/>
    <x v="2"/>
    <x v="2"/>
    <x v="29"/>
    <x v="113"/>
    <x v="0"/>
    <x v="139"/>
    <s v="-"/>
    <x v="1"/>
    <x v="0"/>
    <x v="1"/>
    <n v="-145.28"/>
  </r>
  <r>
    <x v="60"/>
    <x v="2"/>
    <x v="1"/>
    <x v="30"/>
    <x v="2"/>
    <x v="8"/>
    <x v="114"/>
    <x v="0"/>
    <x v="140"/>
    <s v="-"/>
    <x v="1"/>
    <x v="0"/>
    <x v="1"/>
    <n v="-387.03"/>
  </r>
  <r>
    <x v="61"/>
    <x v="2"/>
    <x v="3"/>
    <x v="3"/>
    <x v="0"/>
    <x v="3"/>
    <x v="3"/>
    <x v="0"/>
    <x v="107"/>
    <s v="-"/>
    <x v="2"/>
    <x v="0"/>
    <x v="2"/>
    <n v="-276"/>
  </r>
  <r>
    <x v="61"/>
    <x v="2"/>
    <x v="11"/>
    <x v="14"/>
    <x v="3"/>
    <x v="18"/>
    <x v="22"/>
    <x v="1"/>
    <x v="141"/>
    <s v="-"/>
    <x v="1"/>
    <x v="2"/>
    <x v="1"/>
    <n v="-1301.24"/>
  </r>
  <r>
    <x v="61"/>
    <x v="2"/>
    <x v="11"/>
    <x v="14"/>
    <x v="3"/>
    <x v="77"/>
    <x v="115"/>
    <x v="1"/>
    <x v="14"/>
    <s v="1/3"/>
    <x v="2"/>
    <x v="2"/>
    <x v="1"/>
    <n v="-12200"/>
  </r>
  <r>
    <x v="62"/>
    <x v="2"/>
    <x v="6"/>
    <x v="6"/>
    <x v="0"/>
    <x v="5"/>
    <x v="8"/>
    <x v="0"/>
    <x v="0"/>
    <s v="-"/>
    <x v="0"/>
    <x v="2"/>
    <x v="4"/>
    <n v="900"/>
  </r>
  <r>
    <x v="62"/>
    <x v="2"/>
    <x v="3"/>
    <x v="25"/>
    <x v="1"/>
    <x v="42"/>
    <x v="58"/>
    <x v="0"/>
    <x v="107"/>
    <s v="-"/>
    <x v="2"/>
    <x v="0"/>
    <x v="1"/>
    <n v="-8489.33"/>
  </r>
  <r>
    <x v="63"/>
    <x v="2"/>
    <x v="11"/>
    <x v="14"/>
    <x v="3"/>
    <x v="44"/>
    <x v="61"/>
    <x v="2"/>
    <x v="142"/>
    <s v="-"/>
    <x v="1"/>
    <x v="2"/>
    <x v="1"/>
    <n v="-900"/>
  </r>
  <r>
    <x v="63"/>
    <x v="2"/>
    <x v="6"/>
    <x v="6"/>
    <x v="0"/>
    <x v="5"/>
    <x v="8"/>
    <x v="0"/>
    <x v="0"/>
    <s v="-"/>
    <x v="0"/>
    <x v="2"/>
    <x v="4"/>
    <n v="207.63"/>
  </r>
  <r>
    <x v="63"/>
    <x v="2"/>
    <x v="1"/>
    <x v="1"/>
    <x v="2"/>
    <x v="43"/>
    <x v="60"/>
    <x v="0"/>
    <x v="143"/>
    <s v="-"/>
    <x v="1"/>
    <x v="0"/>
    <x v="1"/>
    <n v="-310"/>
  </r>
  <r>
    <x v="63"/>
    <x v="2"/>
    <x v="2"/>
    <x v="23"/>
    <x v="2"/>
    <x v="37"/>
    <x v="116"/>
    <x v="0"/>
    <x v="144"/>
    <s v="-"/>
    <x v="1"/>
    <x v="0"/>
    <x v="1"/>
    <n v="-15240"/>
  </r>
  <r>
    <x v="64"/>
    <x v="2"/>
    <x v="11"/>
    <x v="14"/>
    <x v="3"/>
    <x v="14"/>
    <x v="22"/>
    <x v="1"/>
    <x v="145"/>
    <s v="-"/>
    <x v="1"/>
    <x v="2"/>
    <x v="1"/>
    <n v="-207.63"/>
  </r>
  <r>
    <x v="64"/>
    <x v="2"/>
    <x v="8"/>
    <x v="10"/>
    <x v="0"/>
    <x v="5"/>
    <x v="117"/>
    <x v="0"/>
    <x v="0"/>
    <s v="-"/>
    <x v="3"/>
    <x v="2"/>
    <x v="5"/>
    <n v="6009.49"/>
  </r>
  <r>
    <x v="65"/>
    <x v="2"/>
    <x v="3"/>
    <x v="3"/>
    <x v="0"/>
    <x v="3"/>
    <x v="3"/>
    <x v="0"/>
    <x v="107"/>
    <s v="-"/>
    <x v="2"/>
    <x v="0"/>
    <x v="2"/>
    <n v="-278995.53999999998"/>
  </r>
  <r>
    <x v="65"/>
    <x v="2"/>
    <x v="12"/>
    <x v="27"/>
    <x v="0"/>
    <x v="50"/>
    <x v="68"/>
    <x v="0"/>
    <x v="146"/>
    <s v="-"/>
    <x v="2"/>
    <x v="0"/>
    <x v="5"/>
    <n v="1235040"/>
  </r>
  <r>
    <x v="65"/>
    <x v="2"/>
    <x v="12"/>
    <x v="27"/>
    <x v="0"/>
    <x v="50"/>
    <x v="68"/>
    <x v="0"/>
    <x v="147"/>
    <s v="-"/>
    <x v="2"/>
    <x v="0"/>
    <x v="5"/>
    <n v="557991.07200000004"/>
  </r>
  <r>
    <x v="66"/>
    <x v="2"/>
    <x v="11"/>
    <x v="14"/>
    <x v="3"/>
    <x v="78"/>
    <x v="118"/>
    <x v="1"/>
    <x v="148"/>
    <s v="1/4"/>
    <x v="1"/>
    <x v="2"/>
    <x v="1"/>
    <n v="-1360"/>
  </r>
  <r>
    <x v="66"/>
    <x v="2"/>
    <x v="11"/>
    <x v="14"/>
    <x v="3"/>
    <x v="79"/>
    <x v="119"/>
    <x v="1"/>
    <x v="149"/>
    <s v="1/4"/>
    <x v="1"/>
    <x v="2"/>
    <x v="1"/>
    <n v="-852"/>
  </r>
  <r>
    <x v="66"/>
    <x v="2"/>
    <x v="4"/>
    <x v="4"/>
    <x v="0"/>
    <x v="5"/>
    <x v="120"/>
    <x v="0"/>
    <x v="0"/>
    <s v="-"/>
    <x v="3"/>
    <x v="2"/>
    <x v="3"/>
    <n v="-6009.49"/>
  </r>
  <r>
    <x v="66"/>
    <x v="2"/>
    <x v="6"/>
    <x v="6"/>
    <x v="0"/>
    <x v="5"/>
    <x v="8"/>
    <x v="0"/>
    <x v="0"/>
    <s v="-"/>
    <x v="0"/>
    <x v="2"/>
    <x v="4"/>
    <n v="2212"/>
  </r>
  <r>
    <x v="67"/>
    <x v="3"/>
    <x v="1"/>
    <x v="1"/>
    <x v="1"/>
    <x v="1"/>
    <x v="1"/>
    <x v="0"/>
    <x v="14"/>
    <s v="-"/>
    <x v="1"/>
    <x v="0"/>
    <x v="1"/>
    <n v="-700"/>
  </r>
  <r>
    <x v="67"/>
    <x v="3"/>
    <x v="3"/>
    <x v="3"/>
    <x v="0"/>
    <x v="3"/>
    <x v="3"/>
    <x v="0"/>
    <x v="150"/>
    <s v="-"/>
    <x v="2"/>
    <x v="0"/>
    <x v="2"/>
    <n v="-77006.28"/>
  </r>
  <r>
    <x v="67"/>
    <x v="3"/>
    <x v="6"/>
    <x v="6"/>
    <x v="0"/>
    <x v="5"/>
    <x v="8"/>
    <x v="0"/>
    <x v="0"/>
    <s v="-"/>
    <x v="0"/>
    <x v="2"/>
    <x v="4"/>
    <n v="2725"/>
  </r>
  <r>
    <x v="67"/>
    <x v="3"/>
    <x v="3"/>
    <x v="3"/>
    <x v="0"/>
    <x v="3"/>
    <x v="3"/>
    <x v="0"/>
    <x v="150"/>
    <s v="-"/>
    <x v="2"/>
    <x v="0"/>
    <x v="2"/>
    <n v="-278995.53000000003"/>
  </r>
  <r>
    <x v="67"/>
    <x v="3"/>
    <x v="2"/>
    <x v="2"/>
    <x v="2"/>
    <x v="80"/>
    <x v="121"/>
    <x v="0"/>
    <x v="151"/>
    <s v="-"/>
    <x v="2"/>
    <x v="0"/>
    <x v="1"/>
    <n v="-700"/>
  </r>
  <r>
    <x v="67"/>
    <x v="3"/>
    <x v="2"/>
    <x v="2"/>
    <x v="2"/>
    <x v="2"/>
    <x v="2"/>
    <x v="0"/>
    <x v="152"/>
    <s v="-"/>
    <x v="2"/>
    <x v="0"/>
    <x v="1"/>
    <n v="-1122"/>
  </r>
  <r>
    <x v="67"/>
    <x v="3"/>
    <x v="6"/>
    <x v="6"/>
    <x v="0"/>
    <x v="5"/>
    <x v="8"/>
    <x v="0"/>
    <x v="0"/>
    <s v="-"/>
    <x v="0"/>
    <x v="2"/>
    <x v="4"/>
    <n v="1737.5"/>
  </r>
  <r>
    <x v="67"/>
    <x v="3"/>
    <x v="11"/>
    <x v="14"/>
    <x v="3"/>
    <x v="28"/>
    <x v="41"/>
    <x v="1"/>
    <x v="35"/>
    <s v="4/4"/>
    <x v="1"/>
    <x v="2"/>
    <x v="1"/>
    <n v="-1737.5"/>
  </r>
  <r>
    <x v="68"/>
    <x v="3"/>
    <x v="11"/>
    <x v="14"/>
    <x v="3"/>
    <x v="26"/>
    <x v="122"/>
    <x v="1"/>
    <x v="153"/>
    <s v="-"/>
    <x v="2"/>
    <x v="2"/>
    <x v="1"/>
    <n v="-78"/>
  </r>
  <r>
    <x v="68"/>
    <x v="3"/>
    <x v="6"/>
    <x v="6"/>
    <x v="0"/>
    <x v="5"/>
    <x v="99"/>
    <x v="0"/>
    <x v="0"/>
    <s v="-"/>
    <x v="0"/>
    <x v="2"/>
    <x v="4"/>
    <n v="78"/>
  </r>
  <r>
    <x v="68"/>
    <x v="3"/>
    <x v="4"/>
    <x v="4"/>
    <x v="0"/>
    <x v="4"/>
    <x v="123"/>
    <x v="0"/>
    <x v="0"/>
    <s v="-"/>
    <x v="2"/>
    <x v="0"/>
    <x v="3"/>
    <n v="-300000"/>
  </r>
  <r>
    <x v="68"/>
    <x v="3"/>
    <x v="7"/>
    <x v="9"/>
    <x v="1"/>
    <x v="5"/>
    <x v="12"/>
    <x v="0"/>
    <x v="150"/>
    <s v="-"/>
    <x v="4"/>
    <x v="2"/>
    <x v="1"/>
    <n v="-100"/>
  </r>
  <r>
    <x v="68"/>
    <x v="3"/>
    <x v="4"/>
    <x v="4"/>
    <x v="0"/>
    <x v="4"/>
    <x v="123"/>
    <x v="0"/>
    <x v="0"/>
    <s v="-"/>
    <x v="2"/>
    <x v="0"/>
    <x v="3"/>
    <n v="-33184.43"/>
  </r>
  <r>
    <x v="68"/>
    <x v="3"/>
    <x v="5"/>
    <x v="5"/>
    <x v="0"/>
    <x v="4"/>
    <x v="124"/>
    <x v="0"/>
    <x v="0"/>
    <s v="-"/>
    <x v="3"/>
    <x v="0"/>
    <x v="1"/>
    <n v="-50000"/>
  </r>
  <r>
    <x v="68"/>
    <x v="3"/>
    <x v="10"/>
    <x v="12"/>
    <x v="2"/>
    <x v="74"/>
    <x v="125"/>
    <x v="0"/>
    <x v="154"/>
    <s v="-"/>
    <x v="1"/>
    <x v="0"/>
    <x v="1"/>
    <n v="-70"/>
  </r>
  <r>
    <x v="68"/>
    <x v="3"/>
    <x v="8"/>
    <x v="10"/>
    <x v="0"/>
    <x v="4"/>
    <x v="124"/>
    <x v="0"/>
    <x v="0"/>
    <s v="-"/>
    <x v="3"/>
    <x v="2"/>
    <x v="5"/>
    <n v="50000"/>
  </r>
  <r>
    <x v="68"/>
    <x v="3"/>
    <x v="11"/>
    <x v="14"/>
    <x v="3"/>
    <x v="75"/>
    <x v="126"/>
    <x v="1"/>
    <x v="155"/>
    <s v="-"/>
    <x v="2"/>
    <x v="2"/>
    <x v="1"/>
    <n v="-13094.4"/>
  </r>
  <r>
    <x v="68"/>
    <x v="3"/>
    <x v="11"/>
    <x v="14"/>
    <x v="3"/>
    <x v="52"/>
    <x v="70"/>
    <x v="1"/>
    <x v="67"/>
    <s v="3/5"/>
    <x v="1"/>
    <x v="2"/>
    <x v="1"/>
    <n v="-2725"/>
  </r>
  <r>
    <x v="68"/>
    <x v="3"/>
    <x v="9"/>
    <x v="11"/>
    <x v="1"/>
    <x v="6"/>
    <x v="13"/>
    <x v="0"/>
    <x v="156"/>
    <s v="-"/>
    <x v="1"/>
    <x v="0"/>
    <x v="1"/>
    <n v="-4885"/>
  </r>
  <r>
    <x v="68"/>
    <x v="3"/>
    <x v="6"/>
    <x v="6"/>
    <x v="0"/>
    <x v="5"/>
    <x v="8"/>
    <x v="0"/>
    <x v="0"/>
    <s v="-"/>
    <x v="0"/>
    <x v="2"/>
    <x v="4"/>
    <n v="503.87"/>
  </r>
  <r>
    <x v="68"/>
    <x v="3"/>
    <x v="6"/>
    <x v="6"/>
    <x v="0"/>
    <x v="5"/>
    <x v="8"/>
    <x v="0"/>
    <x v="0"/>
    <s v="-"/>
    <x v="0"/>
    <x v="2"/>
    <x v="4"/>
    <n v="1414.13"/>
  </r>
  <r>
    <x v="68"/>
    <x v="3"/>
    <x v="2"/>
    <x v="2"/>
    <x v="2"/>
    <x v="29"/>
    <x v="127"/>
    <x v="0"/>
    <x v="157"/>
    <s v="-"/>
    <x v="1"/>
    <x v="0"/>
    <x v="1"/>
    <n v="-1347.07"/>
  </r>
  <r>
    <x v="68"/>
    <x v="3"/>
    <x v="6"/>
    <x v="6"/>
    <x v="0"/>
    <x v="5"/>
    <x v="8"/>
    <x v="0"/>
    <x v="0"/>
    <s v="-"/>
    <x v="0"/>
    <x v="2"/>
    <x v="4"/>
    <n v="258"/>
  </r>
  <r>
    <x v="68"/>
    <x v="3"/>
    <x v="4"/>
    <x v="4"/>
    <x v="0"/>
    <x v="5"/>
    <x v="128"/>
    <x v="0"/>
    <x v="0"/>
    <s v="-"/>
    <x v="3"/>
    <x v="2"/>
    <x v="3"/>
    <n v="-50000"/>
  </r>
  <r>
    <x v="68"/>
    <x v="3"/>
    <x v="6"/>
    <x v="6"/>
    <x v="0"/>
    <x v="5"/>
    <x v="99"/>
    <x v="0"/>
    <x v="0"/>
    <s v="-"/>
    <x v="0"/>
    <x v="2"/>
    <x v="4"/>
    <n v="13094.4"/>
  </r>
  <r>
    <x v="68"/>
    <x v="3"/>
    <x v="9"/>
    <x v="19"/>
    <x v="2"/>
    <x v="81"/>
    <x v="129"/>
    <x v="0"/>
    <x v="27"/>
    <s v="1/3"/>
    <x v="2"/>
    <x v="0"/>
    <x v="1"/>
    <n v="-12500"/>
  </r>
  <r>
    <x v="68"/>
    <x v="3"/>
    <x v="6"/>
    <x v="6"/>
    <x v="0"/>
    <x v="5"/>
    <x v="99"/>
    <x v="0"/>
    <x v="0"/>
    <s v="-"/>
    <x v="0"/>
    <x v="2"/>
    <x v="4"/>
    <n v="2450"/>
  </r>
  <r>
    <x v="68"/>
    <x v="3"/>
    <x v="11"/>
    <x v="14"/>
    <x v="3"/>
    <x v="82"/>
    <x v="130"/>
    <x v="1"/>
    <x v="158"/>
    <s v="1/2"/>
    <x v="2"/>
    <x v="2"/>
    <x v="1"/>
    <n v="-2450"/>
  </r>
  <r>
    <x v="69"/>
    <x v="3"/>
    <x v="10"/>
    <x v="12"/>
    <x v="2"/>
    <x v="7"/>
    <x v="14"/>
    <x v="0"/>
    <x v="159"/>
    <s v="-"/>
    <x v="2"/>
    <x v="0"/>
    <x v="1"/>
    <n v="-70"/>
  </r>
  <r>
    <x v="69"/>
    <x v="3"/>
    <x v="1"/>
    <x v="13"/>
    <x v="1"/>
    <x v="9"/>
    <x v="16"/>
    <x v="0"/>
    <x v="107"/>
    <s v="-"/>
    <x v="2"/>
    <x v="0"/>
    <x v="1"/>
    <n v="-4498.5"/>
  </r>
  <r>
    <x v="69"/>
    <x v="3"/>
    <x v="11"/>
    <x v="14"/>
    <x v="3"/>
    <x v="12"/>
    <x v="20"/>
    <x v="1"/>
    <x v="11"/>
    <s v="4/5"/>
    <x v="1"/>
    <x v="2"/>
    <x v="1"/>
    <n v="-1918"/>
  </r>
  <r>
    <x v="70"/>
    <x v="3"/>
    <x v="2"/>
    <x v="15"/>
    <x v="2"/>
    <x v="8"/>
    <x v="131"/>
    <x v="0"/>
    <x v="160"/>
    <s v="-"/>
    <x v="1"/>
    <x v="0"/>
    <x v="1"/>
    <n v="-686.5"/>
  </r>
  <r>
    <x v="70"/>
    <x v="3"/>
    <x v="11"/>
    <x v="14"/>
    <x v="3"/>
    <x v="23"/>
    <x v="34"/>
    <x v="1"/>
    <x v="161"/>
    <s v="-"/>
    <x v="1"/>
    <x v="2"/>
    <x v="1"/>
    <n v="-258"/>
  </r>
  <r>
    <x v="71"/>
    <x v="3"/>
    <x v="10"/>
    <x v="16"/>
    <x v="2"/>
    <x v="16"/>
    <x v="132"/>
    <x v="0"/>
    <x v="162"/>
    <s v="-"/>
    <x v="2"/>
    <x v="0"/>
    <x v="1"/>
    <n v="-550"/>
  </r>
  <r>
    <x v="71"/>
    <x v="3"/>
    <x v="2"/>
    <x v="15"/>
    <x v="2"/>
    <x v="16"/>
    <x v="133"/>
    <x v="0"/>
    <x v="2"/>
    <s v="-"/>
    <x v="2"/>
    <x v="0"/>
    <x v="1"/>
    <n v="-645"/>
  </r>
  <r>
    <x v="72"/>
    <x v="3"/>
    <x v="2"/>
    <x v="2"/>
    <x v="2"/>
    <x v="83"/>
    <x v="134"/>
    <x v="0"/>
    <x v="163"/>
    <s v="-"/>
    <x v="1"/>
    <x v="0"/>
    <x v="1"/>
    <n v="-130"/>
  </r>
  <r>
    <x v="72"/>
    <x v="3"/>
    <x v="9"/>
    <x v="17"/>
    <x v="1"/>
    <x v="21"/>
    <x v="32"/>
    <x v="0"/>
    <x v="164"/>
    <s v="-"/>
    <x v="2"/>
    <x v="0"/>
    <x v="1"/>
    <n v="-1120"/>
  </r>
  <r>
    <x v="72"/>
    <x v="3"/>
    <x v="2"/>
    <x v="2"/>
    <x v="2"/>
    <x v="41"/>
    <x v="135"/>
    <x v="1"/>
    <x v="165"/>
    <s v="-"/>
    <x v="1"/>
    <x v="0"/>
    <x v="1"/>
    <n v="-349.7"/>
  </r>
  <r>
    <x v="72"/>
    <x v="3"/>
    <x v="3"/>
    <x v="3"/>
    <x v="0"/>
    <x v="3"/>
    <x v="3"/>
    <x v="0"/>
    <x v="150"/>
    <s v="-"/>
    <x v="2"/>
    <x v="0"/>
    <x v="2"/>
    <n v="-2530.29"/>
  </r>
  <r>
    <x v="72"/>
    <x v="3"/>
    <x v="2"/>
    <x v="31"/>
    <x v="2"/>
    <x v="84"/>
    <x v="136"/>
    <x v="0"/>
    <x v="166"/>
    <s v="-"/>
    <x v="2"/>
    <x v="0"/>
    <x v="1"/>
    <n v="-5000"/>
  </r>
  <r>
    <x v="72"/>
    <x v="3"/>
    <x v="6"/>
    <x v="6"/>
    <x v="0"/>
    <x v="5"/>
    <x v="8"/>
    <x v="0"/>
    <x v="0"/>
    <s v="-"/>
    <x v="0"/>
    <x v="2"/>
    <x v="4"/>
    <n v="5194.1000000000004"/>
  </r>
  <r>
    <x v="73"/>
    <x v="3"/>
    <x v="7"/>
    <x v="9"/>
    <x v="1"/>
    <x v="5"/>
    <x v="17"/>
    <x v="0"/>
    <x v="150"/>
    <s v="-"/>
    <x v="4"/>
    <x v="2"/>
    <x v="1"/>
    <n v="-56.5"/>
  </r>
  <r>
    <x v="74"/>
    <x v="3"/>
    <x v="11"/>
    <x v="14"/>
    <x v="3"/>
    <x v="13"/>
    <x v="21"/>
    <x v="2"/>
    <x v="87"/>
    <s v="3/3"/>
    <x v="1"/>
    <x v="2"/>
    <x v="1"/>
    <n v="-5194.1000000000004"/>
  </r>
  <r>
    <x v="75"/>
    <x v="3"/>
    <x v="3"/>
    <x v="3"/>
    <x v="0"/>
    <x v="3"/>
    <x v="3"/>
    <x v="0"/>
    <x v="150"/>
    <s v="-"/>
    <x v="2"/>
    <x v="0"/>
    <x v="2"/>
    <n v="-600"/>
  </r>
  <r>
    <x v="75"/>
    <x v="3"/>
    <x v="6"/>
    <x v="6"/>
    <x v="0"/>
    <x v="5"/>
    <x v="8"/>
    <x v="0"/>
    <x v="0"/>
    <s v="-"/>
    <x v="0"/>
    <x v="2"/>
    <x v="4"/>
    <n v="3000"/>
  </r>
  <r>
    <x v="75"/>
    <x v="3"/>
    <x v="11"/>
    <x v="14"/>
    <x v="3"/>
    <x v="75"/>
    <x v="137"/>
    <x v="1"/>
    <x v="167"/>
    <s v="-"/>
    <x v="2"/>
    <x v="2"/>
    <x v="1"/>
    <n v="-3000"/>
  </r>
  <r>
    <x v="76"/>
    <x v="3"/>
    <x v="2"/>
    <x v="23"/>
    <x v="2"/>
    <x v="37"/>
    <x v="51"/>
    <x v="0"/>
    <x v="168"/>
    <s v="-"/>
    <x v="1"/>
    <x v="0"/>
    <x v="1"/>
    <n v="-2864.5"/>
  </r>
  <r>
    <x v="76"/>
    <x v="3"/>
    <x v="9"/>
    <x v="19"/>
    <x v="2"/>
    <x v="31"/>
    <x v="138"/>
    <x v="0"/>
    <x v="0"/>
    <s v="-"/>
    <x v="6"/>
    <x v="0"/>
    <x v="1"/>
    <n v="-333.09"/>
  </r>
  <r>
    <x v="76"/>
    <x v="3"/>
    <x v="9"/>
    <x v="19"/>
    <x v="2"/>
    <x v="30"/>
    <x v="43"/>
    <x v="0"/>
    <x v="0"/>
    <s v="4/12"/>
    <x v="6"/>
    <x v="0"/>
    <x v="1"/>
    <n v="-24.16"/>
  </r>
  <r>
    <x v="76"/>
    <x v="3"/>
    <x v="9"/>
    <x v="19"/>
    <x v="2"/>
    <x v="31"/>
    <x v="44"/>
    <x v="0"/>
    <x v="169"/>
    <s v="1/12"/>
    <x v="6"/>
    <x v="0"/>
    <x v="1"/>
    <n v="-413.38"/>
  </r>
  <r>
    <x v="76"/>
    <x v="3"/>
    <x v="11"/>
    <x v="14"/>
    <x v="3"/>
    <x v="85"/>
    <x v="139"/>
    <x v="1"/>
    <x v="170"/>
    <s v="1/6"/>
    <x v="6"/>
    <x v="2"/>
    <x v="1"/>
    <n v="-146.77000000000001"/>
  </r>
  <r>
    <x v="76"/>
    <x v="3"/>
    <x v="2"/>
    <x v="21"/>
    <x v="2"/>
    <x v="33"/>
    <x v="46"/>
    <x v="0"/>
    <x v="171"/>
    <s v="-"/>
    <x v="6"/>
    <x v="0"/>
    <x v="1"/>
    <n v="-235.52"/>
  </r>
  <r>
    <x v="76"/>
    <x v="3"/>
    <x v="1"/>
    <x v="1"/>
    <x v="2"/>
    <x v="72"/>
    <x v="106"/>
    <x v="0"/>
    <x v="172"/>
    <s v="-"/>
    <x v="6"/>
    <x v="0"/>
    <x v="1"/>
    <n v="-150"/>
  </r>
  <r>
    <x v="76"/>
    <x v="3"/>
    <x v="11"/>
    <x v="14"/>
    <x v="3"/>
    <x v="86"/>
    <x v="140"/>
    <x v="1"/>
    <x v="173"/>
    <s v="-"/>
    <x v="6"/>
    <x v="2"/>
    <x v="1"/>
    <n v="-47.6"/>
  </r>
  <r>
    <x v="76"/>
    <x v="3"/>
    <x v="11"/>
    <x v="14"/>
    <x v="3"/>
    <x v="27"/>
    <x v="40"/>
    <x v="1"/>
    <x v="34"/>
    <s v="4/5"/>
    <x v="6"/>
    <x v="2"/>
    <x v="1"/>
    <n v="-361.37"/>
  </r>
  <r>
    <x v="76"/>
    <x v="3"/>
    <x v="11"/>
    <x v="14"/>
    <x v="3"/>
    <x v="27"/>
    <x v="86"/>
    <x v="1"/>
    <x v="33"/>
    <s v="4/5"/>
    <x v="6"/>
    <x v="2"/>
    <x v="1"/>
    <n v="-940"/>
  </r>
  <r>
    <x v="76"/>
    <x v="3"/>
    <x v="11"/>
    <x v="14"/>
    <x v="3"/>
    <x v="87"/>
    <x v="141"/>
    <x v="1"/>
    <x v="174"/>
    <s v="1/8"/>
    <x v="6"/>
    <x v="2"/>
    <x v="1"/>
    <n v="-2288.41"/>
  </r>
  <r>
    <x v="76"/>
    <x v="3"/>
    <x v="6"/>
    <x v="6"/>
    <x v="0"/>
    <x v="5"/>
    <x v="8"/>
    <x v="0"/>
    <x v="0"/>
    <s v="-"/>
    <x v="0"/>
    <x v="2"/>
    <x v="4"/>
    <n v="7520.15"/>
  </r>
  <r>
    <x v="76"/>
    <x v="3"/>
    <x v="6"/>
    <x v="6"/>
    <x v="0"/>
    <x v="5"/>
    <x v="8"/>
    <x v="0"/>
    <x v="0"/>
    <s v="-"/>
    <x v="0"/>
    <x v="2"/>
    <x v="4"/>
    <n v="890"/>
  </r>
  <r>
    <x v="76"/>
    <x v="3"/>
    <x v="11"/>
    <x v="14"/>
    <x v="3"/>
    <x v="88"/>
    <x v="142"/>
    <x v="1"/>
    <x v="175"/>
    <s v="1/2"/>
    <x v="6"/>
    <x v="2"/>
    <x v="1"/>
    <n v="-481.5"/>
  </r>
  <r>
    <x v="76"/>
    <x v="3"/>
    <x v="11"/>
    <x v="14"/>
    <x v="3"/>
    <x v="89"/>
    <x v="143"/>
    <x v="1"/>
    <x v="176"/>
    <s v="-"/>
    <x v="6"/>
    <x v="2"/>
    <x v="1"/>
    <n v="-3242"/>
  </r>
  <r>
    <x v="76"/>
    <x v="3"/>
    <x v="6"/>
    <x v="6"/>
    <x v="0"/>
    <x v="5"/>
    <x v="8"/>
    <x v="0"/>
    <x v="0"/>
    <s v="-"/>
    <x v="0"/>
    <x v="2"/>
    <x v="4"/>
    <n v="1545.65"/>
  </r>
  <r>
    <x v="76"/>
    <x v="3"/>
    <x v="7"/>
    <x v="32"/>
    <x v="2"/>
    <x v="5"/>
    <x v="144"/>
    <x v="0"/>
    <x v="150"/>
    <s v="1/12"/>
    <x v="6"/>
    <x v="2"/>
    <x v="1"/>
    <n v="-12.5"/>
  </r>
  <r>
    <x v="77"/>
    <x v="3"/>
    <x v="2"/>
    <x v="18"/>
    <x v="2"/>
    <x v="25"/>
    <x v="145"/>
    <x v="0"/>
    <x v="177"/>
    <s v="-"/>
    <x v="1"/>
    <x v="0"/>
    <x v="1"/>
    <n v="-851.7"/>
  </r>
  <r>
    <x v="77"/>
    <x v="3"/>
    <x v="11"/>
    <x v="14"/>
    <x v="3"/>
    <x v="17"/>
    <x v="26"/>
    <x v="1"/>
    <x v="136"/>
    <s v="2/3"/>
    <x v="1"/>
    <x v="2"/>
    <x v="1"/>
    <n v="-890"/>
  </r>
  <r>
    <x v="77"/>
    <x v="3"/>
    <x v="6"/>
    <x v="6"/>
    <x v="0"/>
    <x v="5"/>
    <x v="8"/>
    <x v="0"/>
    <x v="0"/>
    <s v="-"/>
    <x v="0"/>
    <x v="2"/>
    <x v="4"/>
    <n v="2850"/>
  </r>
  <r>
    <x v="77"/>
    <x v="3"/>
    <x v="11"/>
    <x v="14"/>
    <x v="3"/>
    <x v="14"/>
    <x v="22"/>
    <x v="1"/>
    <x v="178"/>
    <s v="-"/>
    <x v="1"/>
    <x v="2"/>
    <x v="1"/>
    <n v="-1545.65"/>
  </r>
  <r>
    <x v="77"/>
    <x v="3"/>
    <x v="6"/>
    <x v="6"/>
    <x v="0"/>
    <x v="5"/>
    <x v="8"/>
    <x v="0"/>
    <x v="0"/>
    <s v="-"/>
    <x v="0"/>
    <x v="2"/>
    <x v="4"/>
    <n v="1900.1"/>
  </r>
  <r>
    <x v="77"/>
    <x v="3"/>
    <x v="11"/>
    <x v="14"/>
    <x v="3"/>
    <x v="90"/>
    <x v="146"/>
    <x v="1"/>
    <x v="179"/>
    <s v="-"/>
    <x v="2"/>
    <x v="2"/>
    <x v="1"/>
    <n v="-6000"/>
  </r>
  <r>
    <x v="77"/>
    <x v="3"/>
    <x v="6"/>
    <x v="6"/>
    <x v="0"/>
    <x v="5"/>
    <x v="8"/>
    <x v="0"/>
    <x v="0"/>
    <s v="-"/>
    <x v="0"/>
    <x v="2"/>
    <x v="4"/>
    <n v="6000"/>
  </r>
  <r>
    <x v="78"/>
    <x v="3"/>
    <x v="2"/>
    <x v="18"/>
    <x v="2"/>
    <x v="91"/>
    <x v="147"/>
    <x v="0"/>
    <x v="180"/>
    <s v="-"/>
    <x v="2"/>
    <x v="0"/>
    <x v="1"/>
    <n v="-250"/>
  </r>
  <r>
    <x v="78"/>
    <x v="3"/>
    <x v="2"/>
    <x v="2"/>
    <x v="2"/>
    <x v="92"/>
    <x v="148"/>
    <x v="0"/>
    <x v="181"/>
    <s v="-"/>
    <x v="1"/>
    <x v="0"/>
    <x v="1"/>
    <n v="-280"/>
  </r>
  <r>
    <x v="78"/>
    <x v="3"/>
    <x v="8"/>
    <x v="10"/>
    <x v="0"/>
    <x v="4"/>
    <x v="37"/>
    <x v="0"/>
    <x v="0"/>
    <s v="-"/>
    <x v="2"/>
    <x v="0"/>
    <x v="5"/>
    <n v="1900.1"/>
  </r>
  <r>
    <x v="78"/>
    <x v="3"/>
    <x v="11"/>
    <x v="14"/>
    <x v="3"/>
    <x v="17"/>
    <x v="26"/>
    <x v="1"/>
    <x v="55"/>
    <s v="5/6"/>
    <x v="1"/>
    <x v="2"/>
    <x v="1"/>
    <n v="-2850"/>
  </r>
  <r>
    <x v="78"/>
    <x v="3"/>
    <x v="6"/>
    <x v="6"/>
    <x v="0"/>
    <x v="5"/>
    <x v="8"/>
    <x v="0"/>
    <x v="0"/>
    <s v="-"/>
    <x v="0"/>
    <x v="2"/>
    <x v="4"/>
    <n v="2511.41"/>
  </r>
  <r>
    <x v="78"/>
    <x v="3"/>
    <x v="6"/>
    <x v="6"/>
    <x v="0"/>
    <x v="5"/>
    <x v="8"/>
    <x v="0"/>
    <x v="0"/>
    <s v="-"/>
    <x v="0"/>
    <x v="2"/>
    <x v="4"/>
    <n v="66.33"/>
  </r>
  <r>
    <x v="78"/>
    <x v="3"/>
    <x v="5"/>
    <x v="5"/>
    <x v="0"/>
    <x v="4"/>
    <x v="37"/>
    <x v="0"/>
    <x v="0"/>
    <s v="-"/>
    <x v="2"/>
    <x v="2"/>
    <x v="1"/>
    <n v="-1900.1"/>
  </r>
  <r>
    <x v="79"/>
    <x v="3"/>
    <x v="11"/>
    <x v="14"/>
    <x v="3"/>
    <x v="62"/>
    <x v="87"/>
    <x v="1"/>
    <x v="96"/>
    <s v="3/5"/>
    <x v="1"/>
    <x v="2"/>
    <x v="1"/>
    <n v="-2511.41"/>
  </r>
  <r>
    <x v="80"/>
    <x v="3"/>
    <x v="11"/>
    <x v="14"/>
    <x v="3"/>
    <x v="19"/>
    <x v="149"/>
    <x v="1"/>
    <x v="182"/>
    <s v="-"/>
    <x v="1"/>
    <x v="2"/>
    <x v="1"/>
    <n v="-66.33"/>
  </r>
  <r>
    <x v="80"/>
    <x v="3"/>
    <x v="2"/>
    <x v="2"/>
    <x v="2"/>
    <x v="29"/>
    <x v="150"/>
    <x v="0"/>
    <x v="183"/>
    <s v="-"/>
    <x v="1"/>
    <x v="0"/>
    <x v="1"/>
    <n v="-510.39"/>
  </r>
  <r>
    <x v="80"/>
    <x v="3"/>
    <x v="1"/>
    <x v="24"/>
    <x v="1"/>
    <x v="39"/>
    <x v="55"/>
    <x v="0"/>
    <x v="107"/>
    <s v="-"/>
    <x v="5"/>
    <x v="0"/>
    <x v="1"/>
    <n v="-400"/>
  </r>
  <r>
    <x v="80"/>
    <x v="3"/>
    <x v="1"/>
    <x v="24"/>
    <x v="1"/>
    <x v="38"/>
    <x v="53"/>
    <x v="0"/>
    <x v="107"/>
    <s v="-"/>
    <x v="5"/>
    <x v="0"/>
    <x v="1"/>
    <n v="-1836.5"/>
  </r>
  <r>
    <x v="80"/>
    <x v="3"/>
    <x v="11"/>
    <x v="14"/>
    <x v="3"/>
    <x v="38"/>
    <x v="151"/>
    <x v="1"/>
    <x v="137"/>
    <s v="-"/>
    <x v="5"/>
    <x v="0"/>
    <x v="1"/>
    <n v="-1900.1"/>
  </r>
  <r>
    <x v="80"/>
    <x v="3"/>
    <x v="11"/>
    <x v="14"/>
    <x v="3"/>
    <x v="18"/>
    <x v="22"/>
    <x v="1"/>
    <x v="184"/>
    <s v="-"/>
    <x v="1"/>
    <x v="2"/>
    <x v="1"/>
    <n v="-1040.79"/>
  </r>
  <r>
    <x v="80"/>
    <x v="3"/>
    <x v="6"/>
    <x v="6"/>
    <x v="0"/>
    <x v="5"/>
    <x v="8"/>
    <x v="0"/>
    <x v="0"/>
    <s v="-"/>
    <x v="0"/>
    <x v="2"/>
    <x v="4"/>
    <n v="1040.79"/>
  </r>
  <r>
    <x v="81"/>
    <x v="3"/>
    <x v="11"/>
    <x v="14"/>
    <x v="3"/>
    <x v="77"/>
    <x v="115"/>
    <x v="1"/>
    <x v="14"/>
    <s v="2/3"/>
    <x v="2"/>
    <x v="2"/>
    <x v="1"/>
    <n v="-12200"/>
  </r>
  <r>
    <x v="81"/>
    <x v="3"/>
    <x v="6"/>
    <x v="6"/>
    <x v="0"/>
    <x v="5"/>
    <x v="8"/>
    <x v="0"/>
    <x v="0"/>
    <s v="-"/>
    <x v="0"/>
    <x v="2"/>
    <x v="4"/>
    <n v="12200"/>
  </r>
  <r>
    <x v="82"/>
    <x v="3"/>
    <x v="3"/>
    <x v="3"/>
    <x v="0"/>
    <x v="3"/>
    <x v="3"/>
    <x v="0"/>
    <x v="150"/>
    <s v="-"/>
    <x v="2"/>
    <x v="0"/>
    <x v="2"/>
    <n v="-2390"/>
  </r>
  <r>
    <x v="82"/>
    <x v="3"/>
    <x v="3"/>
    <x v="25"/>
    <x v="1"/>
    <x v="42"/>
    <x v="58"/>
    <x v="0"/>
    <x v="150"/>
    <s v="-"/>
    <x v="2"/>
    <x v="0"/>
    <x v="1"/>
    <n v="-8489.33"/>
  </r>
  <r>
    <x v="82"/>
    <x v="3"/>
    <x v="1"/>
    <x v="1"/>
    <x v="2"/>
    <x v="43"/>
    <x v="59"/>
    <x v="0"/>
    <x v="185"/>
    <s v="-"/>
    <x v="1"/>
    <x v="0"/>
    <x v="1"/>
    <n v="-540"/>
  </r>
  <r>
    <x v="82"/>
    <x v="3"/>
    <x v="6"/>
    <x v="6"/>
    <x v="0"/>
    <x v="5"/>
    <x v="8"/>
    <x v="0"/>
    <x v="0"/>
    <s v="-"/>
    <x v="0"/>
    <x v="2"/>
    <x v="4"/>
    <n v="1911.52"/>
  </r>
  <r>
    <x v="82"/>
    <x v="3"/>
    <x v="1"/>
    <x v="1"/>
    <x v="2"/>
    <x v="43"/>
    <x v="60"/>
    <x v="0"/>
    <x v="186"/>
    <s v="-"/>
    <x v="1"/>
    <x v="0"/>
    <x v="1"/>
    <n v="-930"/>
  </r>
  <r>
    <x v="83"/>
    <x v="3"/>
    <x v="11"/>
    <x v="22"/>
    <x v="2"/>
    <x v="19"/>
    <x v="152"/>
    <x v="0"/>
    <x v="187"/>
    <s v="-"/>
    <x v="2"/>
    <x v="0"/>
    <x v="1"/>
    <n v="-48.9"/>
  </r>
  <r>
    <x v="84"/>
    <x v="3"/>
    <x v="11"/>
    <x v="14"/>
    <x v="3"/>
    <x v="78"/>
    <x v="118"/>
    <x v="1"/>
    <x v="148"/>
    <s v="2/4"/>
    <x v="1"/>
    <x v="2"/>
    <x v="1"/>
    <n v="-1059.22"/>
  </r>
  <r>
    <x v="84"/>
    <x v="3"/>
    <x v="11"/>
    <x v="14"/>
    <x v="3"/>
    <x v="79"/>
    <x v="119"/>
    <x v="1"/>
    <x v="149"/>
    <s v="2/4"/>
    <x v="1"/>
    <x v="2"/>
    <x v="1"/>
    <n v="-852.3"/>
  </r>
  <r>
    <x v="85"/>
    <x v="3"/>
    <x v="6"/>
    <x v="6"/>
    <x v="0"/>
    <x v="5"/>
    <x v="8"/>
    <x v="0"/>
    <x v="0"/>
    <s v="-"/>
    <x v="0"/>
    <x v="2"/>
    <x v="4"/>
    <n v="6000"/>
  </r>
  <r>
    <x v="85"/>
    <x v="3"/>
    <x v="6"/>
    <x v="6"/>
    <x v="0"/>
    <x v="5"/>
    <x v="8"/>
    <x v="0"/>
    <x v="0"/>
    <s v="-"/>
    <x v="0"/>
    <x v="2"/>
    <x v="4"/>
    <n v="8727.7999999999993"/>
  </r>
  <r>
    <x v="85"/>
    <x v="3"/>
    <x v="3"/>
    <x v="3"/>
    <x v="0"/>
    <x v="3"/>
    <x v="3"/>
    <x v="0"/>
    <x v="150"/>
    <s v="-"/>
    <x v="2"/>
    <x v="0"/>
    <x v="2"/>
    <n v="-68428.459999999992"/>
  </r>
  <r>
    <x v="85"/>
    <x v="3"/>
    <x v="6"/>
    <x v="6"/>
    <x v="0"/>
    <x v="5"/>
    <x v="8"/>
    <x v="0"/>
    <x v="0"/>
    <s v="-"/>
    <x v="0"/>
    <x v="2"/>
    <x v="4"/>
    <n v="2450"/>
  </r>
  <r>
    <x v="85"/>
    <x v="3"/>
    <x v="11"/>
    <x v="14"/>
    <x v="3"/>
    <x v="75"/>
    <x v="153"/>
    <x v="1"/>
    <x v="188"/>
    <s v="-"/>
    <x v="2"/>
    <x v="2"/>
    <x v="1"/>
    <n v="-8727.7999999999993"/>
  </r>
  <r>
    <x v="85"/>
    <x v="3"/>
    <x v="11"/>
    <x v="14"/>
    <x v="3"/>
    <x v="90"/>
    <x v="146"/>
    <x v="1"/>
    <x v="167"/>
    <s v="-"/>
    <x v="2"/>
    <x v="2"/>
    <x v="1"/>
    <n v="-6000"/>
  </r>
  <r>
    <x v="85"/>
    <x v="3"/>
    <x v="11"/>
    <x v="14"/>
    <x v="3"/>
    <x v="82"/>
    <x v="130"/>
    <x v="1"/>
    <x v="189"/>
    <s v="2/2"/>
    <x v="2"/>
    <x v="2"/>
    <x v="1"/>
    <n v="-2450"/>
  </r>
  <r>
    <x v="86"/>
    <x v="3"/>
    <x v="9"/>
    <x v="26"/>
    <x v="1"/>
    <x v="47"/>
    <x v="154"/>
    <x v="0"/>
    <x v="4"/>
    <s v="-"/>
    <x v="5"/>
    <x v="0"/>
    <x v="1"/>
    <n v="-31602.45"/>
  </r>
  <r>
    <x v="86"/>
    <x v="3"/>
    <x v="9"/>
    <x v="26"/>
    <x v="1"/>
    <x v="47"/>
    <x v="155"/>
    <x v="0"/>
    <x v="4"/>
    <s v="-"/>
    <x v="5"/>
    <x v="0"/>
    <x v="1"/>
    <n v="-52591.67"/>
  </r>
  <r>
    <x v="87"/>
    <x v="4"/>
    <x v="6"/>
    <x v="6"/>
    <x v="0"/>
    <x v="5"/>
    <x v="8"/>
    <x v="0"/>
    <x v="0"/>
    <s v="-"/>
    <x v="0"/>
    <x v="2"/>
    <x v="6"/>
    <n v="91063.179999999906"/>
  </r>
  <r>
    <x v="87"/>
    <x v="4"/>
    <x v="6"/>
    <x v="6"/>
    <x v="0"/>
    <x v="5"/>
    <x v="8"/>
    <x v="0"/>
    <x v="0"/>
    <s v="-"/>
    <x v="0"/>
    <x v="2"/>
    <x v="7"/>
    <n v="2725"/>
  </r>
  <r>
    <x v="88"/>
    <x v="4"/>
    <x v="1"/>
    <x v="1"/>
    <x v="1"/>
    <x v="1"/>
    <x v="1"/>
    <x v="0"/>
    <x v="14"/>
    <s v="-"/>
    <x v="1"/>
    <x v="0"/>
    <x v="8"/>
    <n v="-700"/>
  </r>
  <r>
    <x v="88"/>
    <x v="4"/>
    <x v="2"/>
    <x v="2"/>
    <x v="2"/>
    <x v="2"/>
    <x v="2"/>
    <x v="0"/>
    <x v="190"/>
    <s v="-"/>
    <x v="2"/>
    <x v="0"/>
    <x v="8"/>
    <n v="-514"/>
  </r>
  <r>
    <x v="88"/>
    <x v="4"/>
    <x v="2"/>
    <x v="15"/>
    <x v="2"/>
    <x v="16"/>
    <x v="156"/>
    <x v="0"/>
    <x v="191"/>
    <s v="-"/>
    <x v="2"/>
    <x v="0"/>
    <x v="8"/>
    <n v="-220"/>
  </r>
  <r>
    <x v="88"/>
    <x v="4"/>
    <x v="2"/>
    <x v="2"/>
    <x v="2"/>
    <x v="23"/>
    <x v="34"/>
    <x v="1"/>
    <x v="192"/>
    <s v="-"/>
    <x v="1"/>
    <x v="2"/>
    <x v="8"/>
    <n v="-135"/>
  </r>
  <r>
    <x v="88"/>
    <x v="4"/>
    <x v="11"/>
    <x v="14"/>
    <x v="3"/>
    <x v="52"/>
    <x v="70"/>
    <x v="1"/>
    <x v="67"/>
    <s v="4/5"/>
    <x v="1"/>
    <x v="2"/>
    <x v="8"/>
    <n v="-2725"/>
  </r>
  <r>
    <x v="88"/>
    <x v="4"/>
    <x v="6"/>
    <x v="6"/>
    <x v="0"/>
    <x v="5"/>
    <x v="8"/>
    <x v="0"/>
    <x v="0"/>
    <s v="-"/>
    <x v="0"/>
    <x v="2"/>
    <x v="7"/>
    <n v="1918"/>
  </r>
  <r>
    <x v="88"/>
    <x v="4"/>
    <x v="6"/>
    <x v="6"/>
    <x v="0"/>
    <x v="5"/>
    <x v="8"/>
    <x v="0"/>
    <x v="0"/>
    <s v="-"/>
    <x v="0"/>
    <x v="2"/>
    <x v="7"/>
    <n v="456.39"/>
  </r>
  <r>
    <x v="89"/>
    <x v="4"/>
    <x v="7"/>
    <x v="9"/>
    <x v="1"/>
    <x v="5"/>
    <x v="12"/>
    <x v="0"/>
    <x v="193"/>
    <s v="-"/>
    <x v="4"/>
    <x v="2"/>
    <x v="8"/>
    <n v="-100"/>
  </r>
  <r>
    <x v="89"/>
    <x v="4"/>
    <x v="10"/>
    <x v="12"/>
    <x v="2"/>
    <x v="7"/>
    <x v="14"/>
    <x v="0"/>
    <x v="14"/>
    <s v="-"/>
    <x v="2"/>
    <x v="0"/>
    <x v="8"/>
    <n v="-70"/>
  </r>
  <r>
    <x v="89"/>
    <x v="4"/>
    <x v="11"/>
    <x v="14"/>
    <x v="3"/>
    <x v="93"/>
    <x v="157"/>
    <x v="1"/>
    <x v="14"/>
    <s v="-"/>
    <x v="2"/>
    <x v="2"/>
    <x v="9"/>
    <n v="-2695"/>
  </r>
  <r>
    <x v="89"/>
    <x v="4"/>
    <x v="3"/>
    <x v="3"/>
    <x v="0"/>
    <x v="3"/>
    <x v="3"/>
    <x v="0"/>
    <x v="193"/>
    <s v="-"/>
    <x v="2"/>
    <x v="0"/>
    <x v="10"/>
    <n v="-27714.75"/>
  </r>
  <r>
    <x v="89"/>
    <x v="4"/>
    <x v="9"/>
    <x v="11"/>
    <x v="1"/>
    <x v="6"/>
    <x v="13"/>
    <x v="0"/>
    <x v="194"/>
    <s v="-"/>
    <x v="1"/>
    <x v="0"/>
    <x v="8"/>
    <n v="-4885"/>
  </r>
  <r>
    <x v="89"/>
    <x v="4"/>
    <x v="1"/>
    <x v="13"/>
    <x v="1"/>
    <x v="9"/>
    <x v="16"/>
    <x v="0"/>
    <x v="150"/>
    <s v="-"/>
    <x v="2"/>
    <x v="0"/>
    <x v="8"/>
    <n v="-4498.5"/>
  </r>
  <r>
    <x v="89"/>
    <x v="4"/>
    <x v="11"/>
    <x v="14"/>
    <x v="3"/>
    <x v="12"/>
    <x v="20"/>
    <x v="1"/>
    <x v="11"/>
    <s v="5/5"/>
    <x v="1"/>
    <x v="2"/>
    <x v="8"/>
    <n v="-1918"/>
  </r>
  <r>
    <x v="90"/>
    <x v="4"/>
    <x v="1"/>
    <x v="1"/>
    <x v="2"/>
    <x v="72"/>
    <x v="106"/>
    <x v="0"/>
    <x v="195"/>
    <s v="-"/>
    <x v="2"/>
    <x v="0"/>
    <x v="8"/>
    <n v="-150"/>
  </r>
  <r>
    <x v="88"/>
    <x v="4"/>
    <x v="11"/>
    <x v="14"/>
    <x v="3"/>
    <x v="23"/>
    <x v="34"/>
    <x v="1"/>
    <x v="196"/>
    <s v="-"/>
    <x v="1"/>
    <x v="2"/>
    <x v="8"/>
    <n v="-270"/>
  </r>
  <r>
    <x v="89"/>
    <x v="4"/>
    <x v="11"/>
    <x v="14"/>
    <x v="3"/>
    <x v="14"/>
    <x v="22"/>
    <x v="1"/>
    <x v="197"/>
    <s v="-"/>
    <x v="1"/>
    <x v="2"/>
    <x v="8"/>
    <n v="-186.39"/>
  </r>
  <r>
    <x v="91"/>
    <x v="4"/>
    <x v="2"/>
    <x v="15"/>
    <x v="2"/>
    <x v="55"/>
    <x v="158"/>
    <x v="0"/>
    <x v="198"/>
    <s v="-"/>
    <x v="1"/>
    <x v="0"/>
    <x v="8"/>
    <n v="-60"/>
  </r>
  <r>
    <x v="91"/>
    <x v="4"/>
    <x v="2"/>
    <x v="15"/>
    <x v="2"/>
    <x v="94"/>
    <x v="159"/>
    <x v="0"/>
    <x v="199"/>
    <s v="-"/>
    <x v="1"/>
    <x v="0"/>
    <x v="8"/>
    <n v="-434"/>
  </r>
  <r>
    <x v="91"/>
    <x v="4"/>
    <x v="2"/>
    <x v="33"/>
    <x v="2"/>
    <x v="92"/>
    <x v="160"/>
    <x v="0"/>
    <x v="200"/>
    <s v="-"/>
    <x v="1"/>
    <x v="0"/>
    <x v="8"/>
    <n v="-176"/>
  </r>
  <r>
    <x v="91"/>
    <x v="4"/>
    <x v="2"/>
    <x v="2"/>
    <x v="2"/>
    <x v="29"/>
    <x v="161"/>
    <x v="0"/>
    <x v="201"/>
    <s v="-"/>
    <x v="1"/>
    <x v="0"/>
    <x v="8"/>
    <n v="-144.35"/>
  </r>
  <r>
    <x v="90"/>
    <x v="4"/>
    <x v="6"/>
    <x v="6"/>
    <x v="0"/>
    <x v="5"/>
    <x v="8"/>
    <x v="0"/>
    <x v="0"/>
    <s v="-"/>
    <x v="0"/>
    <x v="2"/>
    <x v="7"/>
    <n v="3187.34"/>
  </r>
  <r>
    <x v="91"/>
    <x v="4"/>
    <x v="11"/>
    <x v="14"/>
    <x v="3"/>
    <x v="46"/>
    <x v="63"/>
    <x v="1"/>
    <x v="202"/>
    <s v="1/3"/>
    <x v="1"/>
    <x v="2"/>
    <x v="8"/>
    <n v="-3187.34"/>
  </r>
  <r>
    <x v="92"/>
    <x v="4"/>
    <x v="9"/>
    <x v="17"/>
    <x v="1"/>
    <x v="21"/>
    <x v="32"/>
    <x v="0"/>
    <x v="203"/>
    <s v="-"/>
    <x v="2"/>
    <x v="0"/>
    <x v="8"/>
    <n v="-1120"/>
  </r>
  <r>
    <x v="91"/>
    <x v="4"/>
    <x v="6"/>
    <x v="6"/>
    <x v="0"/>
    <x v="5"/>
    <x v="8"/>
    <x v="0"/>
    <x v="0"/>
    <s v="-"/>
    <x v="0"/>
    <x v="2"/>
    <x v="7"/>
    <n v="3625"/>
  </r>
  <r>
    <x v="93"/>
    <x v="4"/>
    <x v="11"/>
    <x v="14"/>
    <x v="3"/>
    <x v="52"/>
    <x v="162"/>
    <x v="1"/>
    <x v="204"/>
    <s v="1/6"/>
    <x v="1"/>
    <x v="2"/>
    <x v="8"/>
    <n v="-3625"/>
  </r>
  <r>
    <x v="93"/>
    <x v="4"/>
    <x v="7"/>
    <x v="9"/>
    <x v="1"/>
    <x v="5"/>
    <x v="17"/>
    <x v="0"/>
    <x v="193"/>
    <s v="-"/>
    <x v="4"/>
    <x v="2"/>
    <x v="8"/>
    <n v="-56.5"/>
  </r>
  <r>
    <x v="94"/>
    <x v="4"/>
    <x v="6"/>
    <x v="6"/>
    <x v="0"/>
    <x v="5"/>
    <x v="8"/>
    <x v="0"/>
    <x v="0"/>
    <s v="-"/>
    <x v="0"/>
    <x v="2"/>
    <x v="7"/>
    <n v="890"/>
  </r>
  <r>
    <x v="95"/>
    <x v="4"/>
    <x v="11"/>
    <x v="14"/>
    <x v="3"/>
    <x v="90"/>
    <x v="146"/>
    <x v="1"/>
    <x v="205"/>
    <s v="-"/>
    <x v="2"/>
    <x v="2"/>
    <x v="9"/>
    <n v="-33000"/>
  </r>
  <r>
    <x v="95"/>
    <x v="4"/>
    <x v="11"/>
    <x v="14"/>
    <x v="3"/>
    <x v="17"/>
    <x v="26"/>
    <x v="1"/>
    <x v="136"/>
    <s v="3/3"/>
    <x v="1"/>
    <x v="2"/>
    <x v="8"/>
    <n v="-890"/>
  </r>
  <r>
    <x v="95"/>
    <x v="4"/>
    <x v="6"/>
    <x v="6"/>
    <x v="0"/>
    <x v="5"/>
    <x v="8"/>
    <x v="0"/>
    <x v="0"/>
    <s v="-"/>
    <x v="0"/>
    <x v="2"/>
    <x v="7"/>
    <n v="2850"/>
  </r>
  <r>
    <x v="96"/>
    <x v="4"/>
    <x v="9"/>
    <x v="19"/>
    <x v="2"/>
    <x v="81"/>
    <x v="129"/>
    <x v="0"/>
    <x v="27"/>
    <s v="2/3"/>
    <x v="2"/>
    <x v="0"/>
    <x v="9"/>
    <n v="-6250"/>
  </r>
  <r>
    <x v="96"/>
    <x v="4"/>
    <x v="9"/>
    <x v="19"/>
    <x v="2"/>
    <x v="30"/>
    <x v="43"/>
    <x v="0"/>
    <x v="0"/>
    <s v="5/12"/>
    <x v="6"/>
    <x v="0"/>
    <x v="9"/>
    <n v="-24.16"/>
  </r>
  <r>
    <x v="96"/>
    <x v="4"/>
    <x v="11"/>
    <x v="14"/>
    <x v="3"/>
    <x v="46"/>
    <x v="163"/>
    <x v="1"/>
    <x v="206"/>
    <s v="-"/>
    <x v="6"/>
    <x v="2"/>
    <x v="9"/>
    <n v="-118.8"/>
  </r>
  <r>
    <x v="96"/>
    <x v="4"/>
    <x v="11"/>
    <x v="14"/>
    <x v="3"/>
    <x v="46"/>
    <x v="164"/>
    <x v="1"/>
    <x v="207"/>
    <s v="-"/>
    <x v="6"/>
    <x v="2"/>
    <x v="9"/>
    <n v="-189.02"/>
  </r>
  <r>
    <x v="96"/>
    <x v="4"/>
    <x v="11"/>
    <x v="14"/>
    <x v="3"/>
    <x v="85"/>
    <x v="139"/>
    <x v="1"/>
    <x v="170"/>
    <s v="2/6"/>
    <x v="6"/>
    <x v="2"/>
    <x v="9"/>
    <n v="-146.75"/>
  </r>
  <r>
    <x v="96"/>
    <x v="4"/>
    <x v="11"/>
    <x v="14"/>
    <x v="3"/>
    <x v="27"/>
    <x v="40"/>
    <x v="1"/>
    <x v="34"/>
    <s v="5/5"/>
    <x v="6"/>
    <x v="2"/>
    <x v="9"/>
    <n v="-361.37"/>
  </r>
  <r>
    <x v="96"/>
    <x v="4"/>
    <x v="9"/>
    <x v="19"/>
    <x v="2"/>
    <x v="31"/>
    <x v="44"/>
    <x v="0"/>
    <x v="169"/>
    <s v="2/12"/>
    <x v="6"/>
    <x v="0"/>
    <x v="9"/>
    <n v="-413.38"/>
  </r>
  <r>
    <x v="96"/>
    <x v="4"/>
    <x v="2"/>
    <x v="21"/>
    <x v="2"/>
    <x v="33"/>
    <x v="46"/>
    <x v="0"/>
    <x v="208"/>
    <s v="-"/>
    <x v="6"/>
    <x v="0"/>
    <x v="9"/>
    <n v="-235.52"/>
  </r>
  <r>
    <x v="96"/>
    <x v="4"/>
    <x v="2"/>
    <x v="23"/>
    <x v="2"/>
    <x v="37"/>
    <x v="51"/>
    <x v="0"/>
    <x v="14"/>
    <s v="-"/>
    <x v="1"/>
    <x v="0"/>
    <x v="9"/>
    <n v="-1165.5899999999999"/>
  </r>
  <r>
    <x v="96"/>
    <x v="4"/>
    <x v="11"/>
    <x v="14"/>
    <x v="3"/>
    <x v="27"/>
    <x v="86"/>
    <x v="1"/>
    <x v="33"/>
    <s v="5/5"/>
    <x v="6"/>
    <x v="2"/>
    <x v="9"/>
    <n v="-940"/>
  </r>
  <r>
    <x v="96"/>
    <x v="4"/>
    <x v="9"/>
    <x v="19"/>
    <x v="2"/>
    <x v="81"/>
    <x v="129"/>
    <x v="0"/>
    <x v="27"/>
    <s v="3/3"/>
    <x v="2"/>
    <x v="0"/>
    <x v="9"/>
    <n v="-6250"/>
  </r>
  <r>
    <x v="96"/>
    <x v="4"/>
    <x v="11"/>
    <x v="14"/>
    <x v="3"/>
    <x v="87"/>
    <x v="141"/>
    <x v="1"/>
    <x v="174"/>
    <s v="2/8"/>
    <x v="6"/>
    <x v="2"/>
    <x v="9"/>
    <n v="-2288.37"/>
  </r>
  <r>
    <x v="96"/>
    <x v="4"/>
    <x v="11"/>
    <x v="14"/>
    <x v="3"/>
    <x v="17"/>
    <x v="26"/>
    <x v="1"/>
    <x v="55"/>
    <s v="6/6"/>
    <x v="1"/>
    <x v="2"/>
    <x v="8"/>
    <n v="-2850"/>
  </r>
  <r>
    <x v="96"/>
    <x v="4"/>
    <x v="11"/>
    <x v="14"/>
    <x v="3"/>
    <x v="88"/>
    <x v="142"/>
    <x v="1"/>
    <x v="175"/>
    <s v="2/2"/>
    <x v="6"/>
    <x v="2"/>
    <x v="9"/>
    <n v="-481.5"/>
  </r>
  <r>
    <x v="96"/>
    <x v="4"/>
    <x v="7"/>
    <x v="32"/>
    <x v="2"/>
    <x v="5"/>
    <x v="144"/>
    <x v="0"/>
    <x v="150"/>
    <s v="2/12"/>
    <x v="6"/>
    <x v="2"/>
    <x v="9"/>
    <n v="-12.5"/>
  </r>
  <r>
    <x v="96"/>
    <x v="4"/>
    <x v="11"/>
    <x v="14"/>
    <x v="3"/>
    <x v="95"/>
    <x v="165"/>
    <x v="1"/>
    <x v="209"/>
    <s v="1/3"/>
    <x v="6"/>
    <x v="2"/>
    <x v="9"/>
    <n v="-1050.5"/>
  </r>
  <r>
    <x v="96"/>
    <x v="4"/>
    <x v="11"/>
    <x v="14"/>
    <x v="3"/>
    <x v="96"/>
    <x v="166"/>
    <x v="1"/>
    <x v="210"/>
    <s v="1/3"/>
    <x v="6"/>
    <x v="2"/>
    <x v="9"/>
    <n v="-601"/>
  </r>
  <r>
    <x v="96"/>
    <x v="4"/>
    <x v="11"/>
    <x v="14"/>
    <x v="3"/>
    <x v="96"/>
    <x v="167"/>
    <x v="1"/>
    <x v="211"/>
    <s v="-"/>
    <x v="6"/>
    <x v="2"/>
    <x v="9"/>
    <n v="-304"/>
  </r>
  <r>
    <x v="96"/>
    <x v="4"/>
    <x v="6"/>
    <x v="6"/>
    <x v="0"/>
    <x v="5"/>
    <x v="8"/>
    <x v="0"/>
    <x v="0"/>
    <s v="-"/>
    <x v="0"/>
    <x v="2"/>
    <x v="7"/>
    <n v="4580.66"/>
  </r>
  <r>
    <x v="97"/>
    <x v="4"/>
    <x v="11"/>
    <x v="14"/>
    <x v="3"/>
    <x v="14"/>
    <x v="22"/>
    <x v="1"/>
    <x v="212"/>
    <s v="-"/>
    <x v="1"/>
    <x v="2"/>
    <x v="8"/>
    <n v="-1023.07"/>
  </r>
  <r>
    <x v="97"/>
    <x v="4"/>
    <x v="11"/>
    <x v="14"/>
    <x v="3"/>
    <x v="19"/>
    <x v="149"/>
    <x v="1"/>
    <x v="213"/>
    <s v="-"/>
    <x v="1"/>
    <x v="2"/>
    <x v="8"/>
    <n v="-3557.59"/>
  </r>
  <r>
    <x v="98"/>
    <x v="4"/>
    <x v="6"/>
    <x v="6"/>
    <x v="0"/>
    <x v="5"/>
    <x v="8"/>
    <x v="0"/>
    <x v="0"/>
    <s v="-"/>
    <x v="0"/>
    <x v="2"/>
    <x v="7"/>
    <n v="2511.41"/>
  </r>
  <r>
    <x v="99"/>
    <x v="4"/>
    <x v="11"/>
    <x v="14"/>
    <x v="3"/>
    <x v="62"/>
    <x v="87"/>
    <x v="1"/>
    <x v="96"/>
    <s v="4/5"/>
    <x v="1"/>
    <x v="2"/>
    <x v="8"/>
    <n v="-2511.41"/>
  </r>
  <r>
    <x v="100"/>
    <x v="4"/>
    <x v="2"/>
    <x v="2"/>
    <x v="2"/>
    <x v="97"/>
    <x v="168"/>
    <x v="0"/>
    <x v="193"/>
    <s v="-"/>
    <x v="2"/>
    <x v="0"/>
    <x v="11"/>
    <n v="-3668.4999999999982"/>
  </r>
  <r>
    <x v="100"/>
    <x v="4"/>
    <x v="11"/>
    <x v="14"/>
    <x v="3"/>
    <x v="38"/>
    <x v="169"/>
    <x v="1"/>
    <x v="179"/>
    <s v="-"/>
    <x v="5"/>
    <x v="2"/>
    <x v="9"/>
    <n v="-1200"/>
  </r>
  <r>
    <x v="100"/>
    <x v="4"/>
    <x v="1"/>
    <x v="24"/>
    <x v="1"/>
    <x v="39"/>
    <x v="55"/>
    <x v="0"/>
    <x v="150"/>
    <s v="-"/>
    <x v="5"/>
    <x v="0"/>
    <x v="8"/>
    <n v="-400"/>
  </r>
  <r>
    <x v="100"/>
    <x v="4"/>
    <x v="1"/>
    <x v="24"/>
    <x v="1"/>
    <x v="38"/>
    <x v="53"/>
    <x v="0"/>
    <x v="150"/>
    <s v="-"/>
    <x v="5"/>
    <x v="0"/>
    <x v="9"/>
    <n v="-1846.36"/>
  </r>
  <r>
    <x v="100"/>
    <x v="4"/>
    <x v="11"/>
    <x v="22"/>
    <x v="2"/>
    <x v="19"/>
    <x v="170"/>
    <x v="0"/>
    <x v="214"/>
    <s v="-"/>
    <x v="1"/>
    <x v="0"/>
    <x v="8"/>
    <n v="-77"/>
  </r>
  <r>
    <x v="100"/>
    <x v="4"/>
    <x v="11"/>
    <x v="14"/>
    <x v="3"/>
    <x v="38"/>
    <x v="169"/>
    <x v="1"/>
    <x v="167"/>
    <s v="-"/>
    <x v="5"/>
    <x v="2"/>
    <x v="9"/>
    <n v="-1200"/>
  </r>
  <r>
    <x v="100"/>
    <x v="4"/>
    <x v="11"/>
    <x v="14"/>
    <x v="3"/>
    <x v="38"/>
    <x v="151"/>
    <x v="1"/>
    <x v="155"/>
    <s v="-"/>
    <x v="5"/>
    <x v="2"/>
    <x v="9"/>
    <n v="-2618.88"/>
  </r>
  <r>
    <x v="100"/>
    <x v="4"/>
    <x v="11"/>
    <x v="14"/>
    <x v="3"/>
    <x v="38"/>
    <x v="151"/>
    <x v="1"/>
    <x v="188"/>
    <s v="-"/>
    <x v="5"/>
    <x v="2"/>
    <x v="9"/>
    <n v="-2345.56"/>
  </r>
  <r>
    <x v="101"/>
    <x v="5"/>
    <x v="14"/>
    <x v="34"/>
    <x v="5"/>
    <x v="98"/>
    <x v="171"/>
    <x v="5"/>
    <x v="215"/>
    <m/>
    <x v="8"/>
    <x v="3"/>
    <x v="12"/>
    <m/>
  </r>
  <r>
    <x v="99"/>
    <x v="4"/>
    <x v="6"/>
    <x v="6"/>
    <x v="0"/>
    <x v="5"/>
    <x v="8"/>
    <x v="0"/>
    <x v="0"/>
    <s v="-"/>
    <x v="0"/>
    <x v="2"/>
    <x v="7"/>
    <n v="1299.3900000000001"/>
  </r>
  <r>
    <x v="100"/>
    <x v="4"/>
    <x v="11"/>
    <x v="14"/>
    <x v="3"/>
    <x v="19"/>
    <x v="172"/>
    <x v="1"/>
    <x v="216"/>
    <s v="-"/>
    <x v="1"/>
    <x v="2"/>
    <x v="8"/>
    <n v="-222.5"/>
  </r>
  <r>
    <x v="100"/>
    <x v="4"/>
    <x v="9"/>
    <x v="26"/>
    <x v="4"/>
    <x v="3"/>
    <x v="173"/>
    <x v="0"/>
    <x v="0"/>
    <s v="-"/>
    <x v="2"/>
    <x v="0"/>
    <x v="9"/>
    <n v="-200"/>
  </r>
  <r>
    <x v="102"/>
    <x v="4"/>
    <x v="11"/>
    <x v="14"/>
    <x v="3"/>
    <x v="17"/>
    <x v="26"/>
    <x v="1"/>
    <x v="217"/>
    <s v="-"/>
    <x v="1"/>
    <x v="2"/>
    <x v="8"/>
    <n v="-710.89"/>
  </r>
  <r>
    <x v="103"/>
    <x v="4"/>
    <x v="6"/>
    <x v="6"/>
    <x v="0"/>
    <x v="5"/>
    <x v="8"/>
    <x v="0"/>
    <x v="0"/>
    <s v="-"/>
    <x v="0"/>
    <x v="2"/>
    <x v="7"/>
    <n v="1911.52"/>
  </r>
  <r>
    <x v="103"/>
    <x v="4"/>
    <x v="11"/>
    <x v="14"/>
    <x v="3"/>
    <x v="19"/>
    <x v="174"/>
    <x v="1"/>
    <x v="218"/>
    <s v="-"/>
    <x v="1"/>
    <x v="2"/>
    <x v="8"/>
    <n v="-366"/>
  </r>
  <r>
    <x v="103"/>
    <x v="4"/>
    <x v="6"/>
    <x v="6"/>
    <x v="0"/>
    <x v="5"/>
    <x v="8"/>
    <x v="0"/>
    <x v="0"/>
    <s v="-"/>
    <x v="0"/>
    <x v="2"/>
    <x v="7"/>
    <n v="12200"/>
  </r>
  <r>
    <x v="104"/>
    <x v="4"/>
    <x v="11"/>
    <x v="14"/>
    <x v="3"/>
    <x v="77"/>
    <x v="115"/>
    <x v="1"/>
    <x v="14"/>
    <s v="3/3"/>
    <x v="2"/>
    <x v="2"/>
    <x v="8"/>
    <n v="-12200"/>
  </r>
  <r>
    <x v="105"/>
    <x v="4"/>
    <x v="3"/>
    <x v="25"/>
    <x v="1"/>
    <x v="42"/>
    <x v="58"/>
    <x v="0"/>
    <x v="193"/>
    <s v="-"/>
    <x v="2"/>
    <x v="0"/>
    <x v="8"/>
    <n v="-8489.33"/>
  </r>
  <r>
    <x v="106"/>
    <x v="4"/>
    <x v="11"/>
    <x v="14"/>
    <x v="3"/>
    <x v="78"/>
    <x v="118"/>
    <x v="1"/>
    <x v="148"/>
    <s v="3/4"/>
    <x v="1"/>
    <x v="2"/>
    <x v="8"/>
    <n v="-1059.22"/>
  </r>
  <r>
    <x v="106"/>
    <x v="4"/>
    <x v="11"/>
    <x v="14"/>
    <x v="3"/>
    <x v="79"/>
    <x v="119"/>
    <x v="1"/>
    <x v="149"/>
    <s v="3/4"/>
    <x v="1"/>
    <x v="2"/>
    <x v="8"/>
    <n v="-852.3"/>
  </r>
  <r>
    <x v="107"/>
    <x v="4"/>
    <x v="6"/>
    <x v="6"/>
    <x v="0"/>
    <x v="5"/>
    <x v="8"/>
    <x v="0"/>
    <x v="0"/>
    <s v="-"/>
    <x v="0"/>
    <x v="2"/>
    <x v="7"/>
    <n v="48.9"/>
  </r>
  <r>
    <x v="108"/>
    <x v="4"/>
    <x v="11"/>
    <x v="14"/>
    <x v="3"/>
    <x v="19"/>
    <x v="175"/>
    <x v="1"/>
    <x v="219"/>
    <s v="-"/>
    <x v="1"/>
    <x v="2"/>
    <x v="8"/>
    <n v="-48.9"/>
  </r>
  <r>
    <x v="109"/>
    <x v="4"/>
    <x v="9"/>
    <x v="26"/>
    <x v="4"/>
    <x v="99"/>
    <x v="176"/>
    <x v="0"/>
    <x v="0"/>
    <s v="-"/>
    <x v="1"/>
    <x v="0"/>
    <x v="9"/>
    <n v="-4416"/>
  </r>
  <r>
    <x v="109"/>
    <x v="4"/>
    <x v="11"/>
    <x v="14"/>
    <x v="3"/>
    <x v="100"/>
    <x v="177"/>
    <x v="6"/>
    <x v="14"/>
    <s v="7/8 e 8/8"/>
    <x v="2"/>
    <x v="2"/>
    <x v="9"/>
    <n v="-8622.4299999999002"/>
  </r>
  <r>
    <x v="109"/>
    <x v="4"/>
    <x v="11"/>
    <x v="14"/>
    <x v="3"/>
    <x v="82"/>
    <x v="178"/>
    <x v="1"/>
    <x v="14"/>
    <s v="2/2"/>
    <x v="2"/>
    <x v="2"/>
    <x v="9"/>
    <n v="-29500"/>
  </r>
  <r>
    <x v="109"/>
    <x v="4"/>
    <x v="9"/>
    <x v="26"/>
    <x v="4"/>
    <x v="99"/>
    <x v="179"/>
    <x v="0"/>
    <x v="0"/>
    <s v="-"/>
    <x v="1"/>
    <x v="0"/>
    <x v="9"/>
    <n v="-4416"/>
  </r>
  <r>
    <x v="109"/>
    <x v="4"/>
    <x v="11"/>
    <x v="14"/>
    <x v="3"/>
    <x v="101"/>
    <x v="180"/>
    <x v="1"/>
    <x v="167"/>
    <s v="3/3"/>
    <x v="2"/>
    <x v="2"/>
    <x v="9"/>
    <n v="-1400"/>
  </r>
  <r>
    <x v="109"/>
    <x v="4"/>
    <x v="11"/>
    <x v="14"/>
    <x v="3"/>
    <x v="102"/>
    <x v="181"/>
    <x v="1"/>
    <x v="14"/>
    <s v="-"/>
    <x v="2"/>
    <x v="2"/>
    <x v="9"/>
    <n v="-2000"/>
  </r>
  <r>
    <x v="109"/>
    <x v="4"/>
    <x v="9"/>
    <x v="26"/>
    <x v="4"/>
    <x v="3"/>
    <x v="182"/>
    <x v="0"/>
    <x v="4"/>
    <s v="-"/>
    <x v="5"/>
    <x v="0"/>
    <x v="9"/>
    <n v="-193821.70700000002"/>
  </r>
  <r>
    <x v="110"/>
    <x v="6"/>
    <x v="6"/>
    <x v="6"/>
    <x v="0"/>
    <x v="5"/>
    <x v="8"/>
    <x v="0"/>
    <x v="0"/>
    <s v="-"/>
    <x v="0"/>
    <x v="2"/>
    <x v="7"/>
    <n v="2725"/>
  </r>
  <r>
    <x v="110"/>
    <x v="6"/>
    <x v="3"/>
    <x v="3"/>
    <x v="0"/>
    <x v="3"/>
    <x v="3"/>
    <x v="0"/>
    <x v="220"/>
    <s v="-"/>
    <x v="2"/>
    <x v="0"/>
    <x v="10"/>
    <n v="-93164.989999999991"/>
  </r>
  <r>
    <x v="110"/>
    <x v="6"/>
    <x v="7"/>
    <x v="9"/>
    <x v="1"/>
    <x v="5"/>
    <x v="12"/>
    <x v="0"/>
    <x v="220"/>
    <s v="-"/>
    <x v="4"/>
    <x v="2"/>
    <x v="8"/>
    <n v="-100"/>
  </r>
  <r>
    <x v="110"/>
    <x v="6"/>
    <x v="6"/>
    <x v="6"/>
    <x v="0"/>
    <x v="5"/>
    <x v="8"/>
    <x v="0"/>
    <x v="0"/>
    <s v="-"/>
    <x v="0"/>
    <x v="2"/>
    <x v="6"/>
    <n v="6486.61"/>
  </r>
  <r>
    <x v="110"/>
    <x v="6"/>
    <x v="3"/>
    <x v="3"/>
    <x v="0"/>
    <x v="3"/>
    <x v="3"/>
    <x v="0"/>
    <x v="220"/>
    <s v="-"/>
    <x v="2"/>
    <x v="0"/>
    <x v="10"/>
    <n v="0"/>
  </r>
  <r>
    <x v="111"/>
    <x v="6"/>
    <x v="11"/>
    <x v="14"/>
    <x v="3"/>
    <x v="52"/>
    <x v="70"/>
    <x v="1"/>
    <x v="67"/>
    <s v="5/5"/>
    <x v="1"/>
    <x v="2"/>
    <x v="8"/>
    <n v="-2725"/>
  </r>
  <r>
    <x v="111"/>
    <x v="6"/>
    <x v="1"/>
    <x v="1"/>
    <x v="1"/>
    <x v="1"/>
    <x v="1"/>
    <x v="0"/>
    <x v="14"/>
    <s v="-"/>
    <x v="1"/>
    <x v="0"/>
    <x v="9"/>
    <n v="-700"/>
  </r>
  <r>
    <x v="112"/>
    <x v="6"/>
    <x v="9"/>
    <x v="11"/>
    <x v="1"/>
    <x v="6"/>
    <x v="13"/>
    <x v="0"/>
    <x v="14"/>
    <s v="-"/>
    <x v="1"/>
    <x v="0"/>
    <x v="9"/>
    <n v="-4885"/>
  </r>
  <r>
    <x v="112"/>
    <x v="6"/>
    <x v="10"/>
    <x v="12"/>
    <x v="2"/>
    <x v="7"/>
    <x v="14"/>
    <x v="0"/>
    <x v="14"/>
    <s v="-"/>
    <x v="2"/>
    <x v="0"/>
    <x v="9"/>
    <n v="-70"/>
  </r>
  <r>
    <x v="112"/>
    <x v="6"/>
    <x v="1"/>
    <x v="13"/>
    <x v="1"/>
    <x v="9"/>
    <x v="16"/>
    <x v="0"/>
    <x v="193"/>
    <s v="-"/>
    <x v="2"/>
    <x v="0"/>
    <x v="9"/>
    <n v="-4498.5"/>
  </r>
  <r>
    <x v="101"/>
    <x v="5"/>
    <x v="14"/>
    <x v="34"/>
    <x v="5"/>
    <x v="98"/>
    <x v="171"/>
    <x v="5"/>
    <x v="215"/>
    <m/>
    <x v="8"/>
    <x v="3"/>
    <x v="12"/>
    <m/>
  </r>
  <r>
    <x v="112"/>
    <x v="6"/>
    <x v="6"/>
    <x v="6"/>
    <x v="0"/>
    <x v="5"/>
    <x v="8"/>
    <x v="0"/>
    <x v="0"/>
    <s v="-"/>
    <x v="0"/>
    <x v="2"/>
    <x v="7"/>
    <n v="3187.33"/>
  </r>
  <r>
    <x v="113"/>
    <x v="6"/>
    <x v="11"/>
    <x v="14"/>
    <x v="3"/>
    <x v="46"/>
    <x v="63"/>
    <x v="1"/>
    <x v="202"/>
    <s v="2/3"/>
    <x v="1"/>
    <x v="2"/>
    <x v="8"/>
    <n v="-3187.33"/>
  </r>
  <r>
    <x v="113"/>
    <x v="6"/>
    <x v="1"/>
    <x v="1"/>
    <x v="2"/>
    <x v="72"/>
    <x v="106"/>
    <x v="0"/>
    <x v="14"/>
    <s v="-"/>
    <x v="1"/>
    <x v="0"/>
    <x v="9"/>
    <n v="-150"/>
  </r>
  <r>
    <x v="114"/>
    <x v="6"/>
    <x v="2"/>
    <x v="18"/>
    <x v="2"/>
    <x v="25"/>
    <x v="183"/>
    <x v="0"/>
    <x v="14"/>
    <s v="-"/>
    <x v="1"/>
    <x v="0"/>
    <x v="9"/>
    <n v="-1000"/>
  </r>
  <r>
    <x v="114"/>
    <x v="6"/>
    <x v="9"/>
    <x v="17"/>
    <x v="1"/>
    <x v="21"/>
    <x v="32"/>
    <x v="0"/>
    <x v="221"/>
    <s v="-"/>
    <x v="2"/>
    <x v="0"/>
    <x v="9"/>
    <n v="-1120"/>
  </r>
  <r>
    <x v="114"/>
    <x v="6"/>
    <x v="6"/>
    <x v="6"/>
    <x v="0"/>
    <x v="5"/>
    <x v="8"/>
    <x v="0"/>
    <x v="0"/>
    <s v="-"/>
    <x v="0"/>
    <x v="2"/>
    <x v="7"/>
    <n v="3625"/>
  </r>
  <r>
    <x v="115"/>
    <x v="6"/>
    <x v="11"/>
    <x v="14"/>
    <x v="3"/>
    <x v="52"/>
    <x v="162"/>
    <x v="1"/>
    <x v="204"/>
    <s v="2/6"/>
    <x v="1"/>
    <x v="2"/>
    <x v="8"/>
    <n v="-3625"/>
  </r>
  <r>
    <x v="115"/>
    <x v="6"/>
    <x v="7"/>
    <x v="9"/>
    <x v="1"/>
    <x v="5"/>
    <x v="17"/>
    <x v="0"/>
    <x v="220"/>
    <s v="-"/>
    <x v="4"/>
    <x v="2"/>
    <x v="8"/>
    <n v="-56.5"/>
  </r>
  <r>
    <x v="116"/>
    <x v="6"/>
    <x v="11"/>
    <x v="14"/>
    <x v="3"/>
    <x v="85"/>
    <x v="139"/>
    <x v="1"/>
    <x v="170"/>
    <s v="3/6"/>
    <x v="6"/>
    <x v="2"/>
    <x v="9"/>
    <n v="-146.75"/>
  </r>
  <r>
    <x v="116"/>
    <x v="6"/>
    <x v="9"/>
    <x v="19"/>
    <x v="2"/>
    <x v="30"/>
    <x v="43"/>
    <x v="0"/>
    <x v="0"/>
    <s v="6/12"/>
    <x v="6"/>
    <x v="0"/>
    <x v="9"/>
    <n v="-24.16"/>
  </r>
  <r>
    <x v="116"/>
    <x v="6"/>
    <x v="9"/>
    <x v="19"/>
    <x v="2"/>
    <x v="31"/>
    <x v="44"/>
    <x v="0"/>
    <x v="169"/>
    <s v="3/12"/>
    <x v="6"/>
    <x v="0"/>
    <x v="9"/>
    <n v="-413.38"/>
  </r>
  <r>
    <x v="116"/>
    <x v="6"/>
    <x v="2"/>
    <x v="21"/>
    <x v="2"/>
    <x v="33"/>
    <x v="46"/>
    <x v="0"/>
    <x v="14"/>
    <s v="-"/>
    <x v="6"/>
    <x v="0"/>
    <x v="9"/>
    <n v="-235.52"/>
  </r>
  <r>
    <x v="116"/>
    <x v="6"/>
    <x v="2"/>
    <x v="23"/>
    <x v="2"/>
    <x v="37"/>
    <x v="51"/>
    <x v="0"/>
    <x v="14"/>
    <s v="-"/>
    <x v="1"/>
    <x v="0"/>
    <x v="9"/>
    <n v="-1165.5899999999999"/>
  </r>
  <r>
    <x v="116"/>
    <x v="6"/>
    <x v="11"/>
    <x v="14"/>
    <x v="3"/>
    <x v="87"/>
    <x v="141"/>
    <x v="1"/>
    <x v="174"/>
    <s v="3/8"/>
    <x v="6"/>
    <x v="2"/>
    <x v="9"/>
    <n v="-2288.37"/>
  </r>
  <r>
    <x v="116"/>
    <x v="6"/>
    <x v="7"/>
    <x v="32"/>
    <x v="2"/>
    <x v="5"/>
    <x v="144"/>
    <x v="0"/>
    <x v="150"/>
    <s v="3/12"/>
    <x v="6"/>
    <x v="2"/>
    <x v="9"/>
    <n v="-12.5"/>
  </r>
  <r>
    <x v="116"/>
    <x v="6"/>
    <x v="11"/>
    <x v="14"/>
    <x v="3"/>
    <x v="95"/>
    <x v="165"/>
    <x v="1"/>
    <x v="209"/>
    <s v="2/3"/>
    <x v="6"/>
    <x v="2"/>
    <x v="9"/>
    <n v="-1050.5"/>
  </r>
  <r>
    <x v="116"/>
    <x v="6"/>
    <x v="11"/>
    <x v="14"/>
    <x v="3"/>
    <x v="96"/>
    <x v="166"/>
    <x v="1"/>
    <x v="210"/>
    <s v="2/3"/>
    <x v="6"/>
    <x v="2"/>
    <x v="9"/>
    <n v="-600.99"/>
  </r>
  <r>
    <x v="117"/>
    <x v="6"/>
    <x v="6"/>
    <x v="6"/>
    <x v="0"/>
    <x v="5"/>
    <x v="8"/>
    <x v="0"/>
    <x v="0"/>
    <s v="-"/>
    <x v="0"/>
    <x v="2"/>
    <x v="7"/>
    <n v="2511.41"/>
  </r>
  <r>
    <x v="118"/>
    <x v="6"/>
    <x v="11"/>
    <x v="14"/>
    <x v="3"/>
    <x v="62"/>
    <x v="87"/>
    <x v="1"/>
    <x v="96"/>
    <s v="5/5"/>
    <x v="1"/>
    <x v="2"/>
    <x v="8"/>
    <n v="-2511.41"/>
  </r>
  <r>
    <x v="119"/>
    <x v="6"/>
    <x v="6"/>
    <x v="6"/>
    <x v="0"/>
    <x v="5"/>
    <x v="8"/>
    <x v="0"/>
    <x v="0"/>
    <s v="-"/>
    <x v="0"/>
    <x v="2"/>
    <x v="7"/>
    <n v="1911.52"/>
  </r>
  <r>
    <x v="120"/>
    <x v="6"/>
    <x v="11"/>
    <x v="14"/>
    <x v="3"/>
    <x v="38"/>
    <x v="169"/>
    <x v="1"/>
    <x v="14"/>
    <s v="-"/>
    <x v="5"/>
    <x v="2"/>
    <x v="9"/>
    <n v="-1200"/>
  </r>
  <r>
    <x v="120"/>
    <x v="6"/>
    <x v="1"/>
    <x v="24"/>
    <x v="1"/>
    <x v="39"/>
    <x v="55"/>
    <x v="0"/>
    <x v="193"/>
    <s v="-"/>
    <x v="5"/>
    <x v="0"/>
    <x v="9"/>
    <n v="-400"/>
  </r>
  <r>
    <x v="120"/>
    <x v="6"/>
    <x v="1"/>
    <x v="24"/>
    <x v="1"/>
    <x v="38"/>
    <x v="53"/>
    <x v="0"/>
    <x v="193"/>
    <s v="-"/>
    <x v="5"/>
    <x v="0"/>
    <x v="9"/>
    <n v="-1846.36"/>
  </r>
  <r>
    <x v="120"/>
    <x v="6"/>
    <x v="11"/>
    <x v="14"/>
    <x v="3"/>
    <x v="38"/>
    <x v="169"/>
    <x v="1"/>
    <x v="14"/>
    <s v="-"/>
    <x v="5"/>
    <x v="2"/>
    <x v="9"/>
    <n v="-1200"/>
  </r>
  <r>
    <x v="121"/>
    <x v="6"/>
    <x v="11"/>
    <x v="14"/>
    <x v="3"/>
    <x v="78"/>
    <x v="118"/>
    <x v="1"/>
    <x v="148"/>
    <s v="4/4"/>
    <x v="1"/>
    <x v="2"/>
    <x v="8"/>
    <n v="-1059.21"/>
  </r>
  <r>
    <x v="121"/>
    <x v="6"/>
    <x v="11"/>
    <x v="14"/>
    <x v="3"/>
    <x v="79"/>
    <x v="119"/>
    <x v="1"/>
    <x v="149"/>
    <s v="4/4"/>
    <x v="1"/>
    <x v="2"/>
    <x v="8"/>
    <n v="-852.3"/>
  </r>
  <r>
    <x v="122"/>
    <x v="6"/>
    <x v="3"/>
    <x v="25"/>
    <x v="1"/>
    <x v="42"/>
    <x v="58"/>
    <x v="0"/>
    <x v="220"/>
    <s v="-"/>
    <x v="2"/>
    <x v="0"/>
    <x v="9"/>
    <n v="-8489.33"/>
  </r>
  <r>
    <x v="123"/>
    <x v="6"/>
    <x v="2"/>
    <x v="2"/>
    <x v="2"/>
    <x v="97"/>
    <x v="168"/>
    <x v="0"/>
    <x v="220"/>
    <s v="-"/>
    <x v="2"/>
    <x v="0"/>
    <x v="11"/>
    <n v="-16928.849999999999"/>
  </r>
  <r>
    <x v="124"/>
    <x v="7"/>
    <x v="1"/>
    <x v="1"/>
    <x v="1"/>
    <x v="1"/>
    <x v="1"/>
    <x v="0"/>
    <x v="14"/>
    <s v="-"/>
    <x v="1"/>
    <x v="0"/>
    <x v="9"/>
    <n v="-700"/>
  </r>
  <r>
    <x v="124"/>
    <x v="7"/>
    <x v="9"/>
    <x v="26"/>
    <x v="2"/>
    <x v="103"/>
    <x v="184"/>
    <x v="0"/>
    <x v="4"/>
    <s v="-"/>
    <x v="5"/>
    <x v="0"/>
    <x v="9"/>
    <n v="-124.2"/>
  </r>
  <r>
    <x v="124"/>
    <x v="7"/>
    <x v="3"/>
    <x v="3"/>
    <x v="0"/>
    <x v="3"/>
    <x v="3"/>
    <x v="0"/>
    <x v="222"/>
    <s v="-"/>
    <x v="2"/>
    <x v="0"/>
    <x v="10"/>
    <n v="-71397.739999999991"/>
  </r>
  <r>
    <x v="124"/>
    <x v="7"/>
    <x v="7"/>
    <x v="9"/>
    <x v="1"/>
    <x v="5"/>
    <x v="12"/>
    <x v="0"/>
    <x v="222"/>
    <s v="-"/>
    <x v="4"/>
    <x v="2"/>
    <x v="8"/>
    <n v="-100"/>
  </r>
  <r>
    <x v="124"/>
    <x v="7"/>
    <x v="6"/>
    <x v="6"/>
    <x v="0"/>
    <x v="5"/>
    <x v="8"/>
    <x v="0"/>
    <x v="0"/>
    <s v="-"/>
    <x v="0"/>
    <x v="2"/>
    <x v="6"/>
    <n v="8286.61"/>
  </r>
  <r>
    <x v="124"/>
    <x v="7"/>
    <x v="3"/>
    <x v="3"/>
    <x v="0"/>
    <x v="3"/>
    <x v="3"/>
    <x v="0"/>
    <x v="222"/>
    <s v="-"/>
    <x v="2"/>
    <x v="0"/>
    <x v="10"/>
    <n v="0"/>
  </r>
  <r>
    <x v="125"/>
    <x v="7"/>
    <x v="9"/>
    <x v="11"/>
    <x v="1"/>
    <x v="6"/>
    <x v="13"/>
    <x v="0"/>
    <x v="14"/>
    <s v="-"/>
    <x v="1"/>
    <x v="0"/>
    <x v="9"/>
    <n v="-4885"/>
  </r>
  <r>
    <x v="125"/>
    <x v="7"/>
    <x v="10"/>
    <x v="12"/>
    <x v="2"/>
    <x v="7"/>
    <x v="14"/>
    <x v="0"/>
    <x v="14"/>
    <s v="-"/>
    <x v="2"/>
    <x v="0"/>
    <x v="9"/>
    <n v="-70"/>
  </r>
  <r>
    <x v="125"/>
    <x v="7"/>
    <x v="1"/>
    <x v="13"/>
    <x v="1"/>
    <x v="9"/>
    <x v="16"/>
    <x v="0"/>
    <x v="220"/>
    <s v="-"/>
    <x v="2"/>
    <x v="0"/>
    <x v="9"/>
    <n v="-4498.5"/>
  </r>
  <r>
    <x v="126"/>
    <x v="7"/>
    <x v="6"/>
    <x v="6"/>
    <x v="0"/>
    <x v="5"/>
    <x v="8"/>
    <x v="0"/>
    <x v="0"/>
    <s v="-"/>
    <x v="0"/>
    <x v="2"/>
    <x v="7"/>
    <n v="3187.33"/>
  </r>
  <r>
    <x v="127"/>
    <x v="7"/>
    <x v="11"/>
    <x v="14"/>
    <x v="3"/>
    <x v="46"/>
    <x v="63"/>
    <x v="1"/>
    <x v="202"/>
    <s v="3/3"/>
    <x v="1"/>
    <x v="2"/>
    <x v="8"/>
    <n v="-3187.33"/>
  </r>
  <r>
    <x v="127"/>
    <x v="7"/>
    <x v="1"/>
    <x v="1"/>
    <x v="2"/>
    <x v="72"/>
    <x v="106"/>
    <x v="0"/>
    <x v="14"/>
    <s v="-"/>
    <x v="1"/>
    <x v="0"/>
    <x v="9"/>
    <n v="-150"/>
  </r>
  <r>
    <x v="128"/>
    <x v="7"/>
    <x v="9"/>
    <x v="19"/>
    <x v="4"/>
    <x v="104"/>
    <x v="185"/>
    <x v="0"/>
    <x v="14"/>
    <s v="-"/>
    <x v="1"/>
    <x v="0"/>
    <x v="9"/>
    <n v="-1420.02"/>
  </r>
  <r>
    <x v="128"/>
    <x v="7"/>
    <x v="2"/>
    <x v="18"/>
    <x v="2"/>
    <x v="25"/>
    <x v="183"/>
    <x v="0"/>
    <x v="14"/>
    <s v="-"/>
    <x v="1"/>
    <x v="0"/>
    <x v="9"/>
    <n v="-1000"/>
  </r>
  <r>
    <x v="128"/>
    <x v="7"/>
    <x v="9"/>
    <x v="17"/>
    <x v="1"/>
    <x v="21"/>
    <x v="32"/>
    <x v="0"/>
    <x v="223"/>
    <s v="-"/>
    <x v="2"/>
    <x v="0"/>
    <x v="9"/>
    <n v="-1120"/>
  </r>
  <r>
    <x v="128"/>
    <x v="7"/>
    <x v="6"/>
    <x v="6"/>
    <x v="0"/>
    <x v="5"/>
    <x v="8"/>
    <x v="0"/>
    <x v="0"/>
    <s v="-"/>
    <x v="0"/>
    <x v="2"/>
    <x v="7"/>
    <n v="3625"/>
  </r>
  <r>
    <x v="129"/>
    <x v="7"/>
    <x v="11"/>
    <x v="14"/>
    <x v="3"/>
    <x v="52"/>
    <x v="162"/>
    <x v="1"/>
    <x v="204"/>
    <s v="3/6"/>
    <x v="1"/>
    <x v="2"/>
    <x v="8"/>
    <n v="-3625"/>
  </r>
  <r>
    <x v="129"/>
    <x v="7"/>
    <x v="7"/>
    <x v="9"/>
    <x v="1"/>
    <x v="5"/>
    <x v="17"/>
    <x v="0"/>
    <x v="222"/>
    <s v="-"/>
    <x v="4"/>
    <x v="2"/>
    <x v="8"/>
    <n v="-56.5"/>
  </r>
  <r>
    <x v="130"/>
    <x v="7"/>
    <x v="11"/>
    <x v="14"/>
    <x v="3"/>
    <x v="85"/>
    <x v="139"/>
    <x v="1"/>
    <x v="170"/>
    <s v="4/6"/>
    <x v="6"/>
    <x v="2"/>
    <x v="9"/>
    <n v="-146.75"/>
  </r>
  <r>
    <x v="130"/>
    <x v="7"/>
    <x v="9"/>
    <x v="19"/>
    <x v="2"/>
    <x v="30"/>
    <x v="43"/>
    <x v="0"/>
    <x v="0"/>
    <s v="7/12"/>
    <x v="6"/>
    <x v="0"/>
    <x v="9"/>
    <n v="-24.16"/>
  </r>
  <r>
    <x v="130"/>
    <x v="7"/>
    <x v="9"/>
    <x v="19"/>
    <x v="2"/>
    <x v="31"/>
    <x v="44"/>
    <x v="0"/>
    <x v="169"/>
    <s v="4/12"/>
    <x v="6"/>
    <x v="0"/>
    <x v="9"/>
    <n v="-413.38"/>
  </r>
  <r>
    <x v="130"/>
    <x v="7"/>
    <x v="2"/>
    <x v="23"/>
    <x v="2"/>
    <x v="37"/>
    <x v="51"/>
    <x v="0"/>
    <x v="14"/>
    <s v="-"/>
    <x v="1"/>
    <x v="0"/>
    <x v="9"/>
    <n v="-1165.5899999999999"/>
  </r>
  <r>
    <x v="130"/>
    <x v="7"/>
    <x v="2"/>
    <x v="21"/>
    <x v="2"/>
    <x v="33"/>
    <x v="46"/>
    <x v="0"/>
    <x v="14"/>
    <s v="-"/>
    <x v="6"/>
    <x v="0"/>
    <x v="9"/>
    <n v="-235.52"/>
  </r>
  <r>
    <x v="130"/>
    <x v="7"/>
    <x v="11"/>
    <x v="14"/>
    <x v="3"/>
    <x v="87"/>
    <x v="141"/>
    <x v="1"/>
    <x v="174"/>
    <s v="4/8"/>
    <x v="6"/>
    <x v="2"/>
    <x v="9"/>
    <n v="-2288.37"/>
  </r>
  <r>
    <x v="130"/>
    <x v="7"/>
    <x v="7"/>
    <x v="32"/>
    <x v="2"/>
    <x v="5"/>
    <x v="144"/>
    <x v="0"/>
    <x v="150"/>
    <s v="4/12"/>
    <x v="6"/>
    <x v="2"/>
    <x v="9"/>
    <n v="-12.5"/>
  </r>
  <r>
    <x v="130"/>
    <x v="7"/>
    <x v="11"/>
    <x v="14"/>
    <x v="3"/>
    <x v="95"/>
    <x v="165"/>
    <x v="1"/>
    <x v="209"/>
    <s v="3/3"/>
    <x v="6"/>
    <x v="2"/>
    <x v="9"/>
    <n v="-1050.5"/>
  </r>
  <r>
    <x v="130"/>
    <x v="7"/>
    <x v="11"/>
    <x v="14"/>
    <x v="3"/>
    <x v="96"/>
    <x v="166"/>
    <x v="1"/>
    <x v="210"/>
    <s v="3/3"/>
    <x v="6"/>
    <x v="2"/>
    <x v="9"/>
    <n v="-600.99"/>
  </r>
  <r>
    <x v="131"/>
    <x v="7"/>
    <x v="1"/>
    <x v="24"/>
    <x v="1"/>
    <x v="39"/>
    <x v="55"/>
    <x v="0"/>
    <x v="220"/>
    <s v="-"/>
    <x v="5"/>
    <x v="0"/>
    <x v="9"/>
    <n v="-400"/>
  </r>
  <r>
    <x v="131"/>
    <x v="7"/>
    <x v="1"/>
    <x v="24"/>
    <x v="1"/>
    <x v="38"/>
    <x v="53"/>
    <x v="0"/>
    <x v="220"/>
    <s v="-"/>
    <x v="5"/>
    <x v="0"/>
    <x v="9"/>
    <n v="-1846.36"/>
  </r>
  <r>
    <x v="131"/>
    <x v="7"/>
    <x v="11"/>
    <x v="14"/>
    <x v="3"/>
    <x v="38"/>
    <x v="169"/>
    <x v="1"/>
    <x v="14"/>
    <s v="-"/>
    <x v="5"/>
    <x v="2"/>
    <x v="9"/>
    <n v="-4200"/>
  </r>
  <r>
    <x v="132"/>
    <x v="7"/>
    <x v="3"/>
    <x v="25"/>
    <x v="1"/>
    <x v="42"/>
    <x v="58"/>
    <x v="0"/>
    <x v="222"/>
    <s v="-"/>
    <x v="2"/>
    <x v="0"/>
    <x v="9"/>
    <n v="-8489.33"/>
  </r>
  <r>
    <x v="133"/>
    <x v="7"/>
    <x v="1"/>
    <x v="1"/>
    <x v="2"/>
    <x v="43"/>
    <x v="59"/>
    <x v="0"/>
    <x v="14"/>
    <s v="-"/>
    <x v="1"/>
    <x v="0"/>
    <x v="9"/>
    <n v="-180"/>
  </r>
  <r>
    <x v="133"/>
    <x v="7"/>
    <x v="1"/>
    <x v="1"/>
    <x v="2"/>
    <x v="43"/>
    <x v="60"/>
    <x v="0"/>
    <x v="14"/>
    <s v="-"/>
    <x v="1"/>
    <x v="0"/>
    <x v="9"/>
    <n v="-310"/>
  </r>
  <r>
    <x v="134"/>
    <x v="7"/>
    <x v="9"/>
    <x v="26"/>
    <x v="1"/>
    <x v="47"/>
    <x v="186"/>
    <x v="0"/>
    <x v="4"/>
    <s v="-"/>
    <x v="5"/>
    <x v="0"/>
    <x v="9"/>
    <n v="-20000"/>
  </r>
  <r>
    <x v="134"/>
    <x v="7"/>
    <x v="9"/>
    <x v="26"/>
    <x v="1"/>
    <x v="38"/>
    <x v="187"/>
    <x v="0"/>
    <x v="4"/>
    <s v="-"/>
    <x v="5"/>
    <x v="0"/>
    <x v="9"/>
    <n v="-25000"/>
  </r>
  <r>
    <x v="134"/>
    <x v="7"/>
    <x v="2"/>
    <x v="2"/>
    <x v="2"/>
    <x v="97"/>
    <x v="168"/>
    <x v="0"/>
    <x v="222"/>
    <s v="-"/>
    <x v="2"/>
    <x v="0"/>
    <x v="11"/>
    <n v="-16314.65"/>
  </r>
  <r>
    <x v="134"/>
    <x v="7"/>
    <x v="12"/>
    <x v="27"/>
    <x v="0"/>
    <x v="50"/>
    <x v="68"/>
    <x v="0"/>
    <x v="224"/>
    <s v="-"/>
    <x v="2"/>
    <x v="0"/>
    <x v="13"/>
    <n v="760234.22160000005"/>
  </r>
  <r>
    <x v="135"/>
    <x v="8"/>
    <x v="9"/>
    <x v="26"/>
    <x v="2"/>
    <x v="105"/>
    <x v="188"/>
    <x v="0"/>
    <x v="4"/>
    <s v="-"/>
    <x v="5"/>
    <x v="0"/>
    <x v="9"/>
    <n v="-278"/>
  </r>
  <r>
    <x v="135"/>
    <x v="8"/>
    <x v="2"/>
    <x v="29"/>
    <x v="4"/>
    <x v="106"/>
    <x v="189"/>
    <x v="0"/>
    <x v="14"/>
    <s v="-"/>
    <x v="2"/>
    <x v="0"/>
    <x v="9"/>
    <n v="-300000"/>
  </r>
  <r>
    <x v="135"/>
    <x v="8"/>
    <x v="3"/>
    <x v="3"/>
    <x v="0"/>
    <x v="3"/>
    <x v="3"/>
    <x v="0"/>
    <x v="225"/>
    <s v="-"/>
    <x v="2"/>
    <x v="0"/>
    <x v="10"/>
    <n v="-177534.13999999998"/>
  </r>
  <r>
    <x v="135"/>
    <x v="8"/>
    <x v="7"/>
    <x v="9"/>
    <x v="1"/>
    <x v="5"/>
    <x v="12"/>
    <x v="0"/>
    <x v="225"/>
    <s v="-"/>
    <x v="4"/>
    <x v="2"/>
    <x v="8"/>
    <n v="-100"/>
  </r>
  <r>
    <x v="135"/>
    <x v="8"/>
    <x v="6"/>
    <x v="6"/>
    <x v="0"/>
    <x v="5"/>
    <x v="8"/>
    <x v="0"/>
    <x v="0"/>
    <s v="-"/>
    <x v="0"/>
    <x v="2"/>
    <x v="6"/>
    <n v="2435.12"/>
  </r>
  <r>
    <x v="135"/>
    <x v="8"/>
    <x v="3"/>
    <x v="3"/>
    <x v="0"/>
    <x v="3"/>
    <x v="3"/>
    <x v="0"/>
    <x v="225"/>
    <s v="-"/>
    <x v="2"/>
    <x v="0"/>
    <x v="10"/>
    <n v="0"/>
  </r>
  <r>
    <x v="136"/>
    <x v="8"/>
    <x v="1"/>
    <x v="1"/>
    <x v="1"/>
    <x v="1"/>
    <x v="1"/>
    <x v="0"/>
    <x v="14"/>
    <s v="-"/>
    <x v="1"/>
    <x v="0"/>
    <x v="9"/>
    <n v="-700"/>
  </r>
  <r>
    <x v="137"/>
    <x v="8"/>
    <x v="9"/>
    <x v="11"/>
    <x v="1"/>
    <x v="6"/>
    <x v="13"/>
    <x v="0"/>
    <x v="14"/>
    <s v="-"/>
    <x v="1"/>
    <x v="0"/>
    <x v="9"/>
    <n v="-4885"/>
  </r>
  <r>
    <x v="137"/>
    <x v="8"/>
    <x v="10"/>
    <x v="12"/>
    <x v="2"/>
    <x v="7"/>
    <x v="14"/>
    <x v="0"/>
    <x v="14"/>
    <s v="-"/>
    <x v="2"/>
    <x v="0"/>
    <x v="9"/>
    <n v="-70"/>
  </r>
  <r>
    <x v="137"/>
    <x v="8"/>
    <x v="1"/>
    <x v="13"/>
    <x v="1"/>
    <x v="9"/>
    <x v="16"/>
    <x v="0"/>
    <x v="222"/>
    <s v="-"/>
    <x v="2"/>
    <x v="0"/>
    <x v="9"/>
    <n v="-4498.5"/>
  </r>
  <r>
    <x v="138"/>
    <x v="8"/>
    <x v="1"/>
    <x v="1"/>
    <x v="2"/>
    <x v="72"/>
    <x v="106"/>
    <x v="0"/>
    <x v="14"/>
    <s v="-"/>
    <x v="1"/>
    <x v="0"/>
    <x v="9"/>
    <n v="-150"/>
  </r>
  <r>
    <x v="139"/>
    <x v="8"/>
    <x v="2"/>
    <x v="18"/>
    <x v="2"/>
    <x v="25"/>
    <x v="183"/>
    <x v="0"/>
    <x v="14"/>
    <s v="-"/>
    <x v="1"/>
    <x v="0"/>
    <x v="9"/>
    <n v="-1000"/>
  </r>
  <r>
    <x v="139"/>
    <x v="8"/>
    <x v="9"/>
    <x v="17"/>
    <x v="1"/>
    <x v="21"/>
    <x v="32"/>
    <x v="0"/>
    <x v="226"/>
    <s v="-"/>
    <x v="2"/>
    <x v="0"/>
    <x v="9"/>
    <n v="-1120"/>
  </r>
  <r>
    <x v="139"/>
    <x v="8"/>
    <x v="6"/>
    <x v="6"/>
    <x v="0"/>
    <x v="5"/>
    <x v="8"/>
    <x v="0"/>
    <x v="0"/>
    <s v="-"/>
    <x v="0"/>
    <x v="2"/>
    <x v="7"/>
    <n v="3625"/>
  </r>
  <r>
    <x v="140"/>
    <x v="8"/>
    <x v="11"/>
    <x v="14"/>
    <x v="3"/>
    <x v="52"/>
    <x v="162"/>
    <x v="1"/>
    <x v="204"/>
    <s v="4/6"/>
    <x v="1"/>
    <x v="2"/>
    <x v="8"/>
    <n v="-3625"/>
  </r>
  <r>
    <x v="140"/>
    <x v="8"/>
    <x v="7"/>
    <x v="9"/>
    <x v="1"/>
    <x v="5"/>
    <x v="17"/>
    <x v="0"/>
    <x v="225"/>
    <s v="-"/>
    <x v="4"/>
    <x v="2"/>
    <x v="8"/>
    <n v="-56.5"/>
  </r>
  <r>
    <x v="141"/>
    <x v="8"/>
    <x v="11"/>
    <x v="14"/>
    <x v="3"/>
    <x v="85"/>
    <x v="139"/>
    <x v="1"/>
    <x v="170"/>
    <s v="5/6"/>
    <x v="6"/>
    <x v="2"/>
    <x v="9"/>
    <n v="-146.75"/>
  </r>
  <r>
    <x v="141"/>
    <x v="8"/>
    <x v="9"/>
    <x v="19"/>
    <x v="2"/>
    <x v="30"/>
    <x v="43"/>
    <x v="0"/>
    <x v="0"/>
    <s v="8/12"/>
    <x v="6"/>
    <x v="0"/>
    <x v="9"/>
    <n v="-24.16"/>
  </r>
  <r>
    <x v="141"/>
    <x v="8"/>
    <x v="2"/>
    <x v="23"/>
    <x v="2"/>
    <x v="37"/>
    <x v="51"/>
    <x v="0"/>
    <x v="14"/>
    <s v="-"/>
    <x v="1"/>
    <x v="0"/>
    <x v="9"/>
    <n v="-1165.5899999999999"/>
  </r>
  <r>
    <x v="141"/>
    <x v="8"/>
    <x v="9"/>
    <x v="19"/>
    <x v="2"/>
    <x v="31"/>
    <x v="44"/>
    <x v="0"/>
    <x v="169"/>
    <s v="5/12"/>
    <x v="6"/>
    <x v="0"/>
    <x v="9"/>
    <n v="-413.38"/>
  </r>
  <r>
    <x v="141"/>
    <x v="8"/>
    <x v="2"/>
    <x v="21"/>
    <x v="2"/>
    <x v="33"/>
    <x v="46"/>
    <x v="0"/>
    <x v="14"/>
    <s v="-"/>
    <x v="6"/>
    <x v="0"/>
    <x v="9"/>
    <n v="-235.52"/>
  </r>
  <r>
    <x v="141"/>
    <x v="8"/>
    <x v="11"/>
    <x v="14"/>
    <x v="3"/>
    <x v="87"/>
    <x v="141"/>
    <x v="1"/>
    <x v="174"/>
    <s v="5/8"/>
    <x v="6"/>
    <x v="2"/>
    <x v="9"/>
    <n v="-2288.37"/>
  </r>
  <r>
    <x v="141"/>
    <x v="8"/>
    <x v="7"/>
    <x v="32"/>
    <x v="2"/>
    <x v="5"/>
    <x v="144"/>
    <x v="0"/>
    <x v="150"/>
    <s v="5/12"/>
    <x v="6"/>
    <x v="2"/>
    <x v="9"/>
    <n v="-12.5"/>
  </r>
  <r>
    <x v="142"/>
    <x v="8"/>
    <x v="1"/>
    <x v="24"/>
    <x v="1"/>
    <x v="39"/>
    <x v="55"/>
    <x v="0"/>
    <x v="222"/>
    <s v="-"/>
    <x v="5"/>
    <x v="0"/>
    <x v="9"/>
    <n v="-400"/>
  </r>
  <r>
    <x v="142"/>
    <x v="8"/>
    <x v="1"/>
    <x v="24"/>
    <x v="1"/>
    <x v="38"/>
    <x v="53"/>
    <x v="0"/>
    <x v="222"/>
    <s v="-"/>
    <x v="5"/>
    <x v="0"/>
    <x v="9"/>
    <n v="-1846.36"/>
  </r>
  <r>
    <x v="143"/>
    <x v="8"/>
    <x v="3"/>
    <x v="25"/>
    <x v="1"/>
    <x v="42"/>
    <x v="58"/>
    <x v="0"/>
    <x v="225"/>
    <s v="-"/>
    <x v="2"/>
    <x v="0"/>
    <x v="9"/>
    <n v="-9772.07"/>
  </r>
  <r>
    <x v="144"/>
    <x v="8"/>
    <x v="1"/>
    <x v="1"/>
    <x v="2"/>
    <x v="43"/>
    <x v="59"/>
    <x v="0"/>
    <x v="14"/>
    <s v="-"/>
    <x v="1"/>
    <x v="0"/>
    <x v="9"/>
    <n v="-180"/>
  </r>
  <r>
    <x v="144"/>
    <x v="8"/>
    <x v="1"/>
    <x v="1"/>
    <x v="2"/>
    <x v="43"/>
    <x v="60"/>
    <x v="0"/>
    <x v="14"/>
    <s v="-"/>
    <x v="1"/>
    <x v="0"/>
    <x v="9"/>
    <n v="-310"/>
  </r>
  <r>
    <x v="145"/>
    <x v="8"/>
    <x v="2"/>
    <x v="2"/>
    <x v="2"/>
    <x v="97"/>
    <x v="168"/>
    <x v="0"/>
    <x v="225"/>
    <s v="-"/>
    <x v="2"/>
    <x v="0"/>
    <x v="11"/>
    <n v="-16160.85"/>
  </r>
  <r>
    <x v="146"/>
    <x v="9"/>
    <x v="1"/>
    <x v="13"/>
    <x v="1"/>
    <x v="9"/>
    <x v="190"/>
    <x v="0"/>
    <x v="227"/>
    <s v="-"/>
    <x v="2"/>
    <x v="0"/>
    <x v="9"/>
    <n v="-4498.5"/>
  </r>
  <r>
    <x v="146"/>
    <x v="9"/>
    <x v="3"/>
    <x v="3"/>
    <x v="0"/>
    <x v="3"/>
    <x v="3"/>
    <x v="0"/>
    <x v="227"/>
    <s v="-"/>
    <x v="2"/>
    <x v="0"/>
    <x v="10"/>
    <n v="-121071.13"/>
  </r>
  <r>
    <x v="146"/>
    <x v="9"/>
    <x v="7"/>
    <x v="9"/>
    <x v="1"/>
    <x v="5"/>
    <x v="12"/>
    <x v="0"/>
    <x v="227"/>
    <s v="-"/>
    <x v="4"/>
    <x v="2"/>
    <x v="8"/>
    <n v="-100"/>
  </r>
  <r>
    <x v="146"/>
    <x v="9"/>
    <x v="6"/>
    <x v="6"/>
    <x v="0"/>
    <x v="5"/>
    <x v="8"/>
    <x v="0"/>
    <x v="0"/>
    <s v="-"/>
    <x v="0"/>
    <x v="2"/>
    <x v="6"/>
    <n v="2435.12"/>
  </r>
  <r>
    <x v="146"/>
    <x v="9"/>
    <x v="3"/>
    <x v="3"/>
    <x v="0"/>
    <x v="3"/>
    <x v="3"/>
    <x v="0"/>
    <x v="227"/>
    <s v="-"/>
    <x v="2"/>
    <x v="0"/>
    <x v="10"/>
    <n v="0"/>
  </r>
  <r>
    <x v="147"/>
    <x v="9"/>
    <x v="1"/>
    <x v="1"/>
    <x v="1"/>
    <x v="1"/>
    <x v="1"/>
    <x v="0"/>
    <x v="14"/>
    <s v="-"/>
    <x v="1"/>
    <x v="0"/>
    <x v="9"/>
    <n v="-700"/>
  </r>
  <r>
    <x v="148"/>
    <x v="9"/>
    <x v="9"/>
    <x v="11"/>
    <x v="1"/>
    <x v="6"/>
    <x v="13"/>
    <x v="0"/>
    <x v="14"/>
    <s v="-"/>
    <x v="1"/>
    <x v="0"/>
    <x v="9"/>
    <n v="-4885"/>
  </r>
  <r>
    <x v="148"/>
    <x v="9"/>
    <x v="10"/>
    <x v="12"/>
    <x v="2"/>
    <x v="7"/>
    <x v="14"/>
    <x v="0"/>
    <x v="14"/>
    <s v="-"/>
    <x v="2"/>
    <x v="0"/>
    <x v="9"/>
    <n v="-70"/>
  </r>
  <r>
    <x v="148"/>
    <x v="9"/>
    <x v="1"/>
    <x v="13"/>
    <x v="1"/>
    <x v="9"/>
    <x v="16"/>
    <x v="0"/>
    <x v="225"/>
    <s v="-"/>
    <x v="2"/>
    <x v="0"/>
    <x v="9"/>
    <n v="-4498.5"/>
  </r>
  <r>
    <x v="149"/>
    <x v="9"/>
    <x v="1"/>
    <x v="1"/>
    <x v="2"/>
    <x v="72"/>
    <x v="106"/>
    <x v="0"/>
    <x v="14"/>
    <s v="-"/>
    <x v="1"/>
    <x v="0"/>
    <x v="9"/>
    <n v="-150"/>
  </r>
  <r>
    <x v="150"/>
    <x v="9"/>
    <x v="2"/>
    <x v="18"/>
    <x v="2"/>
    <x v="25"/>
    <x v="183"/>
    <x v="0"/>
    <x v="14"/>
    <s v="-"/>
    <x v="1"/>
    <x v="0"/>
    <x v="9"/>
    <n v="-1000"/>
  </r>
  <r>
    <x v="150"/>
    <x v="9"/>
    <x v="9"/>
    <x v="17"/>
    <x v="1"/>
    <x v="21"/>
    <x v="32"/>
    <x v="0"/>
    <x v="228"/>
    <s v="-"/>
    <x v="2"/>
    <x v="0"/>
    <x v="9"/>
    <n v="-1120"/>
  </r>
  <r>
    <x v="150"/>
    <x v="9"/>
    <x v="6"/>
    <x v="6"/>
    <x v="0"/>
    <x v="5"/>
    <x v="8"/>
    <x v="0"/>
    <x v="0"/>
    <s v="-"/>
    <x v="0"/>
    <x v="2"/>
    <x v="7"/>
    <n v="3625"/>
  </r>
  <r>
    <x v="151"/>
    <x v="9"/>
    <x v="11"/>
    <x v="14"/>
    <x v="3"/>
    <x v="52"/>
    <x v="162"/>
    <x v="1"/>
    <x v="204"/>
    <s v="5/6"/>
    <x v="1"/>
    <x v="2"/>
    <x v="8"/>
    <n v="-3625"/>
  </r>
  <r>
    <x v="151"/>
    <x v="9"/>
    <x v="7"/>
    <x v="9"/>
    <x v="1"/>
    <x v="5"/>
    <x v="17"/>
    <x v="0"/>
    <x v="227"/>
    <s v="-"/>
    <x v="4"/>
    <x v="2"/>
    <x v="8"/>
    <n v="-56.5"/>
  </r>
  <r>
    <x v="152"/>
    <x v="9"/>
    <x v="11"/>
    <x v="14"/>
    <x v="3"/>
    <x v="85"/>
    <x v="139"/>
    <x v="1"/>
    <x v="170"/>
    <s v="6/6"/>
    <x v="6"/>
    <x v="2"/>
    <x v="9"/>
    <n v="-146.75"/>
  </r>
  <r>
    <x v="152"/>
    <x v="9"/>
    <x v="2"/>
    <x v="23"/>
    <x v="2"/>
    <x v="37"/>
    <x v="51"/>
    <x v="0"/>
    <x v="14"/>
    <s v="-"/>
    <x v="1"/>
    <x v="0"/>
    <x v="9"/>
    <n v="-1165.5899999999999"/>
  </r>
  <r>
    <x v="152"/>
    <x v="9"/>
    <x v="9"/>
    <x v="19"/>
    <x v="2"/>
    <x v="30"/>
    <x v="43"/>
    <x v="0"/>
    <x v="0"/>
    <s v="9/12"/>
    <x v="6"/>
    <x v="0"/>
    <x v="9"/>
    <n v="-24.16"/>
  </r>
  <r>
    <x v="152"/>
    <x v="9"/>
    <x v="9"/>
    <x v="19"/>
    <x v="2"/>
    <x v="31"/>
    <x v="44"/>
    <x v="0"/>
    <x v="169"/>
    <s v="6/12"/>
    <x v="6"/>
    <x v="0"/>
    <x v="9"/>
    <n v="-413.38"/>
  </r>
  <r>
    <x v="152"/>
    <x v="9"/>
    <x v="2"/>
    <x v="21"/>
    <x v="2"/>
    <x v="33"/>
    <x v="46"/>
    <x v="0"/>
    <x v="14"/>
    <s v="-"/>
    <x v="6"/>
    <x v="0"/>
    <x v="9"/>
    <n v="-235.52"/>
  </r>
  <r>
    <x v="152"/>
    <x v="9"/>
    <x v="11"/>
    <x v="14"/>
    <x v="3"/>
    <x v="87"/>
    <x v="141"/>
    <x v="1"/>
    <x v="174"/>
    <s v="6/8"/>
    <x v="6"/>
    <x v="2"/>
    <x v="9"/>
    <n v="-2288.37"/>
  </r>
  <r>
    <x v="152"/>
    <x v="9"/>
    <x v="7"/>
    <x v="32"/>
    <x v="2"/>
    <x v="5"/>
    <x v="144"/>
    <x v="0"/>
    <x v="150"/>
    <s v="6/12"/>
    <x v="6"/>
    <x v="2"/>
    <x v="9"/>
    <n v="-12.5"/>
  </r>
  <r>
    <x v="153"/>
    <x v="9"/>
    <x v="1"/>
    <x v="24"/>
    <x v="1"/>
    <x v="39"/>
    <x v="55"/>
    <x v="0"/>
    <x v="225"/>
    <s v="-"/>
    <x v="5"/>
    <x v="0"/>
    <x v="9"/>
    <n v="-400"/>
  </r>
  <r>
    <x v="153"/>
    <x v="9"/>
    <x v="1"/>
    <x v="24"/>
    <x v="1"/>
    <x v="38"/>
    <x v="53"/>
    <x v="0"/>
    <x v="225"/>
    <s v="-"/>
    <x v="5"/>
    <x v="0"/>
    <x v="9"/>
    <n v="-1846.36"/>
  </r>
  <r>
    <x v="154"/>
    <x v="9"/>
    <x v="3"/>
    <x v="25"/>
    <x v="1"/>
    <x v="42"/>
    <x v="58"/>
    <x v="0"/>
    <x v="227"/>
    <s v="-"/>
    <x v="2"/>
    <x v="0"/>
    <x v="9"/>
    <n v="-9772.07"/>
  </r>
  <r>
    <x v="155"/>
    <x v="9"/>
    <x v="1"/>
    <x v="1"/>
    <x v="2"/>
    <x v="43"/>
    <x v="59"/>
    <x v="0"/>
    <x v="14"/>
    <s v="-"/>
    <x v="1"/>
    <x v="0"/>
    <x v="9"/>
    <n v="-180"/>
  </r>
  <r>
    <x v="155"/>
    <x v="9"/>
    <x v="1"/>
    <x v="1"/>
    <x v="2"/>
    <x v="43"/>
    <x v="60"/>
    <x v="0"/>
    <x v="14"/>
    <s v="-"/>
    <x v="1"/>
    <x v="0"/>
    <x v="9"/>
    <n v="-310"/>
  </r>
  <r>
    <x v="156"/>
    <x v="9"/>
    <x v="2"/>
    <x v="2"/>
    <x v="2"/>
    <x v="97"/>
    <x v="168"/>
    <x v="0"/>
    <x v="227"/>
    <s v="-"/>
    <x v="2"/>
    <x v="0"/>
    <x v="11"/>
    <n v="-16438.849999999999"/>
  </r>
  <r>
    <x v="156"/>
    <x v="9"/>
    <x v="9"/>
    <x v="26"/>
    <x v="1"/>
    <x v="107"/>
    <x v="191"/>
    <x v="0"/>
    <x v="4"/>
    <s v="-"/>
    <x v="2"/>
    <x v="0"/>
    <x v="9"/>
    <n v="-120000"/>
  </r>
  <r>
    <x v="157"/>
    <x v="10"/>
    <x v="3"/>
    <x v="3"/>
    <x v="0"/>
    <x v="3"/>
    <x v="3"/>
    <x v="0"/>
    <x v="229"/>
    <s v="-"/>
    <x v="2"/>
    <x v="0"/>
    <x v="10"/>
    <n v="-145533.26999999999"/>
  </r>
  <r>
    <x v="157"/>
    <x v="10"/>
    <x v="7"/>
    <x v="9"/>
    <x v="1"/>
    <x v="5"/>
    <x v="12"/>
    <x v="0"/>
    <x v="229"/>
    <s v="-"/>
    <x v="4"/>
    <x v="2"/>
    <x v="8"/>
    <n v="-100"/>
  </r>
  <r>
    <x v="157"/>
    <x v="10"/>
    <x v="6"/>
    <x v="6"/>
    <x v="0"/>
    <x v="5"/>
    <x v="8"/>
    <x v="0"/>
    <x v="0"/>
    <s v="-"/>
    <x v="0"/>
    <x v="2"/>
    <x v="6"/>
    <n v="2288.37"/>
  </r>
  <r>
    <x v="157"/>
    <x v="10"/>
    <x v="3"/>
    <x v="3"/>
    <x v="0"/>
    <x v="3"/>
    <x v="3"/>
    <x v="0"/>
    <x v="229"/>
    <s v="-"/>
    <x v="2"/>
    <x v="0"/>
    <x v="10"/>
    <n v="0"/>
  </r>
  <r>
    <x v="158"/>
    <x v="10"/>
    <x v="1"/>
    <x v="1"/>
    <x v="1"/>
    <x v="1"/>
    <x v="1"/>
    <x v="0"/>
    <x v="14"/>
    <s v="-"/>
    <x v="1"/>
    <x v="0"/>
    <x v="9"/>
    <n v="-700"/>
  </r>
  <r>
    <x v="159"/>
    <x v="10"/>
    <x v="9"/>
    <x v="11"/>
    <x v="1"/>
    <x v="6"/>
    <x v="13"/>
    <x v="0"/>
    <x v="14"/>
    <s v="-"/>
    <x v="1"/>
    <x v="0"/>
    <x v="9"/>
    <n v="-4885"/>
  </r>
  <r>
    <x v="159"/>
    <x v="10"/>
    <x v="10"/>
    <x v="12"/>
    <x v="2"/>
    <x v="7"/>
    <x v="14"/>
    <x v="0"/>
    <x v="14"/>
    <s v="-"/>
    <x v="2"/>
    <x v="0"/>
    <x v="9"/>
    <n v="-70"/>
  </r>
  <r>
    <x v="160"/>
    <x v="10"/>
    <x v="1"/>
    <x v="1"/>
    <x v="2"/>
    <x v="72"/>
    <x v="106"/>
    <x v="0"/>
    <x v="14"/>
    <s v="-"/>
    <x v="1"/>
    <x v="0"/>
    <x v="9"/>
    <n v="-150"/>
  </r>
  <r>
    <x v="161"/>
    <x v="10"/>
    <x v="2"/>
    <x v="18"/>
    <x v="2"/>
    <x v="25"/>
    <x v="183"/>
    <x v="0"/>
    <x v="14"/>
    <s v="-"/>
    <x v="1"/>
    <x v="0"/>
    <x v="9"/>
    <n v="-1000"/>
  </r>
  <r>
    <x v="161"/>
    <x v="10"/>
    <x v="9"/>
    <x v="17"/>
    <x v="1"/>
    <x v="21"/>
    <x v="32"/>
    <x v="0"/>
    <x v="230"/>
    <s v="-"/>
    <x v="2"/>
    <x v="0"/>
    <x v="9"/>
    <n v="-1120"/>
  </r>
  <r>
    <x v="162"/>
    <x v="10"/>
    <x v="6"/>
    <x v="6"/>
    <x v="0"/>
    <x v="5"/>
    <x v="8"/>
    <x v="0"/>
    <x v="0"/>
    <s v="-"/>
    <x v="0"/>
    <x v="2"/>
    <x v="7"/>
    <n v="3625"/>
  </r>
  <r>
    <x v="163"/>
    <x v="10"/>
    <x v="11"/>
    <x v="14"/>
    <x v="3"/>
    <x v="52"/>
    <x v="162"/>
    <x v="1"/>
    <x v="204"/>
    <s v="6/6"/>
    <x v="1"/>
    <x v="2"/>
    <x v="8"/>
    <n v="-3625"/>
  </r>
  <r>
    <x v="163"/>
    <x v="10"/>
    <x v="7"/>
    <x v="9"/>
    <x v="1"/>
    <x v="5"/>
    <x v="17"/>
    <x v="0"/>
    <x v="229"/>
    <s v="-"/>
    <x v="4"/>
    <x v="2"/>
    <x v="8"/>
    <n v="-56.5"/>
  </r>
  <r>
    <x v="164"/>
    <x v="10"/>
    <x v="2"/>
    <x v="23"/>
    <x v="2"/>
    <x v="37"/>
    <x v="51"/>
    <x v="0"/>
    <x v="14"/>
    <s v="-"/>
    <x v="1"/>
    <x v="0"/>
    <x v="9"/>
    <n v="-1165.5899999999999"/>
  </r>
  <r>
    <x v="164"/>
    <x v="10"/>
    <x v="9"/>
    <x v="19"/>
    <x v="2"/>
    <x v="30"/>
    <x v="43"/>
    <x v="0"/>
    <x v="0"/>
    <s v="10/12"/>
    <x v="6"/>
    <x v="0"/>
    <x v="9"/>
    <n v="-24.16"/>
  </r>
  <r>
    <x v="164"/>
    <x v="10"/>
    <x v="9"/>
    <x v="19"/>
    <x v="2"/>
    <x v="31"/>
    <x v="44"/>
    <x v="0"/>
    <x v="169"/>
    <s v="7/12"/>
    <x v="6"/>
    <x v="0"/>
    <x v="9"/>
    <n v="-413.38"/>
  </r>
  <r>
    <x v="164"/>
    <x v="10"/>
    <x v="2"/>
    <x v="21"/>
    <x v="2"/>
    <x v="33"/>
    <x v="46"/>
    <x v="0"/>
    <x v="14"/>
    <s v="-"/>
    <x v="6"/>
    <x v="0"/>
    <x v="9"/>
    <n v="-235.52"/>
  </r>
  <r>
    <x v="164"/>
    <x v="10"/>
    <x v="11"/>
    <x v="14"/>
    <x v="3"/>
    <x v="87"/>
    <x v="141"/>
    <x v="1"/>
    <x v="174"/>
    <s v="7/8"/>
    <x v="6"/>
    <x v="2"/>
    <x v="9"/>
    <n v="-2288.37"/>
  </r>
  <r>
    <x v="164"/>
    <x v="10"/>
    <x v="7"/>
    <x v="32"/>
    <x v="2"/>
    <x v="5"/>
    <x v="144"/>
    <x v="0"/>
    <x v="150"/>
    <s v="7/12"/>
    <x v="6"/>
    <x v="2"/>
    <x v="9"/>
    <n v="-12.5"/>
  </r>
  <r>
    <x v="165"/>
    <x v="10"/>
    <x v="1"/>
    <x v="24"/>
    <x v="1"/>
    <x v="39"/>
    <x v="55"/>
    <x v="0"/>
    <x v="227"/>
    <s v="-"/>
    <x v="5"/>
    <x v="0"/>
    <x v="9"/>
    <n v="-400"/>
  </r>
  <r>
    <x v="165"/>
    <x v="10"/>
    <x v="1"/>
    <x v="24"/>
    <x v="1"/>
    <x v="38"/>
    <x v="53"/>
    <x v="0"/>
    <x v="227"/>
    <s v="-"/>
    <x v="5"/>
    <x v="0"/>
    <x v="9"/>
    <n v="-1846.36"/>
  </r>
  <r>
    <x v="166"/>
    <x v="10"/>
    <x v="3"/>
    <x v="25"/>
    <x v="1"/>
    <x v="42"/>
    <x v="58"/>
    <x v="0"/>
    <x v="229"/>
    <s v="-"/>
    <x v="2"/>
    <x v="0"/>
    <x v="9"/>
    <n v="-9772.07"/>
  </r>
  <r>
    <x v="167"/>
    <x v="10"/>
    <x v="1"/>
    <x v="1"/>
    <x v="2"/>
    <x v="43"/>
    <x v="59"/>
    <x v="0"/>
    <x v="14"/>
    <s v="-"/>
    <x v="1"/>
    <x v="0"/>
    <x v="9"/>
    <n v="-180"/>
  </r>
  <r>
    <x v="167"/>
    <x v="10"/>
    <x v="1"/>
    <x v="1"/>
    <x v="2"/>
    <x v="43"/>
    <x v="60"/>
    <x v="0"/>
    <x v="14"/>
    <s v="-"/>
    <x v="1"/>
    <x v="0"/>
    <x v="9"/>
    <n v="-310"/>
  </r>
  <r>
    <x v="168"/>
    <x v="10"/>
    <x v="9"/>
    <x v="26"/>
    <x v="1"/>
    <x v="47"/>
    <x v="192"/>
    <x v="0"/>
    <x v="4"/>
    <s v="-"/>
    <x v="5"/>
    <x v="0"/>
    <x v="9"/>
    <n v="-20000"/>
  </r>
  <r>
    <x v="168"/>
    <x v="10"/>
    <x v="9"/>
    <x v="26"/>
    <x v="1"/>
    <x v="38"/>
    <x v="193"/>
    <x v="0"/>
    <x v="4"/>
    <s v="-"/>
    <x v="5"/>
    <x v="0"/>
    <x v="9"/>
    <n v="-25000"/>
  </r>
  <r>
    <x v="168"/>
    <x v="10"/>
    <x v="2"/>
    <x v="2"/>
    <x v="2"/>
    <x v="97"/>
    <x v="168"/>
    <x v="0"/>
    <x v="229"/>
    <s v="-"/>
    <x v="2"/>
    <x v="0"/>
    <x v="11"/>
    <n v="-6438.85"/>
  </r>
  <r>
    <x v="168"/>
    <x v="10"/>
    <x v="9"/>
    <x v="26"/>
    <x v="2"/>
    <x v="108"/>
    <x v="194"/>
    <x v="0"/>
    <x v="0"/>
    <s v="-"/>
    <x v="2"/>
    <x v="0"/>
    <x v="9"/>
    <n v="-10000"/>
  </r>
  <r>
    <x v="169"/>
    <x v="11"/>
    <x v="3"/>
    <x v="3"/>
    <x v="0"/>
    <x v="3"/>
    <x v="3"/>
    <x v="0"/>
    <x v="231"/>
    <s v="-"/>
    <x v="2"/>
    <x v="0"/>
    <x v="10"/>
    <n v="-122001.5"/>
  </r>
  <r>
    <x v="169"/>
    <x v="11"/>
    <x v="7"/>
    <x v="9"/>
    <x v="1"/>
    <x v="5"/>
    <x v="12"/>
    <x v="0"/>
    <x v="231"/>
    <s v="-"/>
    <x v="4"/>
    <x v="2"/>
    <x v="8"/>
    <n v="-100"/>
  </r>
  <r>
    <x v="169"/>
    <x v="11"/>
    <x v="6"/>
    <x v="6"/>
    <x v="0"/>
    <x v="5"/>
    <x v="8"/>
    <x v="0"/>
    <x v="0"/>
    <s v="-"/>
    <x v="0"/>
    <x v="2"/>
    <x v="6"/>
    <n v="2288.37"/>
  </r>
  <r>
    <x v="169"/>
    <x v="11"/>
    <x v="3"/>
    <x v="3"/>
    <x v="0"/>
    <x v="3"/>
    <x v="3"/>
    <x v="0"/>
    <x v="231"/>
    <s v="-"/>
    <x v="2"/>
    <x v="0"/>
    <x v="10"/>
    <n v="0"/>
  </r>
  <r>
    <x v="170"/>
    <x v="11"/>
    <x v="1"/>
    <x v="1"/>
    <x v="1"/>
    <x v="1"/>
    <x v="1"/>
    <x v="0"/>
    <x v="14"/>
    <s v="-"/>
    <x v="1"/>
    <x v="0"/>
    <x v="9"/>
    <n v="-700"/>
  </r>
  <r>
    <x v="171"/>
    <x v="11"/>
    <x v="9"/>
    <x v="11"/>
    <x v="1"/>
    <x v="6"/>
    <x v="13"/>
    <x v="0"/>
    <x v="14"/>
    <s v="-"/>
    <x v="1"/>
    <x v="0"/>
    <x v="9"/>
    <n v="-4885"/>
  </r>
  <r>
    <x v="171"/>
    <x v="11"/>
    <x v="10"/>
    <x v="12"/>
    <x v="2"/>
    <x v="7"/>
    <x v="14"/>
    <x v="0"/>
    <x v="14"/>
    <s v="-"/>
    <x v="2"/>
    <x v="0"/>
    <x v="9"/>
    <n v="-70"/>
  </r>
  <r>
    <x v="171"/>
    <x v="11"/>
    <x v="1"/>
    <x v="13"/>
    <x v="1"/>
    <x v="9"/>
    <x v="16"/>
    <x v="0"/>
    <x v="232"/>
    <s v="-"/>
    <x v="2"/>
    <x v="0"/>
    <x v="9"/>
    <n v="-4498.5"/>
  </r>
  <r>
    <x v="172"/>
    <x v="11"/>
    <x v="1"/>
    <x v="1"/>
    <x v="2"/>
    <x v="72"/>
    <x v="106"/>
    <x v="0"/>
    <x v="14"/>
    <s v="-"/>
    <x v="1"/>
    <x v="0"/>
    <x v="9"/>
    <n v="-150"/>
  </r>
  <r>
    <x v="173"/>
    <x v="11"/>
    <x v="2"/>
    <x v="18"/>
    <x v="2"/>
    <x v="25"/>
    <x v="183"/>
    <x v="0"/>
    <x v="14"/>
    <s v="-"/>
    <x v="1"/>
    <x v="0"/>
    <x v="9"/>
    <n v="-1000"/>
  </r>
  <r>
    <x v="173"/>
    <x v="11"/>
    <x v="9"/>
    <x v="17"/>
    <x v="1"/>
    <x v="21"/>
    <x v="32"/>
    <x v="0"/>
    <x v="233"/>
    <s v="-"/>
    <x v="2"/>
    <x v="0"/>
    <x v="9"/>
    <n v="-1120"/>
  </r>
  <r>
    <x v="174"/>
    <x v="11"/>
    <x v="7"/>
    <x v="9"/>
    <x v="1"/>
    <x v="5"/>
    <x v="17"/>
    <x v="0"/>
    <x v="231"/>
    <s v="-"/>
    <x v="4"/>
    <x v="2"/>
    <x v="8"/>
    <n v="-56.5"/>
  </r>
  <r>
    <x v="175"/>
    <x v="11"/>
    <x v="2"/>
    <x v="23"/>
    <x v="2"/>
    <x v="37"/>
    <x v="51"/>
    <x v="0"/>
    <x v="14"/>
    <s v="-"/>
    <x v="1"/>
    <x v="0"/>
    <x v="9"/>
    <n v="-1165.5899999999999"/>
  </r>
  <r>
    <x v="175"/>
    <x v="11"/>
    <x v="9"/>
    <x v="19"/>
    <x v="2"/>
    <x v="30"/>
    <x v="43"/>
    <x v="0"/>
    <x v="0"/>
    <s v="11/12"/>
    <x v="6"/>
    <x v="0"/>
    <x v="9"/>
    <n v="-24.16"/>
  </r>
  <r>
    <x v="175"/>
    <x v="11"/>
    <x v="9"/>
    <x v="19"/>
    <x v="2"/>
    <x v="31"/>
    <x v="44"/>
    <x v="0"/>
    <x v="169"/>
    <s v="8/12"/>
    <x v="6"/>
    <x v="0"/>
    <x v="9"/>
    <n v="-413.38"/>
  </r>
  <r>
    <x v="175"/>
    <x v="11"/>
    <x v="2"/>
    <x v="21"/>
    <x v="2"/>
    <x v="33"/>
    <x v="46"/>
    <x v="0"/>
    <x v="14"/>
    <s v="-"/>
    <x v="6"/>
    <x v="0"/>
    <x v="9"/>
    <n v="-235.52"/>
  </r>
  <r>
    <x v="175"/>
    <x v="11"/>
    <x v="11"/>
    <x v="14"/>
    <x v="3"/>
    <x v="87"/>
    <x v="141"/>
    <x v="1"/>
    <x v="174"/>
    <s v="8/8"/>
    <x v="6"/>
    <x v="2"/>
    <x v="9"/>
    <n v="-2288.37"/>
  </r>
  <r>
    <x v="175"/>
    <x v="11"/>
    <x v="7"/>
    <x v="32"/>
    <x v="2"/>
    <x v="5"/>
    <x v="144"/>
    <x v="0"/>
    <x v="150"/>
    <s v="8/12"/>
    <x v="6"/>
    <x v="2"/>
    <x v="9"/>
    <n v="-12.5"/>
  </r>
  <r>
    <x v="176"/>
    <x v="11"/>
    <x v="1"/>
    <x v="24"/>
    <x v="1"/>
    <x v="39"/>
    <x v="55"/>
    <x v="0"/>
    <x v="229"/>
    <s v="-"/>
    <x v="5"/>
    <x v="0"/>
    <x v="9"/>
    <n v="-400"/>
  </r>
  <r>
    <x v="176"/>
    <x v="11"/>
    <x v="1"/>
    <x v="24"/>
    <x v="1"/>
    <x v="38"/>
    <x v="53"/>
    <x v="0"/>
    <x v="229"/>
    <s v="-"/>
    <x v="5"/>
    <x v="0"/>
    <x v="9"/>
    <n v="-1846.36"/>
  </r>
  <r>
    <x v="177"/>
    <x v="11"/>
    <x v="9"/>
    <x v="11"/>
    <x v="1"/>
    <x v="6"/>
    <x v="195"/>
    <x v="0"/>
    <x v="14"/>
    <s v="1/2"/>
    <x v="1"/>
    <x v="0"/>
    <x v="9"/>
    <n v="-2442.5"/>
  </r>
  <r>
    <x v="177"/>
    <x v="11"/>
    <x v="3"/>
    <x v="25"/>
    <x v="1"/>
    <x v="42"/>
    <x v="58"/>
    <x v="0"/>
    <x v="231"/>
    <s v="-"/>
    <x v="2"/>
    <x v="0"/>
    <x v="9"/>
    <n v="-9772.07"/>
  </r>
  <r>
    <x v="178"/>
    <x v="11"/>
    <x v="1"/>
    <x v="1"/>
    <x v="2"/>
    <x v="43"/>
    <x v="59"/>
    <x v="0"/>
    <x v="14"/>
    <s v="-"/>
    <x v="1"/>
    <x v="0"/>
    <x v="9"/>
    <n v="-180"/>
  </r>
  <r>
    <x v="178"/>
    <x v="11"/>
    <x v="1"/>
    <x v="1"/>
    <x v="2"/>
    <x v="43"/>
    <x v="60"/>
    <x v="0"/>
    <x v="14"/>
    <s v="-"/>
    <x v="1"/>
    <x v="0"/>
    <x v="9"/>
    <n v="-310"/>
  </r>
  <r>
    <x v="179"/>
    <x v="11"/>
    <x v="1"/>
    <x v="13"/>
    <x v="1"/>
    <x v="9"/>
    <x v="196"/>
    <x v="0"/>
    <x v="234"/>
    <s v="-"/>
    <x v="2"/>
    <x v="0"/>
    <x v="9"/>
    <n v="-2500"/>
  </r>
  <r>
    <x v="179"/>
    <x v="11"/>
    <x v="2"/>
    <x v="2"/>
    <x v="2"/>
    <x v="97"/>
    <x v="168"/>
    <x v="0"/>
    <x v="231"/>
    <s v="-"/>
    <x v="2"/>
    <x v="0"/>
    <x v="11"/>
    <n v="-16438.849999999999"/>
  </r>
  <r>
    <x v="180"/>
    <x v="12"/>
    <x v="3"/>
    <x v="3"/>
    <x v="0"/>
    <x v="3"/>
    <x v="3"/>
    <x v="0"/>
    <x v="235"/>
    <s v="-"/>
    <x v="2"/>
    <x v="0"/>
    <x v="10"/>
    <n v="-134686.93"/>
  </r>
  <r>
    <x v="180"/>
    <x v="12"/>
    <x v="7"/>
    <x v="9"/>
    <x v="1"/>
    <x v="5"/>
    <x v="12"/>
    <x v="0"/>
    <x v="235"/>
    <s v="-"/>
    <x v="4"/>
    <x v="2"/>
    <x v="8"/>
    <n v="-100"/>
  </r>
  <r>
    <x v="180"/>
    <x v="12"/>
    <x v="6"/>
    <x v="6"/>
    <x v="0"/>
    <x v="5"/>
    <x v="8"/>
    <x v="0"/>
    <x v="0"/>
    <s v="-"/>
    <x v="0"/>
    <x v="2"/>
    <x v="6"/>
    <n v="0"/>
  </r>
  <r>
    <x v="180"/>
    <x v="12"/>
    <x v="3"/>
    <x v="3"/>
    <x v="0"/>
    <x v="3"/>
    <x v="3"/>
    <x v="0"/>
    <x v="235"/>
    <s v="-"/>
    <x v="2"/>
    <x v="0"/>
    <x v="10"/>
    <n v="0"/>
  </r>
  <r>
    <x v="181"/>
    <x v="12"/>
    <x v="1"/>
    <x v="1"/>
    <x v="1"/>
    <x v="1"/>
    <x v="1"/>
    <x v="0"/>
    <x v="14"/>
    <s v="-"/>
    <x v="1"/>
    <x v="0"/>
    <x v="9"/>
    <n v="-700"/>
  </r>
  <r>
    <x v="182"/>
    <x v="12"/>
    <x v="9"/>
    <x v="11"/>
    <x v="1"/>
    <x v="6"/>
    <x v="13"/>
    <x v="0"/>
    <x v="14"/>
    <s v="-"/>
    <x v="1"/>
    <x v="0"/>
    <x v="9"/>
    <n v="-4885"/>
  </r>
  <r>
    <x v="182"/>
    <x v="12"/>
    <x v="10"/>
    <x v="12"/>
    <x v="2"/>
    <x v="7"/>
    <x v="14"/>
    <x v="0"/>
    <x v="14"/>
    <s v="-"/>
    <x v="2"/>
    <x v="0"/>
    <x v="9"/>
    <n v="-70"/>
  </r>
  <r>
    <x v="182"/>
    <x v="12"/>
    <x v="1"/>
    <x v="13"/>
    <x v="1"/>
    <x v="9"/>
    <x v="16"/>
    <x v="0"/>
    <x v="231"/>
    <s v="-"/>
    <x v="2"/>
    <x v="0"/>
    <x v="9"/>
    <n v="-4498.5"/>
  </r>
  <r>
    <x v="183"/>
    <x v="12"/>
    <x v="1"/>
    <x v="1"/>
    <x v="2"/>
    <x v="72"/>
    <x v="106"/>
    <x v="0"/>
    <x v="14"/>
    <s v="-"/>
    <x v="1"/>
    <x v="0"/>
    <x v="9"/>
    <n v="-150"/>
  </r>
  <r>
    <x v="184"/>
    <x v="12"/>
    <x v="2"/>
    <x v="18"/>
    <x v="2"/>
    <x v="25"/>
    <x v="183"/>
    <x v="0"/>
    <x v="14"/>
    <s v="-"/>
    <x v="1"/>
    <x v="0"/>
    <x v="9"/>
    <n v="-1000"/>
  </r>
  <r>
    <x v="184"/>
    <x v="12"/>
    <x v="9"/>
    <x v="17"/>
    <x v="1"/>
    <x v="21"/>
    <x v="32"/>
    <x v="0"/>
    <x v="236"/>
    <s v="-"/>
    <x v="2"/>
    <x v="0"/>
    <x v="9"/>
    <n v="-1120"/>
  </r>
  <r>
    <x v="185"/>
    <x v="12"/>
    <x v="7"/>
    <x v="9"/>
    <x v="1"/>
    <x v="5"/>
    <x v="17"/>
    <x v="0"/>
    <x v="235"/>
    <s v="-"/>
    <x v="4"/>
    <x v="2"/>
    <x v="8"/>
    <n v="-56.5"/>
  </r>
  <r>
    <x v="186"/>
    <x v="12"/>
    <x v="2"/>
    <x v="23"/>
    <x v="2"/>
    <x v="37"/>
    <x v="51"/>
    <x v="0"/>
    <x v="14"/>
    <s v="-"/>
    <x v="1"/>
    <x v="0"/>
    <x v="9"/>
    <n v="-1165.5899999999999"/>
  </r>
  <r>
    <x v="186"/>
    <x v="12"/>
    <x v="9"/>
    <x v="19"/>
    <x v="2"/>
    <x v="30"/>
    <x v="43"/>
    <x v="0"/>
    <x v="0"/>
    <s v="12/12"/>
    <x v="6"/>
    <x v="0"/>
    <x v="9"/>
    <n v="-24.16"/>
  </r>
  <r>
    <x v="186"/>
    <x v="12"/>
    <x v="9"/>
    <x v="19"/>
    <x v="2"/>
    <x v="31"/>
    <x v="44"/>
    <x v="0"/>
    <x v="169"/>
    <s v="9/12"/>
    <x v="6"/>
    <x v="0"/>
    <x v="9"/>
    <n v="-413.38"/>
  </r>
  <r>
    <x v="186"/>
    <x v="12"/>
    <x v="2"/>
    <x v="21"/>
    <x v="2"/>
    <x v="33"/>
    <x v="46"/>
    <x v="0"/>
    <x v="14"/>
    <s v="-"/>
    <x v="6"/>
    <x v="0"/>
    <x v="9"/>
    <n v="-235.52"/>
  </r>
  <r>
    <x v="186"/>
    <x v="12"/>
    <x v="10"/>
    <x v="16"/>
    <x v="2"/>
    <x v="109"/>
    <x v="197"/>
    <x v="0"/>
    <x v="14"/>
    <s v="-"/>
    <x v="2"/>
    <x v="0"/>
    <x v="9"/>
    <n v="-1500"/>
  </r>
  <r>
    <x v="186"/>
    <x v="12"/>
    <x v="2"/>
    <x v="15"/>
    <x v="2"/>
    <x v="109"/>
    <x v="198"/>
    <x v="0"/>
    <x v="14"/>
    <s v="-"/>
    <x v="2"/>
    <x v="0"/>
    <x v="9"/>
    <n v="-2500"/>
  </r>
  <r>
    <x v="186"/>
    <x v="12"/>
    <x v="7"/>
    <x v="32"/>
    <x v="2"/>
    <x v="5"/>
    <x v="144"/>
    <x v="0"/>
    <x v="150"/>
    <s v="9/12"/>
    <x v="6"/>
    <x v="2"/>
    <x v="9"/>
    <n v="-12.5"/>
  </r>
  <r>
    <x v="187"/>
    <x v="12"/>
    <x v="9"/>
    <x v="11"/>
    <x v="1"/>
    <x v="6"/>
    <x v="195"/>
    <x v="0"/>
    <x v="14"/>
    <s v="2/2"/>
    <x v="1"/>
    <x v="0"/>
    <x v="9"/>
    <n v="-2442.5"/>
  </r>
  <r>
    <x v="187"/>
    <x v="12"/>
    <x v="1"/>
    <x v="24"/>
    <x v="1"/>
    <x v="39"/>
    <x v="55"/>
    <x v="0"/>
    <x v="231"/>
    <s v="-"/>
    <x v="5"/>
    <x v="0"/>
    <x v="9"/>
    <n v="-400"/>
  </r>
  <r>
    <x v="187"/>
    <x v="12"/>
    <x v="1"/>
    <x v="24"/>
    <x v="1"/>
    <x v="38"/>
    <x v="199"/>
    <x v="0"/>
    <x v="234"/>
    <s v="-"/>
    <x v="5"/>
    <x v="0"/>
    <x v="9"/>
    <n v="-1846.36"/>
  </r>
  <r>
    <x v="187"/>
    <x v="12"/>
    <x v="1"/>
    <x v="24"/>
    <x v="1"/>
    <x v="38"/>
    <x v="53"/>
    <x v="0"/>
    <x v="231"/>
    <s v="-"/>
    <x v="5"/>
    <x v="0"/>
    <x v="9"/>
    <n v="-1846.36"/>
  </r>
  <r>
    <x v="187"/>
    <x v="12"/>
    <x v="1"/>
    <x v="13"/>
    <x v="1"/>
    <x v="9"/>
    <x v="200"/>
    <x v="0"/>
    <x v="234"/>
    <s v="-"/>
    <x v="2"/>
    <x v="0"/>
    <x v="9"/>
    <n v="-1981.18"/>
  </r>
  <r>
    <x v="188"/>
    <x v="12"/>
    <x v="3"/>
    <x v="25"/>
    <x v="1"/>
    <x v="42"/>
    <x v="58"/>
    <x v="0"/>
    <x v="235"/>
    <s v="-"/>
    <x v="2"/>
    <x v="0"/>
    <x v="9"/>
    <n v="-9772.07"/>
  </r>
  <r>
    <x v="189"/>
    <x v="12"/>
    <x v="1"/>
    <x v="1"/>
    <x v="2"/>
    <x v="43"/>
    <x v="59"/>
    <x v="0"/>
    <x v="14"/>
    <s v="-"/>
    <x v="1"/>
    <x v="0"/>
    <x v="9"/>
    <n v="-180"/>
  </r>
  <r>
    <x v="189"/>
    <x v="12"/>
    <x v="1"/>
    <x v="1"/>
    <x v="2"/>
    <x v="43"/>
    <x v="60"/>
    <x v="0"/>
    <x v="14"/>
    <s v="-"/>
    <x v="1"/>
    <x v="0"/>
    <x v="9"/>
    <n v="-310"/>
  </r>
  <r>
    <x v="190"/>
    <x v="12"/>
    <x v="2"/>
    <x v="2"/>
    <x v="2"/>
    <x v="97"/>
    <x v="168"/>
    <x v="0"/>
    <x v="235"/>
    <s v="-"/>
    <x v="2"/>
    <x v="0"/>
    <x v="11"/>
    <n v="-12438.85"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  <r>
    <x v="101"/>
    <x v="5"/>
    <x v="14"/>
    <x v="34"/>
    <x v="5"/>
    <x v="98"/>
    <x v="171"/>
    <x v="5"/>
    <x v="215"/>
    <m/>
    <x v="8"/>
    <x v="3"/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FFF56-31E9-4992-83BC-46E8DD4202F3}" name="Tabela dinâmica1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B17:L53" firstHeaderRow="1" firstDataRow="2" firstDataCol="1" rowPageCount="6" colPageCount="1"/>
  <pivotFields count="14">
    <pivotField numFmtId="165" showAll="0">
      <items count="1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2"/>
        <item x="161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01"/>
        <item t="default"/>
      </items>
    </pivotField>
    <pivotField axis="axisCol" showAll="0" sortType="ascending">
      <items count="14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5"/>
        <item t="default"/>
      </items>
    </pivotField>
    <pivotField showAll="0" sortType="ascending">
      <items count="17">
        <item sd="0" x="0"/>
        <item sd="0" x="12"/>
        <item sd="0" m="1" x="15"/>
        <item x="13"/>
        <item sd="0" x="6"/>
        <item sd="0" x="8"/>
        <item sd="0" x="9"/>
        <item sd="0" x="1"/>
        <item sd="0" x="2"/>
        <item sd="0" x="10"/>
        <item sd="0" x="7"/>
        <item sd="0" x="4"/>
        <item sd="0" x="11"/>
        <item sd="0" x="3"/>
        <item sd="0" x="5"/>
        <item x="14"/>
        <item t="default"/>
      </items>
    </pivotField>
    <pivotField axis="axisRow" showAll="0" sortType="ascending">
      <items count="47">
        <item h="1" sd="0" x="0"/>
        <item sd="0" x="7"/>
        <item h="1" sd="0" x="27"/>
        <item h="1" m="1" x="43"/>
        <item h="1" m="1" x="41"/>
        <item h="1" x="28"/>
        <item x="6"/>
        <item h="1" m="1" x="45"/>
        <item h="1" sd="0" x="10"/>
        <item h="1" sd="0" x="11"/>
        <item h="1" sd="0" m="1" x="40"/>
        <item h="1" sd="0" x="17"/>
        <item h="1" sd="0" m="1" x="37"/>
        <item h="1" sd="0" x="26"/>
        <item h="1" sd="0" x="20"/>
        <item h="1" x="19"/>
        <item h="1" sd="0" x="13"/>
        <item h="1" sd="0" m="1" x="36"/>
        <item h="1" sd="0" x="24"/>
        <item h="1" sd="0" m="1" x="38"/>
        <item h="1" sd="0" x="1"/>
        <item h="1" sd="0" m="1" x="44"/>
        <item h="1" sd="0" x="30"/>
        <item h="1" sd="0" m="1" x="39"/>
        <item h="1" sd="0" x="33"/>
        <item h="1" x="31"/>
        <item h="1" sd="0" x="21"/>
        <item h="1" sd="0" x="23"/>
        <item h="1" sd="0" x="2"/>
        <item h="1" sd="0" x="15"/>
        <item h="1" sd="0" x="29"/>
        <item h="1" sd="0" x="18"/>
        <item h="1" sd="0" m="1" x="42"/>
        <item h="1" sd="0" x="16"/>
        <item h="1" sd="0" m="1" x="35"/>
        <item h="1" sd="0" x="12"/>
        <item h="1" sd="0" x="8"/>
        <item h="1" x="9"/>
        <item h="1" x="32"/>
        <item h="1" sd="0" x="4"/>
        <item x="14"/>
        <item h="1" sd="0" x="22"/>
        <item h="1" sd="0" x="3"/>
        <item h="1" sd="0" x="25"/>
        <item h="1" sd="0" x="5"/>
        <item h="1" x="34"/>
        <item t="default"/>
      </items>
    </pivotField>
    <pivotField axis="axisPage" showAll="0">
      <items count="7">
        <item x="0"/>
        <item x="1"/>
        <item x="2"/>
        <item x="5"/>
        <item x="3"/>
        <item x="4"/>
        <item t="default"/>
      </items>
    </pivotField>
    <pivotField axis="axisRow" multipleItemSelectionAllowed="1" showAll="0" sortType="ascending">
      <items count="193">
        <item x="70"/>
        <item m="1" x="118"/>
        <item m="1" x="165"/>
        <item m="1" x="178"/>
        <item m="1" x="182"/>
        <item x="9"/>
        <item x="2"/>
        <item m="1" x="146"/>
        <item x="91"/>
        <item m="1" x="154"/>
        <item x="83"/>
        <item x="4"/>
        <item m="1" x="153"/>
        <item x="24"/>
        <item m="1" x="187"/>
        <item m="1" x="186"/>
        <item x="102"/>
        <item x="3"/>
        <item x="21"/>
        <item m="1" x="156"/>
        <item x="5"/>
        <item x="0"/>
        <item x="19"/>
        <item x="67"/>
        <item x="69"/>
        <item x="42"/>
        <item m="1" x="114"/>
        <item x="30"/>
        <item x="65"/>
        <item m="1" x="148"/>
        <item x="74"/>
        <item m="1" x="191"/>
        <item m="1" x="166"/>
        <item x="104"/>
        <item x="93"/>
        <item m="1" x="150"/>
        <item m="1" x="162"/>
        <item x="57"/>
        <item m="1" x="179"/>
        <item x="55"/>
        <item x="17"/>
        <item x="60"/>
        <item x="99"/>
        <item x="103"/>
        <item x="37"/>
        <item x="50"/>
        <item m="1" x="181"/>
        <item m="1" x="142"/>
        <item x="35"/>
        <item x="31"/>
        <item m="1" x="169"/>
        <item x="97"/>
        <item x="105"/>
        <item m="1" x="121"/>
        <item m="1" x="139"/>
        <item m="1" x="120"/>
        <item m="1" x="172"/>
        <item x="11"/>
        <item m="1" x="185"/>
        <item x="25"/>
        <item m="1" x="151"/>
        <item x="101"/>
        <item m="1" x="122"/>
        <item x="22"/>
        <item x="23"/>
        <item m="1" x="133"/>
        <item x="51"/>
        <item x="52"/>
        <item m="1" x="113"/>
        <item m="1" x="188"/>
        <item x="109"/>
        <item x="89"/>
        <item x="96"/>
        <item x="41"/>
        <item m="1" x="143"/>
        <item x="90"/>
        <item m="1" x="112"/>
        <item x="88"/>
        <item x="64"/>
        <item m="1" x="141"/>
        <item x="80"/>
        <item x="71"/>
        <item x="87"/>
        <item m="1" x="132"/>
        <item m="1" x="168"/>
        <item m="1" x="161"/>
        <item x="58"/>
        <item m="1" x="158"/>
        <item x="107"/>
        <item x="82"/>
        <item m="1" x="183"/>
        <item m="1" x="125"/>
        <item x="14"/>
        <item x="46"/>
        <item x="61"/>
        <item x="40"/>
        <item m="1" x="134"/>
        <item x="92"/>
        <item m="1" x="144"/>
        <item m="1" x="171"/>
        <item x="100"/>
        <item x="16"/>
        <item m="1" x="167"/>
        <item x="73"/>
        <item x="95"/>
        <item m="1" x="170"/>
        <item m="1" x="184"/>
        <item m="1" x="147"/>
        <item m="1" x="129"/>
        <item x="34"/>
        <item x="68"/>
        <item m="1" x="131"/>
        <item m="1" x="124"/>
        <item x="63"/>
        <item m="1" x="145"/>
        <item m="1" x="135"/>
        <item m="1" x="164"/>
        <item x="47"/>
        <item x="39"/>
        <item m="1" x="138"/>
        <item x="62"/>
        <item m="1" x="163"/>
        <item m="1" x="175"/>
        <item m="1" x="149"/>
        <item x="75"/>
        <item x="6"/>
        <item x="45"/>
        <item m="1" x="160"/>
        <item m="1" x="119"/>
        <item m="1" x="116"/>
        <item x="32"/>
        <item m="1" x="127"/>
        <item m="1" x="136"/>
        <item x="78"/>
        <item x="1"/>
        <item m="1" x="115"/>
        <item x="59"/>
        <item x="86"/>
        <item x="49"/>
        <item x="20"/>
        <item x="15"/>
        <item x="108"/>
        <item x="27"/>
        <item x="10"/>
        <item x="44"/>
        <item x="7"/>
        <item x="38"/>
        <item x="12"/>
        <item x="26"/>
        <item x="72"/>
        <item m="1" x="155"/>
        <item m="1" x="128"/>
        <item m="1" x="110"/>
        <item x="18"/>
        <item m="1" x="159"/>
        <item x="66"/>
        <item m="1" x="190"/>
        <item x="56"/>
        <item x="106"/>
        <item x="84"/>
        <item m="1" x="123"/>
        <item m="1" x="130"/>
        <item x="76"/>
        <item m="1" x="152"/>
        <item x="48"/>
        <item x="13"/>
        <item m="1" x="176"/>
        <item x="8"/>
        <item x="29"/>
        <item x="33"/>
        <item x="53"/>
        <item x="94"/>
        <item x="43"/>
        <item m="1" x="117"/>
        <item m="1" x="189"/>
        <item x="85"/>
        <item m="1" x="174"/>
        <item x="28"/>
        <item m="1" x="111"/>
        <item x="81"/>
        <item x="77"/>
        <item m="1" x="180"/>
        <item m="1" x="137"/>
        <item m="1" x="157"/>
        <item m="1" x="173"/>
        <item x="79"/>
        <item x="54"/>
        <item m="1" x="140"/>
        <item m="1" x="126"/>
        <item m="1" x="177"/>
        <item x="36"/>
        <item x="98"/>
        <item t="default"/>
      </items>
    </pivotField>
    <pivotField showAll="0" sortType="ascending">
      <items count="438">
        <item x="103"/>
        <item m="1" x="214"/>
        <item x="66"/>
        <item x="102"/>
        <item m="1" x="392"/>
        <item x="134"/>
        <item m="1" x="375"/>
        <item x="59"/>
        <item m="1" x="332"/>
        <item m="1" x="374"/>
        <item m="1" x="389"/>
        <item x="60"/>
        <item m="1" x="333"/>
        <item m="1" x="385"/>
        <item m="1" x="243"/>
        <item x="83"/>
        <item x="82"/>
        <item m="1" x="261"/>
        <item m="1" x="383"/>
        <item x="45"/>
        <item x="84"/>
        <item m="1" x="351"/>
        <item m="1" x="393"/>
        <item m="1" x="250"/>
        <item m="1" x="277"/>
        <item m="1" x="361"/>
        <item m="1" x="421"/>
        <item x="88"/>
        <item x="147"/>
        <item m="1" x="295"/>
        <item x="74"/>
        <item m="1" x="208"/>
        <item m="1" x="301"/>
        <item x="145"/>
        <item m="1" x="212"/>
        <item x="36"/>
        <item m="1" x="353"/>
        <item m="1" x="368"/>
        <item x="112"/>
        <item x="106"/>
        <item x="51"/>
        <item x="116"/>
        <item m="1" x="381"/>
        <item m="1" x="235"/>
        <item x="32"/>
        <item x="179"/>
        <item x="176"/>
        <item x="144"/>
        <item x="120"/>
        <item x="31"/>
        <item x="128"/>
        <item x="101"/>
        <item m="1" x="293"/>
        <item m="1" x="418"/>
        <item m="1" x="345"/>
        <item m="1" x="210"/>
        <item m="1" x="348"/>
        <item x="43"/>
        <item x="44"/>
        <item x="138"/>
        <item x="104"/>
        <item m="1" x="398"/>
        <item x="3"/>
        <item m="1" x="203"/>
        <item x="35"/>
        <item x="79"/>
        <item m="1" x="223"/>
        <item m="1" x="322"/>
        <item x="127"/>
        <item m="1" x="299"/>
        <item x="159"/>
        <item m="1" x="391"/>
        <item m="1" x="265"/>
        <item m="1" x="367"/>
        <item m="1" x="245"/>
        <item m="1" x="380"/>
        <item m="1" x="399"/>
        <item m="1" x="300"/>
        <item x="117"/>
        <item m="1" x="219"/>
        <item x="105"/>
        <item x="76"/>
        <item m="1" x="316"/>
        <item m="1" x="324"/>
        <item x="184"/>
        <item m="1" x="232"/>
        <item x="95"/>
        <item x="17"/>
        <item m="1" x="342"/>
        <item x="152"/>
        <item x="49"/>
        <item x="85"/>
        <item m="1" x="346"/>
        <item m="1" x="343"/>
        <item m="1" x="278"/>
        <item m="1" x="384"/>
        <item x="136"/>
        <item m="1" x="302"/>
        <item m="1" x="422"/>
        <item m="1" x="362"/>
        <item m="1" x="400"/>
        <item x="125"/>
        <item m="1" x="228"/>
        <item x="146"/>
        <item x="169"/>
        <item m="1" x="433"/>
        <item x="78"/>
        <item m="1" x="409"/>
        <item m="1" x="327"/>
        <item m="1" x="205"/>
        <item m="1" x="201"/>
        <item x="153"/>
        <item x="111"/>
        <item x="126"/>
        <item x="137"/>
        <item x="151"/>
        <item x="87"/>
        <item m="1" x="419"/>
        <item x="174"/>
        <item m="1" x="315"/>
        <item x="18"/>
        <item x="130"/>
        <item x="180"/>
        <item x="172"/>
        <item x="175"/>
        <item x="89"/>
        <item m="1" x="427"/>
        <item x="67"/>
        <item x="178"/>
        <item x="75"/>
        <item x="165"/>
        <item m="1" x="209"/>
        <item x="70"/>
        <item x="162"/>
        <item x="34"/>
        <item x="141"/>
        <item x="164"/>
        <item x="90"/>
        <item x="81"/>
        <item m="1" x="211"/>
        <item x="181"/>
        <item m="1" x="218"/>
        <item x="26"/>
        <item m="1" x="423"/>
        <item x="19"/>
        <item m="1" x="434"/>
        <item x="149"/>
        <item x="142"/>
        <item x="119"/>
        <item x="108"/>
        <item x="40"/>
        <item x="57"/>
        <item x="139"/>
        <item x="20"/>
        <item x="109"/>
        <item x="140"/>
        <item x="86"/>
        <item x="39"/>
        <item x="115"/>
        <item x="33"/>
        <item x="41"/>
        <item x="107"/>
        <item x="163"/>
        <item x="118"/>
        <item m="1" x="431"/>
        <item x="63"/>
        <item x="23"/>
        <item x="22"/>
        <item x="122"/>
        <item x="38"/>
        <item m="1" x="215"/>
        <item m="1" x="213"/>
        <item m="1" x="256"/>
        <item m="1" x="411"/>
        <item x="167"/>
        <item x="166"/>
        <item x="143"/>
        <item x="157"/>
        <item m="1" x="412"/>
        <item m="1" x="312"/>
        <item m="1" x="221"/>
        <item m="1" x="365"/>
        <item m="1" x="387"/>
        <item m="1" x="405"/>
        <item m="1" x="420"/>
        <item x="177"/>
        <item m="1" x="217"/>
        <item m="1" x="305"/>
        <item m="1" x="319"/>
        <item m="1" x="320"/>
        <item m="1" x="204"/>
        <item x="71"/>
        <item x="61"/>
        <item m="1" x="372"/>
        <item x="50"/>
        <item m="1" x="366"/>
        <item m="1" x="373"/>
        <item m="1" x="354"/>
        <item m="1" x="360"/>
        <item m="1" x="313"/>
        <item x="21"/>
        <item m="1" x="432"/>
        <item m="1" x="363"/>
        <item x="56"/>
        <item m="1" x="306"/>
        <item x="52"/>
        <item x="29"/>
        <item m="1" x="321"/>
        <item m="1" x="350"/>
        <item m="1" x="395"/>
        <item x="13"/>
        <item x="195"/>
        <item x="121"/>
        <item m="1" x="206"/>
        <item m="1" x="257"/>
        <item m="1" x="289"/>
        <item x="161"/>
        <item m="1" x="410"/>
        <item m="1" x="296"/>
        <item m="1" x="336"/>
        <item m="1" x="337"/>
        <item m="1" x="417"/>
        <item x="154"/>
        <item x="186"/>
        <item x="192"/>
        <item m="1" x="237"/>
        <item x="64"/>
        <item m="1" x="390"/>
        <item m="1" x="291"/>
        <item m="1" x="334"/>
        <item x="27"/>
        <item m="1" x="426"/>
        <item x="168"/>
        <item m="1" x="286"/>
        <item m="1" x="266"/>
        <item m="1" x="267"/>
        <item m="1" x="268"/>
        <item m="1" x="269"/>
        <item m="1" x="358"/>
        <item m="1" x="281"/>
        <item m="1" x="270"/>
        <item m="1" x="258"/>
        <item m="1" x="271"/>
        <item m="1" x="272"/>
        <item m="1" x="251"/>
        <item m="1" x="408"/>
        <item m="1" x="273"/>
        <item m="1" x="294"/>
        <item x="2"/>
        <item x="131"/>
        <item m="1" x="308"/>
        <item m="1" x="253"/>
        <item x="110"/>
        <item m="1" x="338"/>
        <item m="1" x="330"/>
        <item x="114"/>
        <item m="1" x="364"/>
        <item m="1" x="331"/>
        <item m="1" x="259"/>
        <item m="1" x="413"/>
        <item m="1" x="247"/>
        <item x="190"/>
        <item m="1" x="379"/>
        <item m="1" x="234"/>
        <item x="54"/>
        <item x="55"/>
        <item m="1" x="404"/>
        <item m="1" x="386"/>
        <item m="1" x="397"/>
        <item m="1" x="414"/>
        <item x="150"/>
        <item x="16"/>
        <item m="1" x="425"/>
        <item m="1" x="407"/>
        <item x="196"/>
        <item m="1" x="428"/>
        <item x="200"/>
        <item m="1" x="282"/>
        <item m="1" x="376"/>
        <item x="91"/>
        <item m="1" x="323"/>
        <item m="1" x="310"/>
        <item m="1" x="329"/>
        <item m="1" x="260"/>
        <item x="182"/>
        <item m="1" x="377"/>
        <item m="1" x="429"/>
        <item x="199"/>
        <item x="53"/>
        <item m="1" x="325"/>
        <item x="94"/>
        <item x="189"/>
        <item x="12"/>
        <item x="46"/>
        <item m="1" x="359"/>
        <item x="10"/>
        <item x="9"/>
        <item x="155"/>
        <item x="187"/>
        <item x="193"/>
        <item m="1" x="238"/>
        <item x="65"/>
        <item m="1" x="371"/>
        <item x="191"/>
        <item m="1" x="406"/>
        <item x="11"/>
        <item x="42"/>
        <item x="48"/>
        <item x="80"/>
        <item m="1" x="275"/>
        <item m="1" x="369"/>
        <item m="1" x="248"/>
        <item x="188"/>
        <item x="158"/>
        <item x="96"/>
        <item m="1" x="224"/>
        <item m="1" x="236"/>
        <item m="1" x="274"/>
        <item m="1" x="297"/>
        <item m="1" x="317"/>
        <item m="1" x="290"/>
        <item m="1" x="309"/>
        <item x="197"/>
        <item x="69"/>
        <item m="1" x="263"/>
        <item m="1" x="283"/>
        <item m="1" x="255"/>
        <item x="132"/>
        <item x="25"/>
        <item m="1" x="202"/>
        <item m="1" x="396"/>
        <item m="1" x="415"/>
        <item x="160"/>
        <item m="1" x="229"/>
        <item x="135"/>
        <item x="113"/>
        <item m="1" x="304"/>
        <item m="1" x="328"/>
        <item m="1" x="279"/>
        <item m="1" x="280"/>
        <item m="1" x="287"/>
        <item x="129"/>
        <item m="1" x="298"/>
        <item m="1" x="249"/>
        <item m="1" x="436"/>
        <item m="1" x="424"/>
        <item m="1" x="352"/>
        <item x="15"/>
        <item m="1" x="339"/>
        <item m="1" x="401"/>
        <item x="198"/>
        <item x="156"/>
        <item x="133"/>
        <item m="1" x="378"/>
        <item m="1" x="264"/>
        <item m="1" x="284"/>
        <item x="24"/>
        <item m="1" x="292"/>
        <item m="1" x="244"/>
        <item m="1" x="252"/>
        <item x="58"/>
        <item x="1"/>
        <item m="1" x="225"/>
        <item x="77"/>
        <item m="1" x="349"/>
        <item x="47"/>
        <item m="1" x="341"/>
        <item x="183"/>
        <item m="1" x="246"/>
        <item x="14"/>
        <item m="1" x="285"/>
        <item x="170"/>
        <item x="185"/>
        <item x="62"/>
        <item m="1" x="394"/>
        <item x="194"/>
        <item m="1" x="355"/>
        <item m="1" x="303"/>
        <item x="123"/>
        <item m="1" x="239"/>
        <item x="4"/>
        <item x="97"/>
        <item x="6"/>
        <item x="8"/>
        <item x="99"/>
        <item x="7"/>
        <item m="1" x="207"/>
        <item x="98"/>
        <item m="1" x="276"/>
        <item x="92"/>
        <item m="1" x="403"/>
        <item m="1" x="222"/>
        <item x="0"/>
        <item m="1" x="227"/>
        <item x="93"/>
        <item m="1" x="230"/>
        <item m="1" x="344"/>
        <item m="1" x="314"/>
        <item m="1" x="231"/>
        <item m="1" x="318"/>
        <item m="1" x="326"/>
        <item m="1" x="340"/>
        <item m="1" x="402"/>
        <item m="1" x="388"/>
        <item m="1" x="226"/>
        <item m="1" x="435"/>
        <item m="1" x="357"/>
        <item m="1" x="430"/>
        <item x="28"/>
        <item m="1" x="220"/>
        <item m="1" x="262"/>
        <item x="72"/>
        <item x="148"/>
        <item m="1" x="288"/>
        <item m="1" x="370"/>
        <item m="1" x="254"/>
        <item m="1" x="233"/>
        <item m="1" x="382"/>
        <item m="1" x="311"/>
        <item m="1" x="307"/>
        <item x="173"/>
        <item m="1" x="216"/>
        <item x="73"/>
        <item x="30"/>
        <item x="124"/>
        <item x="37"/>
        <item x="100"/>
        <item x="5"/>
        <item m="1" x="416"/>
        <item m="1" x="347"/>
        <item m="1" x="335"/>
        <item m="1" x="240"/>
        <item m="1" x="241"/>
        <item m="1" x="242"/>
        <item x="68"/>
        <item m="1" x="356"/>
        <item x="171"/>
        <item t="default"/>
      </items>
    </pivotField>
    <pivotField axis="axisPage" multipleItemSelectionAllowed="1" showAll="0">
      <items count="14">
        <item x="0"/>
        <item h="1" m="1" x="8"/>
        <item x="1"/>
        <item m="1" x="9"/>
        <item x="5"/>
        <item m="1" x="10"/>
        <item m="1" x="11"/>
        <item m="1" x="12"/>
        <item x="3"/>
        <item x="4"/>
        <item x="6"/>
        <item m="1" x="7"/>
        <item x="2"/>
        <item t="default"/>
      </items>
    </pivotField>
    <pivotField axis="axisPage" showAll="0">
      <items count="239">
        <item m="1" x="237"/>
        <item x="60"/>
        <item x="0"/>
        <item x="14"/>
        <item x="8"/>
        <item x="215"/>
        <item x="52"/>
        <item x="59"/>
        <item x="20"/>
        <item x="17"/>
        <item x="45"/>
        <item x="46"/>
        <item x="47"/>
        <item x="18"/>
        <item x="53"/>
        <item x="55"/>
        <item x="167"/>
        <item x="21"/>
        <item x="3"/>
        <item x="4"/>
        <item x="10"/>
        <item x="7"/>
        <item x="11"/>
        <item x="12"/>
        <item x="25"/>
        <item x="63"/>
        <item x="64"/>
        <item x="80"/>
        <item x="107"/>
        <item x="122"/>
        <item x="146"/>
        <item x="147"/>
        <item x="150"/>
        <item x="164"/>
        <item x="193"/>
        <item x="203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9"/>
        <item x="13"/>
        <item x="40"/>
        <item x="26"/>
        <item x="23"/>
        <item x="24"/>
        <item x="2"/>
        <item x="82"/>
        <item x="29"/>
        <item x="31"/>
        <item x="30"/>
        <item x="38"/>
        <item x="44"/>
        <item x="36"/>
        <item x="48"/>
        <item x="51"/>
        <item x="57"/>
        <item x="22"/>
        <item x="56"/>
        <item x="6"/>
        <item x="28"/>
        <item x="1"/>
        <item x="15"/>
        <item x="16"/>
        <item x="50"/>
        <item x="35"/>
        <item x="49"/>
        <item x="58"/>
        <item x="70"/>
        <item x="77"/>
        <item x="78"/>
        <item x="79"/>
        <item x="87"/>
        <item x="54"/>
        <item x="32"/>
        <item x="33"/>
        <item x="83"/>
        <item x="81"/>
        <item x="88"/>
        <item x="19"/>
        <item x="34"/>
        <item x="37"/>
        <item x="39"/>
        <item x="41"/>
        <item x="42"/>
        <item x="43"/>
        <item x="89"/>
        <item x="91"/>
        <item x="97"/>
        <item x="94"/>
        <item x="96"/>
        <item x="92"/>
        <item x="95"/>
        <item x="102"/>
        <item x="103"/>
        <item x="65"/>
        <item x="66"/>
        <item x="62"/>
        <item x="72"/>
        <item x="74"/>
        <item x="73"/>
        <item x="86"/>
        <item x="108"/>
        <item x="109"/>
        <item x="71"/>
        <item x="67"/>
        <item x="101"/>
        <item x="115"/>
        <item x="69"/>
        <item x="76"/>
        <item x="90"/>
        <item x="106"/>
        <item x="116"/>
        <item x="125"/>
        <item x="68"/>
        <item x="75"/>
        <item x="84"/>
        <item x="85"/>
        <item x="93"/>
        <item x="99"/>
        <item x="112"/>
        <item x="121"/>
        <item x="134"/>
        <item x="135"/>
        <item x="139"/>
        <item x="105"/>
        <item x="61"/>
        <item x="100"/>
        <item x="136"/>
        <item x="138"/>
        <item x="140"/>
        <item x="143"/>
        <item x="98"/>
        <item x="5"/>
        <item x="117"/>
        <item x="120"/>
        <item x="119"/>
        <item x="129"/>
        <item x="110"/>
        <item x="111"/>
        <item x="113"/>
        <item x="118"/>
        <item x="123"/>
        <item x="127"/>
        <item x="132"/>
        <item x="133"/>
        <item x="173"/>
        <item x="131"/>
        <item x="142"/>
        <item x="104"/>
        <item x="114"/>
        <item x="124"/>
        <item x="128"/>
        <item x="145"/>
        <item x="154"/>
        <item x="157"/>
        <item x="126"/>
        <item x="130"/>
        <item x="137"/>
        <item x="141"/>
        <item x="144"/>
        <item x="151"/>
        <item x="160"/>
        <item x="171"/>
        <item x="172"/>
        <item x="174"/>
        <item x="177"/>
        <item x="181"/>
        <item x="182"/>
        <item x="183"/>
        <item x="185"/>
        <item x="186"/>
        <item x="165"/>
        <item x="178"/>
        <item x="152"/>
        <item x="175"/>
        <item x="187"/>
        <item x="148"/>
        <item x="149"/>
        <item x="156"/>
        <item x="176"/>
        <item x="161"/>
        <item x="153"/>
        <item x="155"/>
        <item x="27"/>
        <item x="158"/>
        <item x="163"/>
        <item x="168"/>
        <item x="170"/>
        <item x="206"/>
        <item x="198"/>
        <item x="199"/>
        <item x="200"/>
        <item x="202"/>
        <item x="201"/>
        <item x="204"/>
        <item x="197"/>
        <item x="207"/>
        <item x="162"/>
        <item x="166"/>
        <item x="179"/>
        <item x="184"/>
        <item x="205"/>
        <item x="208"/>
        <item x="212"/>
        <item x="213"/>
        <item x="214"/>
        <item x="216"/>
        <item x="218"/>
        <item x="217"/>
        <item x="159"/>
        <item x="169"/>
        <item x="180"/>
        <item x="188"/>
        <item x="189"/>
        <item x="190"/>
        <item x="191"/>
        <item x="192"/>
        <item x="194"/>
        <item x="195"/>
        <item x="196"/>
        <item x="209"/>
        <item x="210"/>
        <item x="211"/>
        <item x="219"/>
        <item t="default"/>
      </items>
    </pivotField>
    <pivotField showAll="0"/>
    <pivotField axis="axisPage" multipleItemSelectionAllowed="1" showAll="0">
      <items count="12">
        <item x="0"/>
        <item x="1"/>
        <item m="1" x="9"/>
        <item x="4"/>
        <item x="5"/>
        <item x="2"/>
        <item x="3"/>
        <item x="8"/>
        <item m="1" x="10"/>
        <item x="6"/>
        <item x="7"/>
        <item t="default"/>
      </items>
    </pivotField>
    <pivotField axis="axisPage" multipleItemSelectionAllowed="1" showAll="0">
      <items count="7">
        <item h="1" x="3"/>
        <item m="1" x="4"/>
        <item m="1" x="5"/>
        <item x="0"/>
        <item h="1" x="1"/>
        <item x="2"/>
        <item t="default"/>
      </items>
    </pivotField>
    <pivotField axis="axisPage" multipleItemSelectionAllowed="1" showAll="0">
      <items count="18">
        <item x="12"/>
        <item x="8"/>
        <item x="13"/>
        <item x="9"/>
        <item x="1"/>
        <item x="5"/>
        <item x="11"/>
        <item x="2"/>
        <item x="10"/>
        <item x="0"/>
        <item x="6"/>
        <item x="7"/>
        <item x="3"/>
        <item x="4"/>
        <item h="1" m="1" x="16"/>
        <item h="1" m="1" x="15"/>
        <item m="1" x="14"/>
        <item t="default"/>
      </items>
    </pivotField>
    <pivotField dataField="1" numFmtId="44" showAll="0"/>
  </pivotFields>
  <rowFields count="2">
    <field x="3"/>
    <field x="5"/>
  </rowFields>
  <rowItems count="35">
    <i>
      <x v="6"/>
    </i>
    <i r="1">
      <x v="20"/>
    </i>
    <i>
      <x v="40"/>
    </i>
    <i r="1">
      <x v="16"/>
    </i>
    <i r="1">
      <x v="22"/>
    </i>
    <i r="1">
      <x v="34"/>
    </i>
    <i r="1">
      <x v="40"/>
    </i>
    <i r="1">
      <x v="61"/>
    </i>
    <i r="1">
      <x v="64"/>
    </i>
    <i r="1">
      <x v="67"/>
    </i>
    <i r="1">
      <x v="71"/>
    </i>
    <i r="1">
      <x v="72"/>
    </i>
    <i r="1">
      <x v="75"/>
    </i>
    <i r="1">
      <x v="77"/>
    </i>
    <i r="1">
      <x v="82"/>
    </i>
    <i r="1">
      <x v="89"/>
    </i>
    <i r="1">
      <x v="92"/>
    </i>
    <i r="1">
      <x v="93"/>
    </i>
    <i r="1">
      <x v="100"/>
    </i>
    <i r="1">
      <x v="104"/>
    </i>
    <i r="1">
      <x v="120"/>
    </i>
    <i r="1">
      <x v="124"/>
    </i>
    <i r="1">
      <x v="133"/>
    </i>
    <i r="1">
      <x v="137"/>
    </i>
    <i r="1">
      <x v="142"/>
    </i>
    <i r="1">
      <x v="146"/>
    </i>
    <i r="1">
      <x v="147"/>
    </i>
    <i r="1">
      <x v="148"/>
    </i>
    <i r="1">
      <x v="153"/>
    </i>
    <i r="1">
      <x v="165"/>
    </i>
    <i r="1">
      <x v="175"/>
    </i>
    <i r="1">
      <x v="177"/>
    </i>
    <i r="1">
      <x v="180"/>
    </i>
    <i r="1">
      <x v="185"/>
    </i>
    <i t="grand">
      <x/>
    </i>
  </rowItems>
  <colFields count="1">
    <field x="1"/>
  </colFields>
  <colItems count="10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6">
    <pageField fld="11" hier="-1"/>
    <pageField fld="12" hier="-1"/>
    <pageField fld="4" hier="-1"/>
    <pageField fld="10" hier="-1"/>
    <pageField fld="7" hier="-1"/>
    <pageField fld="8" hier="-1"/>
  </pageFields>
  <dataFields count="1">
    <dataField name="Soma de Valor" fld="13" baseField="0" baseItem="0" numFmtId="44"/>
  </dataFields>
  <formats count="70">
    <format dxfId="574">
      <pivotArea type="origin" dataOnly="0" labelOnly="1" outline="0" fieldPosition="0"/>
    </format>
    <format dxfId="573">
      <pivotArea type="origin" dataOnly="0" labelOnly="1" outline="0" fieldPosition="0"/>
    </format>
    <format dxfId="572">
      <pivotArea field="1" type="button" dataOnly="0" labelOnly="1" outline="0" axis="axisCol" fieldPosition="0"/>
    </format>
    <format dxfId="571">
      <pivotArea type="origin" dataOnly="0" labelOnly="1" outline="0" fieldPosition="0"/>
    </format>
    <format dxfId="570">
      <pivotArea field="1" type="button" dataOnly="0" labelOnly="1" outline="0" axis="axisCol" fieldPosition="0"/>
    </format>
    <format dxfId="569">
      <pivotArea type="topRight" dataOnly="0" labelOnly="1" outline="0" fieldPosition="0"/>
    </format>
    <format dxfId="568">
      <pivotArea dataOnly="0" labelOnly="1" grandCol="1" outline="0" fieldPosition="0"/>
    </format>
    <format dxfId="567">
      <pivotArea dataOnly="0" labelOnly="1" grandCol="1" outline="0" fieldPosition="0"/>
    </format>
    <format dxfId="566">
      <pivotArea dataOnly="0" labelOnly="1" grandCol="1" outline="0" fieldPosition="0"/>
    </format>
    <format dxfId="565">
      <pivotArea grandRow="1" outline="0" collapsedLevelsAreSubtotals="1" fieldPosition="0"/>
    </format>
    <format dxfId="564">
      <pivotArea dataOnly="0" labelOnly="1" grandRow="1" outline="0" fieldPosition="0"/>
    </format>
    <format dxfId="563">
      <pivotArea grandRow="1" outline="0" collapsedLevelsAreSubtotals="1" fieldPosition="0"/>
    </format>
    <format dxfId="562">
      <pivotArea dataOnly="0" labelOnly="1" grandRow="1" outline="0" fieldPosition="0"/>
    </format>
    <format dxfId="561">
      <pivotArea type="all" dataOnly="0" outline="0" fieldPosition="0"/>
    </format>
    <format dxfId="560">
      <pivotArea outline="0" collapsedLevelsAreSubtotals="1" fieldPosition="0"/>
    </format>
    <format dxfId="559">
      <pivotArea type="origin" dataOnly="0" labelOnly="1" outline="0" fieldPosition="0"/>
    </format>
    <format dxfId="558">
      <pivotArea field="1" type="button" dataOnly="0" labelOnly="1" outline="0" axis="axisCol" fieldPosition="0"/>
    </format>
    <format dxfId="557">
      <pivotArea type="topRight" dataOnly="0" labelOnly="1" outline="0" fieldPosition="0"/>
    </format>
    <format dxfId="556">
      <pivotArea dataOnly="0" labelOnly="1" grandRow="1" outline="0" fieldPosition="0"/>
    </format>
    <format dxfId="555">
      <pivotArea dataOnly="0" labelOnly="1" grandCol="1" outline="0" fieldPosition="0"/>
    </format>
    <format dxfId="554">
      <pivotArea dataOnly="0" labelOnly="1" grandCol="1" outline="0" fieldPosition="0"/>
    </format>
    <format dxfId="553">
      <pivotArea grandRow="1" outline="0" collapsedLevelsAreSubtotals="1" fieldPosition="0"/>
    </format>
    <format dxfId="552">
      <pivotArea dataOnly="0" labelOnly="1" grandRow="1" outline="0" fieldPosition="0"/>
    </format>
    <format dxfId="551">
      <pivotArea type="all" dataOnly="0" outline="0" fieldPosition="0"/>
    </format>
    <format dxfId="550">
      <pivotArea outline="0" collapsedLevelsAreSubtotals="1" fieldPosition="0"/>
    </format>
    <format dxfId="549">
      <pivotArea type="origin" dataOnly="0" labelOnly="1" outline="0" fieldPosition="0"/>
    </format>
    <format dxfId="548">
      <pivotArea field="1" type="button" dataOnly="0" labelOnly="1" outline="0" axis="axisCol" fieldPosition="0"/>
    </format>
    <format dxfId="547">
      <pivotArea type="topRight" dataOnly="0" labelOnly="1" outline="0" fieldPosition="0"/>
    </format>
    <format dxfId="546">
      <pivotArea dataOnly="0" labelOnly="1" grandRow="1" outline="0" fieldPosition="0"/>
    </format>
    <format dxfId="545">
      <pivotArea dataOnly="0" labelOnly="1" grandCol="1" outline="0" fieldPosition="0"/>
    </format>
    <format dxfId="544">
      <pivotArea type="all" dataOnly="0" outline="0" fieldPosition="0"/>
    </format>
    <format dxfId="543">
      <pivotArea outline="0" collapsedLevelsAreSubtotals="1" fieldPosition="0"/>
    </format>
    <format dxfId="542">
      <pivotArea type="origin" dataOnly="0" labelOnly="1" outline="0" fieldPosition="0"/>
    </format>
    <format dxfId="541">
      <pivotArea field="1" type="button" dataOnly="0" labelOnly="1" outline="0" axis="axisCol" fieldPosition="0"/>
    </format>
    <format dxfId="540">
      <pivotArea type="topRight" dataOnly="0" labelOnly="1" outline="0" fieldPosition="0"/>
    </format>
    <format dxfId="539">
      <pivotArea dataOnly="0" labelOnly="1" grandRow="1" outline="0" fieldPosition="0"/>
    </format>
    <format dxfId="538">
      <pivotArea dataOnly="0" labelOnly="1" grandCol="1" outline="0" fieldPosition="0"/>
    </format>
    <format dxfId="537">
      <pivotArea dataOnly="0" labelOnly="1" fieldPosition="0">
        <references count="1">
          <reference field="1" count="0"/>
        </references>
      </pivotArea>
    </format>
    <format dxfId="536">
      <pivotArea dataOnly="0" labelOnly="1" fieldPosition="0">
        <references count="1">
          <reference field="1" count="0"/>
        </references>
      </pivotArea>
    </format>
    <format dxfId="535">
      <pivotArea dataOnly="0" labelOnly="1" fieldPosition="0">
        <references count="1">
          <reference field="1" count="0"/>
        </references>
      </pivotArea>
    </format>
    <format dxfId="534">
      <pivotArea dataOnly="0" labelOnly="1" grandCol="1" outline="0" fieldPosition="0"/>
    </format>
    <format dxfId="533">
      <pivotArea dataOnly="0" labelOnly="1" grandCol="1" outline="0" fieldPosition="0"/>
    </format>
    <format dxfId="532">
      <pivotArea grandRow="1" outline="0" collapsedLevelsAreSubtotals="1" fieldPosition="0"/>
    </format>
    <format dxfId="531">
      <pivotArea dataOnly="0" labelOnly="1" grandRow="1" outline="0" fieldPosition="0"/>
    </format>
    <format dxfId="530">
      <pivotArea grandRow="1" outline="0" collapsedLevelsAreSubtotals="1" fieldPosition="0"/>
    </format>
    <format dxfId="529">
      <pivotArea dataOnly="0" labelOnly="1" grandRow="1" outline="0" fieldPosition="0"/>
    </format>
    <format dxfId="528">
      <pivotArea dataOnly="0" labelOnly="1" fieldPosition="0">
        <references count="1">
          <reference field="1" count="0"/>
        </references>
      </pivotArea>
    </format>
    <format dxfId="527">
      <pivotArea dataOnly="0" labelOnly="1" grandCol="1" outline="0" fieldPosition="0"/>
    </format>
    <format dxfId="526">
      <pivotArea field="2" type="button" dataOnly="0" labelOnly="1" outline="0"/>
    </format>
    <format dxfId="525">
      <pivotArea field="2" type="button" dataOnly="0" labelOnly="1" outline="0"/>
    </format>
    <format dxfId="524">
      <pivotArea field="2" type="button" dataOnly="0" labelOnly="1" outline="0"/>
    </format>
    <format dxfId="523">
      <pivotArea field="6" type="button" dataOnly="0" labelOnly="1" outline="0"/>
    </format>
    <format dxfId="522">
      <pivotArea field="6" type="button" dataOnly="0" labelOnly="1" outline="0"/>
    </format>
    <format dxfId="521">
      <pivotArea dataOnly="0" labelOnly="1" outline="0" fieldPosition="0">
        <references count="1">
          <reference field="5" count="0"/>
        </references>
      </pivotArea>
    </format>
    <format dxfId="520">
      <pivotArea type="all" dataOnly="0" outline="0" fieldPosition="0"/>
    </format>
    <format dxfId="519">
      <pivotArea outline="0" collapsedLevelsAreSubtotals="1" fieldPosition="0"/>
    </format>
    <format dxfId="518">
      <pivotArea type="origin" dataOnly="0" labelOnly="1" outline="0" fieldPosition="0"/>
    </format>
    <format dxfId="517">
      <pivotArea field="1" type="button" dataOnly="0" labelOnly="1" outline="0" axis="axisCol" fieldPosition="0"/>
    </format>
    <format dxfId="516">
      <pivotArea type="topRight" dataOnly="0" labelOnly="1" outline="0" fieldPosition="0"/>
    </format>
    <format dxfId="515">
      <pivotArea field="3" type="button" dataOnly="0" labelOnly="1" outline="0" axis="axisRow" fieldPosition="0"/>
    </format>
    <format dxfId="514">
      <pivotArea dataOnly="0" labelOnly="1" grandRow="1" outline="0" fieldPosition="0"/>
    </format>
    <format dxfId="513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12">
      <pivotArea dataOnly="0" labelOnly="1" grandCol="1" outline="0" fieldPosition="0"/>
    </format>
    <format dxfId="511">
      <pivotArea dataOnly="0" fieldPosition="0">
        <references count="1">
          <reference field="3" count="1">
            <x v="6"/>
          </reference>
        </references>
      </pivotArea>
    </format>
    <format dxfId="510">
      <pivotArea dataOnly="0" fieldPosition="0">
        <references count="1">
          <reference field="3" count="1">
            <x v="40"/>
          </reference>
        </references>
      </pivotArea>
    </format>
    <format dxfId="509">
      <pivotArea dataOnly="0" fieldPosition="0">
        <references count="1">
          <reference field="3" count="6">
            <x v="1"/>
            <x v="8"/>
            <x v="36"/>
            <x v="37"/>
            <x v="39"/>
            <x v="44"/>
          </reference>
        </references>
      </pivotArea>
    </format>
    <format dxfId="508">
      <pivotArea dataOnly="0" fieldPosition="0">
        <references count="1">
          <reference field="3" count="18">
            <x v="0"/>
            <x v="2"/>
            <x v="9"/>
            <x v="11"/>
            <x v="13"/>
            <x v="14"/>
            <x v="15"/>
            <x v="16"/>
            <x v="18"/>
            <x v="20"/>
            <x v="26"/>
            <x v="27"/>
            <x v="28"/>
            <x v="29"/>
            <x v="30"/>
            <x v="31"/>
            <x v="33"/>
            <x v="35"/>
          </reference>
        </references>
      </pivotArea>
    </format>
    <format dxfId="507">
      <pivotArea dataOnly="0" fieldPosition="0">
        <references count="1">
          <reference field="3" count="3">
            <x v="41"/>
            <x v="42"/>
            <x v="43"/>
          </reference>
        </references>
      </pivotArea>
    </format>
    <format dxfId="506">
      <pivotArea dataOnly="0" labelOnly="1" fieldPosition="0">
        <references count="1">
          <reference field="3" count="1">
            <x v="38"/>
          </reference>
        </references>
      </pivotArea>
    </format>
    <format dxfId="505">
      <pivotArea collapsedLevelsAreSubtotals="1" fieldPosition="0">
        <references count="1">
          <reference field="3" count="1">
            <x v="38"/>
          </reference>
        </references>
      </pivotArea>
    </format>
  </formats>
  <pivotTableStyleInfo name="PivotStyleLight15" showRowHeaders="1" showColHeaders="1" showRowStripes="0" showColStripes="0" showLastColumn="1"/>
  <filters count="1">
    <filter fld="0" type="dateBetween" evalOrder="-1" id="3084" name="Dia">
      <autoFilter ref="A1">
        <filterColumn colId="0">
          <customFilters and="1">
            <customFilter operator="greaterThanOrEqual" val="4611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0CD372-3F2F-43C8-83FD-FAB41B31F72F}" name="Tabela dinâ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B14:O22" firstHeaderRow="1" firstDataRow="2" firstDataCol="1" rowPageCount="1" colPageCount="1"/>
  <pivotFields count="11">
    <pivotField numFmtId="165" showAll="0">
      <items count="110">
        <item m="1" x="108"/>
        <item m="1" x="106"/>
        <item m="1" x="105"/>
        <item m="1" x="55"/>
        <item m="1" x="102"/>
        <item m="1" x="100"/>
        <item m="1" x="68"/>
        <item m="1" x="72"/>
        <item m="1" x="79"/>
        <item m="1" x="83"/>
        <item m="1" x="96"/>
        <item m="1" x="93"/>
        <item x="31"/>
        <item m="1" x="37"/>
        <item m="1" x="10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104"/>
        <item m="1" x="103"/>
        <item m="1" x="47"/>
        <item m="1" x="48"/>
        <item m="1" x="49"/>
        <item m="1" x="50"/>
        <item m="1" x="52"/>
        <item m="1" x="51"/>
        <item m="1" x="54"/>
        <item m="1" x="53"/>
        <item m="1" x="56"/>
        <item m="1" x="57"/>
        <item m="1" x="58"/>
        <item m="1" x="59"/>
        <item m="1" x="101"/>
        <item m="1" x="61"/>
        <item m="1" x="60"/>
        <item m="1" x="62"/>
        <item m="1" x="63"/>
        <item m="1" x="65"/>
        <item m="1" x="64"/>
        <item m="1" x="99"/>
        <item m="1" x="66"/>
        <item m="1" x="67"/>
        <item m="1" x="69"/>
        <item m="1" x="70"/>
        <item m="1" x="71"/>
        <item m="1" x="98"/>
        <item m="1" x="73"/>
        <item m="1" x="74"/>
        <item m="1" x="75"/>
        <item m="1" x="76"/>
        <item m="1" x="77"/>
        <item m="1" x="78"/>
        <item m="1" x="81"/>
        <item m="1" x="80"/>
        <item m="1" x="82"/>
        <item m="1" x="97"/>
        <item m="1" x="84"/>
        <item m="1" x="85"/>
        <item m="1" x="86"/>
        <item m="1" x="88"/>
        <item m="1" x="89"/>
        <item m="1" x="91"/>
        <item m="1" x="92"/>
        <item m="1" x="87"/>
        <item m="1" x="90"/>
        <item m="1" x="94"/>
        <item m="1" x="95"/>
        <item x="0"/>
        <item x="6"/>
        <item m="1" x="36"/>
        <item x="16"/>
        <item m="1" x="32"/>
        <item x="24"/>
        <item x="25"/>
        <item x="26"/>
        <item x="27"/>
        <item x="28"/>
        <item x="29"/>
        <item x="30"/>
        <item x="1"/>
        <item x="2"/>
        <item x="3"/>
        <item x="4"/>
        <item x="5"/>
        <item m="1" x="35"/>
        <item x="7"/>
        <item x="8"/>
        <item x="11"/>
        <item x="9"/>
        <item x="10"/>
        <item x="15"/>
        <item x="12"/>
        <item x="13"/>
        <item x="14"/>
        <item m="1" x="33"/>
        <item x="17"/>
        <item m="1" x="34"/>
        <item x="18"/>
        <item x="19"/>
        <item x="23"/>
        <item x="20"/>
        <item x="21"/>
        <item x="22"/>
        <item t="default"/>
      </items>
    </pivotField>
    <pivotField axis="axisCol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 sortType="ascending">
      <items count="6">
        <item sd="0" x="3"/>
        <item x="0"/>
        <item x="1"/>
        <item x="2"/>
        <item x="4"/>
        <item t="default"/>
      </items>
    </pivotField>
    <pivotField axis="axisRow" showAll="0" sortType="ascending">
      <items count="14">
        <item sd="0" m="1" x="7"/>
        <item sd="0" m="1" x="11"/>
        <item sd="0" m="1" x="8"/>
        <item sd="0" m="1" x="9"/>
        <item sd="0" m="1" x="10"/>
        <item sd="0" m="1" x="12"/>
        <item sd="0" x="0"/>
        <item sd="0" x="4"/>
        <item sd="0" x="1"/>
        <item sd="0" x="2"/>
        <item sd="0" x="3"/>
        <item sd="0" x="5"/>
        <item x="6"/>
        <item t="default"/>
      </items>
    </pivotField>
    <pivotField axis="axisRow" showAll="0">
      <items count="353">
        <item x="3"/>
        <item m="1" x="328"/>
        <item x="1"/>
        <item x="2"/>
        <item x="6"/>
        <item m="1" x="151"/>
        <item m="1" x="317"/>
        <item x="32"/>
        <item m="1" x="347"/>
        <item x="4"/>
        <item m="1" x="348"/>
        <item x="36"/>
        <item x="26"/>
        <item x="137"/>
        <item m="1" x="329"/>
        <item m="1" x="351"/>
        <item m="1" x="330"/>
        <item m="1" x="320"/>
        <item m="1" x="321"/>
        <item m="1" x="350"/>
        <item m="1" x="318"/>
        <item m="1" x="319"/>
        <item m="1" x="316"/>
        <item m="1" x="294"/>
        <item m="1" x="295"/>
        <item x="0"/>
        <item m="1" x="293"/>
        <item m="1" x="292"/>
        <item x="38"/>
        <item x="41"/>
        <item x="12"/>
        <item x="109"/>
        <item m="1" x="256"/>
        <item m="1" x="255"/>
        <item m="1" x="346"/>
        <item m="1" x="253"/>
        <item m="1" x="345"/>
        <item m="1" x="344"/>
        <item m="1" x="334"/>
        <item m="1" x="331"/>
        <item x="56"/>
        <item m="1" x="349"/>
        <item x="5"/>
        <item x="48"/>
        <item x="57"/>
        <item x="118"/>
        <item m="1" x="322"/>
        <item m="1" x="271"/>
        <item m="1" x="272"/>
        <item m="1" x="335"/>
        <item m="1" x="338"/>
        <item m="1" x="337"/>
        <item m="1" x="340"/>
        <item m="1" x="343"/>
        <item m="1" x="341"/>
        <item m="1" x="342"/>
        <item m="1" x="339"/>
        <item m="1" x="266"/>
        <item m="1" x="226"/>
        <item m="1" x="306"/>
        <item m="1" x="333"/>
        <item x="7"/>
        <item m="1" x="252"/>
        <item m="1" x="332"/>
        <item x="85"/>
        <item m="1" x="309"/>
        <item m="1" x="310"/>
        <item m="1" x="312"/>
        <item m="1" x="313"/>
        <item m="1" x="291"/>
        <item m="1" x="290"/>
        <item m="1" x="336"/>
        <item x="34"/>
        <item x="16"/>
        <item x="17"/>
        <item x="19"/>
        <item x="18"/>
        <item m="1" x="147"/>
        <item m="1" x="148"/>
        <item m="1" x="305"/>
        <item m="1" x="303"/>
        <item m="1" x="280"/>
        <item m="1" x="304"/>
        <item m="1" x="307"/>
        <item x="53"/>
        <item x="54"/>
        <item m="1" x="156"/>
        <item m="1" x="311"/>
        <item m="1" x="314"/>
        <item m="1" x="296"/>
        <item m="1" x="297"/>
        <item m="1" x="257"/>
        <item m="1" x="302"/>
        <item m="1" x="215"/>
        <item x="67"/>
        <item m="1" x="315"/>
        <item x="60"/>
        <item x="88"/>
        <item x="24"/>
        <item m="1" x="323"/>
        <item m="1" x="324"/>
        <item m="1" x="325"/>
        <item m="1" x="326"/>
        <item m="1" x="327"/>
        <item x="89"/>
        <item m="1" x="308"/>
        <item x="77"/>
        <item x="95"/>
        <item m="1" x="275"/>
        <item m="1" x="276"/>
        <item m="1" x="277"/>
        <item x="25"/>
        <item m="1" x="278"/>
        <item m="1" x="279"/>
        <item m="1" x="298"/>
        <item m="1" x="299"/>
        <item m="1" x="284"/>
        <item m="1" x="300"/>
        <item m="1" x="301"/>
        <item m="1" x="289"/>
        <item m="1" x="146"/>
        <item x="31"/>
        <item x="33"/>
        <item m="1" x="153"/>
        <item x="35"/>
        <item x="37"/>
        <item m="1" x="162"/>
        <item m="1" x="248"/>
        <item m="1" x="173"/>
        <item m="1" x="152"/>
        <item m="1" x="154"/>
        <item m="1" x="155"/>
        <item m="1" x="263"/>
        <item m="1" x="172"/>
        <item m="1" x="282"/>
        <item m="1" x="283"/>
        <item m="1" x="285"/>
        <item m="1" x="286"/>
        <item m="1" x="287"/>
        <item m="1" x="288"/>
        <item m="1" x="281"/>
        <item m="1" x="158"/>
        <item m="1" x="163"/>
        <item m="1" x="254"/>
        <item m="1" x="246"/>
        <item m="1" x="264"/>
        <item m="1" x="244"/>
        <item m="1" x="260"/>
        <item m="1" x="265"/>
        <item m="1" x="245"/>
        <item m="1" x="150"/>
        <item m="1" x="239"/>
        <item m="1" x="261"/>
        <item m="1" x="159"/>
        <item m="1" x="161"/>
        <item m="1" x="160"/>
        <item m="1" x="267"/>
        <item m="1" x="268"/>
        <item m="1" x="274"/>
        <item m="1" x="273"/>
        <item m="1" x="269"/>
        <item m="1" x="270"/>
        <item m="1" x="164"/>
        <item m="1" x="165"/>
        <item m="1" x="166"/>
        <item m="1" x="167"/>
        <item m="1" x="168"/>
        <item m="1" x="169"/>
        <item m="1" x="170"/>
        <item m="1" x="174"/>
        <item m="1" x="262"/>
        <item m="1" x="176"/>
        <item m="1" x="178"/>
        <item m="1" x="175"/>
        <item m="1" x="177"/>
        <item m="1" x="182"/>
        <item m="1" x="259"/>
        <item m="1" x="180"/>
        <item m="1" x="183"/>
        <item m="1" x="247"/>
        <item m="1" x="171"/>
        <item m="1" x="179"/>
        <item m="1" x="186"/>
        <item m="1" x="184"/>
        <item m="1" x="185"/>
        <item m="1" x="194"/>
        <item m="1" x="188"/>
        <item m="1" x="250"/>
        <item m="1" x="251"/>
        <item x="87"/>
        <item m="1" x="187"/>
        <item m="1" x="258"/>
        <item x="20"/>
        <item m="1" x="157"/>
        <item x="22"/>
        <item x="23"/>
        <item m="1" x="145"/>
        <item m="1" x="189"/>
        <item m="1" x="190"/>
        <item m="1" x="191"/>
        <item m="1" x="192"/>
        <item m="1" x="193"/>
        <item m="1" x="234"/>
        <item m="1" x="240"/>
        <item m="1" x="195"/>
        <item m="1" x="196"/>
        <item m="1" x="197"/>
        <item m="1" x="198"/>
        <item x="94"/>
        <item m="1" x="199"/>
        <item m="1" x="200"/>
        <item m="1" x="201"/>
        <item x="9"/>
        <item x="10"/>
        <item m="1" x="205"/>
        <item m="1" x="206"/>
        <item m="1" x="230"/>
        <item m="1" x="231"/>
        <item m="1" x="235"/>
        <item m="1" x="236"/>
        <item m="1" x="249"/>
        <item m="1" x="203"/>
        <item m="1" x="202"/>
        <item m="1" x="208"/>
        <item m="1" x="213"/>
        <item m="1" x="224"/>
        <item m="1" x="204"/>
        <item m="1" x="207"/>
        <item m="1" x="214"/>
        <item m="1" x="211"/>
        <item m="1" x="209"/>
        <item m="1" x="210"/>
        <item m="1" x="212"/>
        <item m="1" x="216"/>
        <item m="1" x="181"/>
        <item m="1" x="217"/>
        <item m="1" x="222"/>
        <item m="1" x="241"/>
        <item m="1" x="242"/>
        <item m="1" x="219"/>
        <item m="1" x="220"/>
        <item m="1" x="218"/>
        <item m="1" x="243"/>
        <item m="1" x="221"/>
        <item m="1" x="225"/>
        <item x="13"/>
        <item x="14"/>
        <item m="1" x="223"/>
        <item m="1" x="140"/>
        <item m="1" x="227"/>
        <item x="11"/>
        <item m="1" x="232"/>
        <item m="1" x="238"/>
        <item x="40"/>
        <item m="1" x="228"/>
        <item x="124"/>
        <item m="1" x="229"/>
        <item m="1" x="233"/>
        <item m="1" x="237"/>
        <item m="1" x="149"/>
        <item x="21"/>
        <item x="86"/>
        <item x="99"/>
        <item x="100"/>
        <item x="101"/>
        <item x="105"/>
        <item x="106"/>
        <item x="107"/>
        <item x="108"/>
        <item x="113"/>
        <item x="114"/>
        <item m="1" x="141"/>
        <item m="1" x="142"/>
        <item x="125"/>
        <item x="126"/>
        <item m="1" x="143"/>
        <item m="1" x="138"/>
        <item x="129"/>
        <item x="132"/>
        <item x="133"/>
        <item m="1" x="144"/>
        <item x="135"/>
        <item m="1" x="139"/>
        <item x="45"/>
        <item x="8"/>
        <item x="27"/>
        <item x="28"/>
        <item x="29"/>
        <item x="30"/>
        <item x="42"/>
        <item x="43"/>
        <item x="44"/>
        <item x="50"/>
        <item x="51"/>
        <item x="52"/>
        <item x="68"/>
        <item x="69"/>
        <item x="70"/>
        <item x="81"/>
        <item x="82"/>
        <item x="83"/>
        <item x="90"/>
        <item x="91"/>
        <item x="92"/>
        <item x="96"/>
        <item x="97"/>
        <item x="102"/>
        <item x="103"/>
        <item x="110"/>
        <item x="111"/>
        <item x="116"/>
        <item x="117"/>
        <item x="121"/>
        <item x="122"/>
        <item x="130"/>
        <item x="131"/>
        <item x="39"/>
        <item x="46"/>
        <item x="47"/>
        <item x="55"/>
        <item x="15"/>
        <item x="49"/>
        <item x="58"/>
        <item x="59"/>
        <item x="115"/>
        <item x="120"/>
        <item x="127"/>
        <item x="134"/>
        <item x="64"/>
        <item x="61"/>
        <item x="62"/>
        <item x="63"/>
        <item x="75"/>
        <item x="76"/>
        <item x="128"/>
        <item x="136"/>
        <item x="65"/>
        <item x="66"/>
        <item x="71"/>
        <item x="72"/>
        <item x="73"/>
        <item x="84"/>
        <item x="93"/>
        <item x="98"/>
        <item x="104"/>
        <item x="112"/>
        <item x="119"/>
        <item x="123"/>
        <item x="74"/>
        <item x="78"/>
        <item x="79"/>
        <item x="80"/>
        <item t="default"/>
      </items>
    </pivotField>
    <pivotField showAll="0"/>
    <pivotField dataField="1" numFmtId="44" showAll="0"/>
    <pivotField showAll="0"/>
    <pivotField axis="axisPage" multipleItemSelectionAllowed="1" showAll="0">
      <items count="6">
        <item x="3"/>
        <item x="2"/>
        <item x="1"/>
        <item x="0"/>
        <item m="1" x="4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"/>
    <field x="4"/>
  </rowFields>
  <rowItems count="7"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8" hier="-1"/>
  </pageFields>
  <dataFields count="1">
    <dataField name="Soma de Valor" fld="6" baseField="0" baseItem="0" numFmtId="44"/>
  </dataFields>
  <formats count="56">
    <format dxfId="504">
      <pivotArea type="origin" dataOnly="0" labelOnly="1" outline="0" fieldPosition="0"/>
    </format>
    <format dxfId="503">
      <pivotArea type="origin" dataOnly="0" labelOnly="1" outline="0" fieldPosition="0"/>
    </format>
    <format dxfId="502">
      <pivotArea field="1" type="button" dataOnly="0" labelOnly="1" outline="0" axis="axisCol" fieldPosition="0"/>
    </format>
    <format dxfId="501">
      <pivotArea type="origin" dataOnly="0" labelOnly="1" outline="0" fieldPosition="0"/>
    </format>
    <format dxfId="500">
      <pivotArea field="1" type="button" dataOnly="0" labelOnly="1" outline="0" axis="axisCol" fieldPosition="0"/>
    </format>
    <format dxfId="499">
      <pivotArea type="topRight" dataOnly="0" labelOnly="1" outline="0" fieldPosition="0"/>
    </format>
    <format dxfId="498">
      <pivotArea field="3" type="button" dataOnly="0" labelOnly="1" outline="0" axis="axisRow" fieldPosition="0"/>
    </format>
    <format dxfId="497">
      <pivotArea field="3" type="button" dataOnly="0" labelOnly="1" outline="0" axis="axisRow" fieldPosition="0"/>
    </format>
    <format dxfId="496">
      <pivotArea dataOnly="0" labelOnly="1" grandCol="1" outline="0" fieldPosition="0"/>
    </format>
    <format dxfId="495">
      <pivotArea dataOnly="0" labelOnly="1" grandCol="1" outline="0" fieldPosition="0"/>
    </format>
    <format dxfId="494">
      <pivotArea dataOnly="0" labelOnly="1" grandCol="1" outline="0" fieldPosition="0"/>
    </format>
    <format dxfId="493">
      <pivotArea grandRow="1" outline="0" collapsedLevelsAreSubtotals="1" fieldPosition="0"/>
    </format>
    <format dxfId="492">
      <pivotArea dataOnly="0" labelOnly="1" grandRow="1" outline="0" fieldPosition="0"/>
    </format>
    <format dxfId="491">
      <pivotArea grandRow="1" outline="0" collapsedLevelsAreSubtotals="1" fieldPosition="0"/>
    </format>
    <format dxfId="490">
      <pivotArea dataOnly="0" labelOnly="1" grandRow="1" outline="0" fieldPosition="0"/>
    </format>
    <format dxfId="489">
      <pivotArea type="all" dataOnly="0" outline="0" fieldPosition="0"/>
    </format>
    <format dxfId="488">
      <pivotArea outline="0" collapsedLevelsAreSubtotals="1" fieldPosition="0"/>
    </format>
    <format dxfId="487">
      <pivotArea type="origin" dataOnly="0" labelOnly="1" outline="0" fieldPosition="0"/>
    </format>
    <format dxfId="486">
      <pivotArea field="1" type="button" dataOnly="0" labelOnly="1" outline="0" axis="axisCol" fieldPosition="0"/>
    </format>
    <format dxfId="485">
      <pivotArea type="topRight" dataOnly="0" labelOnly="1" outline="0" fieldPosition="0"/>
    </format>
    <format dxfId="484">
      <pivotArea field="3" type="button" dataOnly="0" labelOnly="1" outline="0" axis="axisRow" fieldPosition="0"/>
    </format>
    <format dxfId="483">
      <pivotArea dataOnly="0" labelOnly="1" grandRow="1" outline="0" fieldPosition="0"/>
    </format>
    <format dxfId="482">
      <pivotArea dataOnly="0" labelOnly="1" grandCol="1" outline="0" fieldPosition="0"/>
    </format>
    <format dxfId="481">
      <pivotArea dataOnly="0" labelOnly="1" grandCol="1" outline="0" fieldPosition="0"/>
    </format>
    <format dxfId="480">
      <pivotArea grandRow="1" outline="0" collapsedLevelsAreSubtotals="1" fieldPosition="0"/>
    </format>
    <format dxfId="479">
      <pivotArea dataOnly="0" labelOnly="1" grandRow="1" outline="0" fieldPosition="0"/>
    </format>
    <format dxfId="478">
      <pivotArea type="all" dataOnly="0" outline="0" fieldPosition="0"/>
    </format>
    <format dxfId="477">
      <pivotArea outline="0" collapsedLevelsAreSubtotals="1" fieldPosition="0"/>
    </format>
    <format dxfId="476">
      <pivotArea type="origin" dataOnly="0" labelOnly="1" outline="0" fieldPosition="0"/>
    </format>
    <format dxfId="475">
      <pivotArea field="1" type="button" dataOnly="0" labelOnly="1" outline="0" axis="axisCol" fieldPosition="0"/>
    </format>
    <format dxfId="474">
      <pivotArea type="topRight" dataOnly="0" labelOnly="1" outline="0" fieldPosition="0"/>
    </format>
    <format dxfId="473">
      <pivotArea field="3" type="button" dataOnly="0" labelOnly="1" outline="0" axis="axisRow" fieldPosition="0"/>
    </format>
    <format dxfId="472">
      <pivotArea dataOnly="0" labelOnly="1" grandRow="1" outline="0" fieldPosition="0"/>
    </format>
    <format dxfId="471">
      <pivotArea dataOnly="0" labelOnly="1" grandCol="1" outline="0" fieldPosition="0"/>
    </format>
    <format dxfId="470">
      <pivotArea type="all" dataOnly="0" outline="0" fieldPosition="0"/>
    </format>
    <format dxfId="469">
      <pivotArea outline="0" collapsedLevelsAreSubtotals="1" fieldPosition="0"/>
    </format>
    <format dxfId="468">
      <pivotArea type="origin" dataOnly="0" labelOnly="1" outline="0" fieldPosition="0"/>
    </format>
    <format dxfId="467">
      <pivotArea field="1" type="button" dataOnly="0" labelOnly="1" outline="0" axis="axisCol" fieldPosition="0"/>
    </format>
    <format dxfId="466">
      <pivotArea type="topRight" dataOnly="0" labelOnly="1" outline="0" fieldPosition="0"/>
    </format>
    <format dxfId="465">
      <pivotArea field="3" type="button" dataOnly="0" labelOnly="1" outline="0" axis="axisRow" fieldPosition="0"/>
    </format>
    <format dxfId="464">
      <pivotArea dataOnly="0" labelOnly="1" grandRow="1" outline="0" fieldPosition="0"/>
    </format>
    <format dxfId="463">
      <pivotArea field="2" type="button" dataOnly="0" labelOnly="1" outline="0"/>
    </format>
    <format dxfId="462">
      <pivotArea field="2" type="button" dataOnly="0" labelOnly="1" outline="0"/>
    </format>
    <format dxfId="461">
      <pivotArea field="2" type="button" dataOnly="0" labelOnly="1" outline="0"/>
    </format>
    <format dxfId="460">
      <pivotArea dataOnly="0" labelOnly="1" grandCol="1" outline="0" fieldPosition="0"/>
    </format>
    <format dxfId="459">
      <pivotArea dataOnly="0" labelOnly="1" outline="0" fieldPosition="0">
        <references count="1">
          <reference field="8" count="1">
            <x v="1"/>
          </reference>
        </references>
      </pivotArea>
    </format>
    <format dxfId="458">
      <pivotArea dataOnly="0" labelOnly="1" fieldPosition="0">
        <references count="1">
          <reference field="1" count="6">
            <x v="0"/>
            <x v="1"/>
            <x v="2"/>
            <x v="3"/>
            <x v="4"/>
            <x v="10"/>
          </reference>
        </references>
      </pivotArea>
    </format>
    <format dxfId="457">
      <pivotArea field="8" type="button" dataOnly="0" labelOnly="1" outline="0" axis="axisPage" fieldPosition="0"/>
    </format>
    <format dxfId="456">
      <pivotArea type="origin" dataOnly="0" labelOnly="1" outline="0" fieldPosition="0"/>
    </format>
    <format dxfId="455">
      <pivotArea field="2" type="button" dataOnly="0" labelOnly="1" outline="0"/>
    </format>
    <format dxfId="454">
      <pivotArea dataOnly="0" labelOnly="1" grandRow="1" outline="0" fieldPosition="0"/>
    </format>
    <format dxfId="453">
      <pivotArea dataOnly="0" fieldPosition="0">
        <references count="1">
          <reference field="3" count="1">
            <x v="8"/>
          </reference>
        </references>
      </pivotArea>
    </format>
    <format dxfId="452">
      <pivotArea dataOnly="0" fieldPosition="0">
        <references count="1">
          <reference field="3" count="5">
            <x v="6"/>
            <x v="8"/>
            <x v="9"/>
            <x v="10"/>
            <x v="11"/>
          </reference>
        </references>
      </pivotArea>
    </format>
    <format dxfId="451">
      <pivotArea dataOnly="0" labelOnly="1" fieldPosition="0">
        <references count="1">
          <reference field="1" count="7">
            <x v="5"/>
            <x v="6"/>
            <x v="7"/>
            <x v="8"/>
            <x v="9"/>
            <x v="10"/>
            <x v="11"/>
          </reference>
        </references>
      </pivotArea>
    </format>
    <format dxfId="450">
      <pivotArea dataOnly="0" labelOnly="1" fieldPosition="0">
        <references count="1">
          <reference field="3" count="1">
            <x v="7"/>
          </reference>
        </references>
      </pivotArea>
    </format>
    <format dxfId="449">
      <pivotArea collapsedLevelsAreSubtotals="1" fieldPosition="0">
        <references count="1">
          <reference field="3" count="1">
            <x v="7"/>
          </reference>
        </references>
      </pivotArea>
    </format>
  </formats>
  <pivotTableStyleInfo name="PivotStyleLight15" showRowHeaders="1" showColHeaders="1" showRowStripes="0" showColStripes="0" showLastColumn="1"/>
  <filters count="1">
    <filter fld="0" type="dateBetween" evalOrder="-1" id="861" name="Dia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5F00C-9B6D-4567-AF62-9888F4945450}" name="Tabela dinâ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C14:E20" firstHeaderRow="1" firstDataRow="2" firstDataCol="1" rowPageCount="2" colPageCount="1"/>
  <pivotFields count="11">
    <pivotField numFmtId="165" showAll="0">
      <items count="110">
        <item m="1" x="108"/>
        <item m="1" x="106"/>
        <item m="1" x="105"/>
        <item m="1" x="55"/>
        <item m="1" x="102"/>
        <item m="1" x="100"/>
        <item m="1" x="68"/>
        <item m="1" x="72"/>
        <item m="1" x="79"/>
        <item m="1" x="83"/>
        <item m="1" x="96"/>
        <item m="1" x="93"/>
        <item x="31"/>
        <item m="1" x="37"/>
        <item m="1" x="10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104"/>
        <item m="1" x="103"/>
        <item m="1" x="47"/>
        <item m="1" x="48"/>
        <item m="1" x="49"/>
        <item m="1" x="50"/>
        <item m="1" x="52"/>
        <item m="1" x="51"/>
        <item m="1" x="54"/>
        <item m="1" x="53"/>
        <item m="1" x="56"/>
        <item m="1" x="57"/>
        <item m="1" x="58"/>
        <item m="1" x="59"/>
        <item m="1" x="101"/>
        <item m="1" x="61"/>
        <item m="1" x="60"/>
        <item m="1" x="62"/>
        <item m="1" x="63"/>
        <item m="1" x="65"/>
        <item m="1" x="64"/>
        <item m="1" x="99"/>
        <item m="1" x="66"/>
        <item m="1" x="67"/>
        <item m="1" x="69"/>
        <item m="1" x="70"/>
        <item m="1" x="71"/>
        <item m="1" x="98"/>
        <item m="1" x="73"/>
        <item m="1" x="74"/>
        <item m="1" x="75"/>
        <item m="1" x="76"/>
        <item m="1" x="77"/>
        <item m="1" x="78"/>
        <item m="1" x="81"/>
        <item m="1" x="80"/>
        <item m="1" x="82"/>
        <item m="1" x="97"/>
        <item m="1" x="84"/>
        <item m="1" x="85"/>
        <item m="1" x="86"/>
        <item m="1" x="88"/>
        <item m="1" x="89"/>
        <item m="1" x="91"/>
        <item m="1" x="92"/>
        <item m="1" x="87"/>
        <item m="1" x="90"/>
        <item m="1" x="94"/>
        <item m="1" x="95"/>
        <item x="0"/>
        <item x="6"/>
        <item m="1" x="36"/>
        <item x="16"/>
        <item m="1" x="32"/>
        <item x="24"/>
        <item x="25"/>
        <item x="26"/>
        <item x="27"/>
        <item x="28"/>
        <item x="29"/>
        <item x="30"/>
        <item x="1"/>
        <item x="2"/>
        <item x="3"/>
        <item x="4"/>
        <item x="5"/>
        <item m="1" x="35"/>
        <item x="7"/>
        <item x="8"/>
        <item x="11"/>
        <item x="9"/>
        <item x="10"/>
        <item x="15"/>
        <item x="12"/>
        <item x="13"/>
        <item x="14"/>
        <item m="1" x="33"/>
        <item x="17"/>
        <item m="1" x="34"/>
        <item x="18"/>
        <item x="19"/>
        <item x="23"/>
        <item x="20"/>
        <item x="21"/>
        <item x="22"/>
        <item t="default"/>
      </items>
    </pivotField>
    <pivotField axis="axisCol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showAll="0">
      <items count="6">
        <item x="3"/>
        <item x="0"/>
        <item x="1"/>
        <item x="2"/>
        <item x="4"/>
        <item t="default"/>
      </items>
    </pivotField>
    <pivotField axis="axisRow" showAll="0">
      <items count="14">
        <item m="1" x="7"/>
        <item m="1" x="11"/>
        <item m="1" x="8"/>
        <item m="1" x="9"/>
        <item m="1" x="10"/>
        <item x="6"/>
        <item m="1" x="12"/>
        <item x="0"/>
        <item x="1"/>
        <item x="2"/>
        <item x="3"/>
        <item x="4"/>
        <item x="5"/>
        <item t="default"/>
      </items>
    </pivotField>
    <pivotField axis="axisRow" showAll="0">
      <items count="353">
        <item x="3"/>
        <item m="1" x="328"/>
        <item x="1"/>
        <item x="2"/>
        <item x="6"/>
        <item m="1" x="151"/>
        <item m="1" x="317"/>
        <item x="32"/>
        <item m="1" x="347"/>
        <item x="4"/>
        <item m="1" x="348"/>
        <item x="36"/>
        <item x="26"/>
        <item x="137"/>
        <item m="1" x="329"/>
        <item m="1" x="351"/>
        <item m="1" x="330"/>
        <item m="1" x="320"/>
        <item m="1" x="321"/>
        <item m="1" x="350"/>
        <item m="1" x="318"/>
        <item m="1" x="319"/>
        <item m="1" x="316"/>
        <item m="1" x="294"/>
        <item m="1" x="295"/>
        <item x="0"/>
        <item m="1" x="293"/>
        <item m="1" x="292"/>
        <item x="38"/>
        <item x="41"/>
        <item x="12"/>
        <item x="109"/>
        <item m="1" x="256"/>
        <item m="1" x="255"/>
        <item m="1" x="346"/>
        <item m="1" x="253"/>
        <item m="1" x="345"/>
        <item m="1" x="344"/>
        <item m="1" x="334"/>
        <item m="1" x="331"/>
        <item x="56"/>
        <item m="1" x="349"/>
        <item x="5"/>
        <item x="48"/>
        <item x="57"/>
        <item x="118"/>
        <item m="1" x="322"/>
        <item m="1" x="271"/>
        <item m="1" x="272"/>
        <item m="1" x="335"/>
        <item m="1" x="338"/>
        <item m="1" x="337"/>
        <item m="1" x="340"/>
        <item m="1" x="343"/>
        <item m="1" x="341"/>
        <item m="1" x="342"/>
        <item m="1" x="339"/>
        <item m="1" x="266"/>
        <item m="1" x="226"/>
        <item m="1" x="306"/>
        <item m="1" x="333"/>
        <item x="7"/>
        <item m="1" x="252"/>
        <item m="1" x="332"/>
        <item x="85"/>
        <item m="1" x="309"/>
        <item m="1" x="310"/>
        <item m="1" x="312"/>
        <item m="1" x="313"/>
        <item m="1" x="291"/>
        <item m="1" x="290"/>
        <item m="1" x="336"/>
        <item x="34"/>
        <item x="16"/>
        <item x="17"/>
        <item x="19"/>
        <item x="18"/>
        <item m="1" x="147"/>
        <item m="1" x="148"/>
        <item m="1" x="305"/>
        <item m="1" x="303"/>
        <item m="1" x="280"/>
        <item m="1" x="304"/>
        <item m="1" x="307"/>
        <item x="53"/>
        <item x="54"/>
        <item m="1" x="156"/>
        <item m="1" x="311"/>
        <item m="1" x="314"/>
        <item m="1" x="296"/>
        <item m="1" x="297"/>
        <item m="1" x="257"/>
        <item m="1" x="302"/>
        <item m="1" x="215"/>
        <item x="67"/>
        <item m="1" x="315"/>
        <item x="60"/>
        <item x="88"/>
        <item x="24"/>
        <item m="1" x="323"/>
        <item m="1" x="324"/>
        <item m="1" x="325"/>
        <item m="1" x="326"/>
        <item m="1" x="327"/>
        <item x="89"/>
        <item m="1" x="308"/>
        <item x="77"/>
        <item x="95"/>
        <item m="1" x="275"/>
        <item m="1" x="276"/>
        <item m="1" x="277"/>
        <item x="25"/>
        <item m="1" x="278"/>
        <item m="1" x="279"/>
        <item m="1" x="298"/>
        <item m="1" x="299"/>
        <item m="1" x="284"/>
        <item m="1" x="300"/>
        <item m="1" x="301"/>
        <item m="1" x="289"/>
        <item m="1" x="146"/>
        <item x="31"/>
        <item x="33"/>
        <item m="1" x="153"/>
        <item x="35"/>
        <item x="37"/>
        <item m="1" x="162"/>
        <item m="1" x="248"/>
        <item m="1" x="173"/>
        <item m="1" x="152"/>
        <item m="1" x="154"/>
        <item m="1" x="155"/>
        <item m="1" x="263"/>
        <item m="1" x="172"/>
        <item m="1" x="282"/>
        <item m="1" x="283"/>
        <item m="1" x="285"/>
        <item m="1" x="286"/>
        <item m="1" x="287"/>
        <item m="1" x="288"/>
        <item m="1" x="281"/>
        <item m="1" x="158"/>
        <item m="1" x="163"/>
        <item m="1" x="254"/>
        <item m="1" x="246"/>
        <item m="1" x="264"/>
        <item m="1" x="244"/>
        <item m="1" x="260"/>
        <item m="1" x="265"/>
        <item m="1" x="245"/>
        <item m="1" x="150"/>
        <item m="1" x="239"/>
        <item m="1" x="261"/>
        <item m="1" x="159"/>
        <item m="1" x="161"/>
        <item m="1" x="160"/>
        <item m="1" x="267"/>
        <item m="1" x="268"/>
        <item m="1" x="274"/>
        <item m="1" x="273"/>
        <item m="1" x="269"/>
        <item m="1" x="270"/>
        <item m="1" x="164"/>
        <item m="1" x="165"/>
        <item m="1" x="166"/>
        <item m="1" x="167"/>
        <item m="1" x="168"/>
        <item m="1" x="169"/>
        <item m="1" x="170"/>
        <item m="1" x="174"/>
        <item m="1" x="262"/>
        <item m="1" x="176"/>
        <item m="1" x="178"/>
        <item m="1" x="175"/>
        <item m="1" x="177"/>
        <item m="1" x="182"/>
        <item m="1" x="259"/>
        <item m="1" x="180"/>
        <item m="1" x="183"/>
        <item m="1" x="247"/>
        <item m="1" x="171"/>
        <item m="1" x="179"/>
        <item m="1" x="186"/>
        <item m="1" x="184"/>
        <item m="1" x="185"/>
        <item m="1" x="194"/>
        <item m="1" x="188"/>
        <item m="1" x="250"/>
        <item m="1" x="251"/>
        <item x="87"/>
        <item m="1" x="187"/>
        <item m="1" x="258"/>
        <item x="20"/>
        <item m="1" x="157"/>
        <item x="22"/>
        <item x="23"/>
        <item m="1" x="145"/>
        <item m="1" x="189"/>
        <item m="1" x="190"/>
        <item m="1" x="191"/>
        <item m="1" x="192"/>
        <item m="1" x="193"/>
        <item m="1" x="234"/>
        <item m="1" x="240"/>
        <item m="1" x="195"/>
        <item m="1" x="196"/>
        <item m="1" x="197"/>
        <item m="1" x="198"/>
        <item x="94"/>
        <item m="1" x="199"/>
        <item m="1" x="200"/>
        <item m="1" x="201"/>
        <item x="9"/>
        <item x="10"/>
        <item m="1" x="205"/>
        <item m="1" x="206"/>
        <item m="1" x="230"/>
        <item m="1" x="231"/>
        <item m="1" x="235"/>
        <item m="1" x="236"/>
        <item m="1" x="249"/>
        <item m="1" x="203"/>
        <item m="1" x="202"/>
        <item m="1" x="208"/>
        <item m="1" x="213"/>
        <item m="1" x="224"/>
        <item m="1" x="204"/>
        <item m="1" x="207"/>
        <item m="1" x="214"/>
        <item m="1" x="211"/>
        <item m="1" x="209"/>
        <item m="1" x="210"/>
        <item m="1" x="212"/>
        <item m="1" x="216"/>
        <item m="1" x="181"/>
        <item m="1" x="217"/>
        <item m="1" x="222"/>
        <item m="1" x="241"/>
        <item m="1" x="242"/>
        <item m="1" x="219"/>
        <item m="1" x="220"/>
        <item m="1" x="218"/>
        <item m="1" x="243"/>
        <item m="1" x="221"/>
        <item m="1" x="225"/>
        <item x="13"/>
        <item x="14"/>
        <item m="1" x="223"/>
        <item m="1" x="140"/>
        <item m="1" x="227"/>
        <item x="11"/>
        <item m="1" x="232"/>
        <item m="1" x="238"/>
        <item x="40"/>
        <item m="1" x="228"/>
        <item x="124"/>
        <item m="1" x="229"/>
        <item m="1" x="233"/>
        <item m="1" x="237"/>
        <item m="1" x="149"/>
        <item x="21"/>
        <item x="86"/>
        <item x="99"/>
        <item x="100"/>
        <item x="101"/>
        <item x="105"/>
        <item x="106"/>
        <item x="107"/>
        <item x="108"/>
        <item x="113"/>
        <item x="114"/>
        <item m="1" x="141"/>
        <item m="1" x="142"/>
        <item x="125"/>
        <item x="126"/>
        <item m="1" x="143"/>
        <item m="1" x="138"/>
        <item x="129"/>
        <item x="132"/>
        <item x="133"/>
        <item m="1" x="144"/>
        <item x="135"/>
        <item m="1" x="139"/>
        <item x="45"/>
        <item x="8"/>
        <item x="27"/>
        <item x="28"/>
        <item x="29"/>
        <item x="30"/>
        <item x="42"/>
        <item x="43"/>
        <item x="44"/>
        <item x="50"/>
        <item x="51"/>
        <item x="52"/>
        <item x="68"/>
        <item x="69"/>
        <item x="70"/>
        <item x="81"/>
        <item x="82"/>
        <item x="83"/>
        <item x="90"/>
        <item x="91"/>
        <item x="92"/>
        <item x="96"/>
        <item x="97"/>
        <item x="102"/>
        <item x="103"/>
        <item x="110"/>
        <item x="111"/>
        <item x="116"/>
        <item x="117"/>
        <item x="121"/>
        <item x="122"/>
        <item x="130"/>
        <item x="131"/>
        <item x="39"/>
        <item x="46"/>
        <item x="47"/>
        <item x="55"/>
        <item x="15"/>
        <item x="49"/>
        <item x="58"/>
        <item x="59"/>
        <item x="115"/>
        <item x="120"/>
        <item x="127"/>
        <item x="134"/>
        <item x="64"/>
        <item x="61"/>
        <item x="62"/>
        <item x="63"/>
        <item x="75"/>
        <item x="76"/>
        <item x="128"/>
        <item x="136"/>
        <item x="65"/>
        <item x="66"/>
        <item x="71"/>
        <item x="72"/>
        <item x="73"/>
        <item x="84"/>
        <item x="93"/>
        <item x="98"/>
        <item x="104"/>
        <item x="112"/>
        <item x="119"/>
        <item x="123"/>
        <item x="74"/>
        <item x="78"/>
        <item x="79"/>
        <item x="80"/>
        <item t="default"/>
      </items>
    </pivotField>
    <pivotField showAll="0"/>
    <pivotField dataField="1" numFmtId="44" showAll="0"/>
    <pivotField showAll="0"/>
    <pivotField axis="axisPage" showAll="0">
      <items count="6">
        <item x="3"/>
        <item x="2"/>
        <item x="1"/>
        <item x="0"/>
        <item m="1" x="4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4"/>
  </rowFields>
  <rowItems count="5">
    <i>
      <x v="10"/>
    </i>
    <i r="1">
      <x v="349"/>
    </i>
    <i>
      <x v="12"/>
    </i>
    <i r="1">
      <x v="94"/>
    </i>
    <i t="grand">
      <x/>
    </i>
  </rowItems>
  <colFields count="1">
    <field x="1"/>
  </colFields>
  <colItems count="2">
    <i>
      <x v="3"/>
    </i>
    <i t="grand">
      <x/>
    </i>
  </colItems>
  <pageFields count="2">
    <pageField fld="2" item="0" hier="-1"/>
    <pageField fld="8" hier="-1"/>
  </pageFields>
  <dataFields count="1">
    <dataField name="Soma de Valor" fld="6" baseField="0" baseItem="0" numFmtId="44"/>
  </dataFields>
  <formats count="67">
    <format dxfId="448">
      <pivotArea type="origin" dataOnly="0" labelOnly="1" outline="0" fieldPosition="0"/>
    </format>
    <format dxfId="447">
      <pivotArea type="origin" dataOnly="0" labelOnly="1" outline="0" fieldPosition="0"/>
    </format>
    <format dxfId="446">
      <pivotArea field="1" type="button" dataOnly="0" labelOnly="1" outline="0" axis="axisCol" fieldPosition="0"/>
    </format>
    <format dxfId="445">
      <pivotArea type="origin" dataOnly="0" labelOnly="1" outline="0" fieldPosition="0"/>
    </format>
    <format dxfId="444">
      <pivotArea field="1" type="button" dataOnly="0" labelOnly="1" outline="0" axis="axisCol" fieldPosition="0"/>
    </format>
    <format dxfId="443">
      <pivotArea type="topRight" dataOnly="0" labelOnly="1" outline="0" fieldPosition="0"/>
    </format>
    <format dxfId="442">
      <pivotArea field="3" type="button" dataOnly="0" labelOnly="1" outline="0" axis="axisRow" fieldPosition="0"/>
    </format>
    <format dxfId="441">
      <pivotArea field="3" type="button" dataOnly="0" labelOnly="1" outline="0" axis="axisRow" fieldPosition="0"/>
    </format>
    <format dxfId="440">
      <pivotArea dataOnly="0" labelOnly="1" fieldPosition="0">
        <references count="1">
          <reference field="1" count="0"/>
        </references>
      </pivotArea>
    </format>
    <format dxfId="439">
      <pivotArea dataOnly="0" labelOnly="1" grandCol="1" outline="0" fieldPosition="0"/>
    </format>
    <format dxfId="438">
      <pivotArea dataOnly="0" labelOnly="1" outline="0" fieldPosition="0">
        <references count="1">
          <reference field="2" count="1">
            <x v="0"/>
          </reference>
        </references>
      </pivotArea>
    </format>
    <format dxfId="437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36">
      <pivotArea dataOnly="0" labelOnly="1" grandCol="1" outline="0" fieldPosition="0"/>
    </format>
    <format dxfId="435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34">
      <pivotArea dataOnly="0" labelOnly="1" grandCol="1" outline="0" fieldPosition="0"/>
    </format>
    <format dxfId="433">
      <pivotArea grandRow="1" outline="0" collapsedLevelsAreSubtotals="1" fieldPosition="0"/>
    </format>
    <format dxfId="432">
      <pivotArea dataOnly="0" labelOnly="1" grandRow="1" outline="0" fieldPosition="0"/>
    </format>
    <format dxfId="431">
      <pivotArea grandRow="1" outline="0" collapsedLevelsAreSubtotals="1" fieldPosition="0"/>
    </format>
    <format dxfId="430">
      <pivotArea dataOnly="0" labelOnly="1" grandRow="1" outline="0" fieldPosition="0"/>
    </format>
    <format dxfId="429">
      <pivotArea type="all" dataOnly="0" outline="0" fieldPosition="0"/>
    </format>
    <format dxfId="428">
      <pivotArea outline="0" collapsedLevelsAreSubtotals="1" fieldPosition="0"/>
    </format>
    <format dxfId="427">
      <pivotArea type="origin" dataOnly="0" labelOnly="1" outline="0" fieldPosition="0"/>
    </format>
    <format dxfId="426">
      <pivotArea field="1" type="button" dataOnly="0" labelOnly="1" outline="0" axis="axisCol" fieldPosition="0"/>
    </format>
    <format dxfId="425">
      <pivotArea type="topRight" dataOnly="0" labelOnly="1" outline="0" fieldPosition="0"/>
    </format>
    <format dxfId="424">
      <pivotArea field="3" type="button" dataOnly="0" labelOnly="1" outline="0" axis="axisRow" fieldPosition="0"/>
    </format>
    <format dxfId="423">
      <pivotArea dataOnly="0" labelOnly="1" fieldPosition="0">
        <references count="1">
          <reference field="3" count="1">
            <x v="3"/>
          </reference>
        </references>
      </pivotArea>
    </format>
    <format dxfId="422">
      <pivotArea dataOnly="0" labelOnly="1" grandRow="1" outline="0" fieldPosition="0"/>
    </format>
    <format dxfId="421">
      <pivotArea dataOnly="0" labelOnly="1" fieldPosition="0">
        <references count="2">
          <reference field="3" count="1" selected="0">
            <x v="3"/>
          </reference>
          <reference field="4" count="9">
            <x v="14"/>
            <x v="15"/>
            <x v="16"/>
            <x v="17"/>
            <x v="18"/>
            <x v="19"/>
            <x v="20"/>
            <x v="21"/>
            <x v="22"/>
          </reference>
        </references>
      </pivotArea>
    </format>
    <format dxfId="420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19">
      <pivotArea dataOnly="0" labelOnly="1" grandCol="1" outline="0" fieldPosition="0"/>
    </format>
    <format dxfId="418">
      <pivotArea collapsedLevelsAreSubtotals="1" fieldPosition="0">
        <references count="1">
          <reference field="3" count="1">
            <x v="3"/>
          </reference>
        </references>
      </pivotArea>
    </format>
    <format dxfId="417">
      <pivotArea dataOnly="0" labelOnly="1" fieldPosition="0">
        <references count="1">
          <reference field="3" count="1">
            <x v="3"/>
          </reference>
        </references>
      </pivotArea>
    </format>
    <format dxfId="416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15">
      <pivotArea dataOnly="0" labelOnly="1" grandCol="1" outline="0" fieldPosition="0"/>
    </format>
    <format dxfId="414">
      <pivotArea grandRow="1" outline="0" collapsedLevelsAreSubtotals="1" fieldPosition="0"/>
    </format>
    <format dxfId="413">
      <pivotArea dataOnly="0" labelOnly="1" grandRow="1" outline="0" fieldPosition="0"/>
    </format>
    <format dxfId="412">
      <pivotArea collapsedLevelsAreSubtotals="1" fieldPosition="0">
        <references count="1">
          <reference field="3" count="1">
            <x v="3"/>
          </reference>
        </references>
      </pivotArea>
    </format>
    <format dxfId="411">
      <pivotArea dataOnly="0" labelOnly="1" fieldPosition="0">
        <references count="1">
          <reference field="3" count="1">
            <x v="3"/>
          </reference>
        </references>
      </pivotArea>
    </format>
    <format dxfId="410">
      <pivotArea type="all" dataOnly="0" outline="0" fieldPosition="0"/>
    </format>
    <format dxfId="409">
      <pivotArea outline="0" collapsedLevelsAreSubtotals="1" fieldPosition="0"/>
    </format>
    <format dxfId="408">
      <pivotArea type="origin" dataOnly="0" labelOnly="1" outline="0" fieldPosition="0"/>
    </format>
    <format dxfId="407">
      <pivotArea field="1" type="button" dataOnly="0" labelOnly="1" outline="0" axis="axisCol" fieldPosition="0"/>
    </format>
    <format dxfId="406">
      <pivotArea type="topRight" dataOnly="0" labelOnly="1" outline="0" fieldPosition="0"/>
    </format>
    <format dxfId="405">
      <pivotArea field="3" type="button" dataOnly="0" labelOnly="1" outline="0" axis="axisRow" fieldPosition="0"/>
    </format>
    <format dxfId="404">
      <pivotArea dataOnly="0" labelOnly="1" fieldPosition="0">
        <references count="1">
          <reference field="3" count="1">
            <x v="3"/>
          </reference>
        </references>
      </pivotArea>
    </format>
    <format dxfId="403">
      <pivotArea dataOnly="0" labelOnly="1" grandRow="1" outline="0" fieldPosition="0"/>
    </format>
    <format dxfId="402">
      <pivotArea dataOnly="0" labelOnly="1" fieldPosition="0">
        <references count="2">
          <reference field="3" count="1" selected="0">
            <x v="3"/>
          </reference>
          <reference field="4" count="9">
            <x v="14"/>
            <x v="16"/>
            <x v="17"/>
            <x v="18"/>
            <x v="19"/>
            <x v="20"/>
            <x v="21"/>
            <x v="22"/>
            <x v="39"/>
          </reference>
        </references>
      </pivotArea>
    </format>
    <format dxfId="401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00">
      <pivotArea dataOnly="0" labelOnly="1" grandCol="1" outline="0" fieldPosition="0"/>
    </format>
    <format dxfId="399">
      <pivotArea type="all" dataOnly="0" outline="0" fieldPosition="0"/>
    </format>
    <format dxfId="398">
      <pivotArea outline="0" collapsedLevelsAreSubtotals="1" fieldPosition="0"/>
    </format>
    <format dxfId="397">
      <pivotArea type="origin" dataOnly="0" labelOnly="1" outline="0" fieldPosition="0"/>
    </format>
    <format dxfId="396">
      <pivotArea field="1" type="button" dataOnly="0" labelOnly="1" outline="0" axis="axisCol" fieldPosition="0"/>
    </format>
    <format dxfId="395">
      <pivotArea type="topRight" dataOnly="0" labelOnly="1" outline="0" fieldPosition="0"/>
    </format>
    <format dxfId="394">
      <pivotArea field="3" type="button" dataOnly="0" labelOnly="1" outline="0" axis="axisRow" fieldPosition="0"/>
    </format>
    <format dxfId="393">
      <pivotArea dataOnly="0" labelOnly="1" fieldPosition="0">
        <references count="1">
          <reference field="3" count="1">
            <x v="3"/>
          </reference>
        </references>
      </pivotArea>
    </format>
    <format dxfId="392">
      <pivotArea dataOnly="0" labelOnly="1" grandRow="1" outline="0" fieldPosition="0"/>
    </format>
    <format dxfId="391">
      <pivotArea dataOnly="0" labelOnly="1" fieldPosition="0">
        <references count="2">
          <reference field="3" count="1" selected="0">
            <x v="3"/>
          </reference>
          <reference field="4" count="9">
            <x v="14"/>
            <x v="16"/>
            <x v="17"/>
            <x v="18"/>
            <x v="19"/>
            <x v="20"/>
            <x v="21"/>
            <x v="22"/>
            <x v="39"/>
          </reference>
        </references>
      </pivotArea>
    </format>
    <format dxfId="390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89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88">
      <pivotArea dataOnly="0" labelOnly="1" fieldPosition="0">
        <references count="1">
          <reference field="3" count="1">
            <x v="6"/>
          </reference>
        </references>
      </pivotArea>
    </format>
    <format dxfId="387">
      <pivotArea collapsedLevelsAreSubtotals="1" fieldPosition="0">
        <references count="1">
          <reference field="3" count="1">
            <x v="6"/>
          </reference>
        </references>
      </pivotArea>
    </format>
    <format dxfId="386">
      <pivotArea field="4" grandCol="1" collapsedLevelsAreSubtotals="1" axis="axisRow" fieldPosition="1">
        <references count="2">
          <reference field="3" count="1" selected="0">
            <x v="6"/>
          </reference>
          <reference field="4" count="3">
            <x v="92"/>
            <x v="93"/>
            <x v="94"/>
          </reference>
        </references>
      </pivotArea>
    </format>
    <format dxfId="385">
      <pivotArea collapsedLevelsAreSubtotals="1" fieldPosition="0">
        <references count="1">
          <reference field="3" count="1">
            <x v="10"/>
          </reference>
        </references>
      </pivotArea>
    </format>
    <format dxfId="384">
      <pivotArea dataOnly="0" labelOnly="1" fieldPosition="0">
        <references count="1">
          <reference field="3" count="1">
            <x v="10"/>
          </reference>
        </references>
      </pivotArea>
    </format>
    <format dxfId="383">
      <pivotArea collapsedLevelsAreSubtotals="1" fieldPosition="0">
        <references count="1">
          <reference field="3" count="1">
            <x v="12"/>
          </reference>
        </references>
      </pivotArea>
    </format>
    <format dxfId="382">
      <pivotArea dataOnly="0" labelOnly="1" fieldPosition="0">
        <references count="1">
          <reference field="3" count="1">
            <x v="12"/>
          </reference>
        </references>
      </pivotArea>
    </format>
  </formats>
  <pivotTableStyleInfo name="PivotStyleLight15" showRowHeaders="1" showColHeaders="1" showRowStripes="0" showColStripes="0" showLastColumn="1"/>
  <filters count="1">
    <filter fld="0" type="dateBetween" evalOrder="-1" id="558" name="Dia">
      <autoFilter ref="A1">
        <filterColumn colId="0">
          <customFilters and="1">
            <customFilter operator="greaterThanOrEqual" val="46113"/>
            <customFilter operator="lessThanOrEqual" val="4614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467E6-F210-4E93-A42C-4DF8EC86DB2E}" name="Tabela dinâ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C14:E22" firstHeaderRow="1" firstDataRow="2" firstDataCol="1" rowPageCount="3" colPageCount="1"/>
  <pivotFields count="11">
    <pivotField numFmtId="165" showAll="0">
      <items count="110">
        <item m="1" x="108"/>
        <item m="1" x="106"/>
        <item m="1" x="105"/>
        <item m="1" x="55"/>
        <item m="1" x="102"/>
        <item m="1" x="100"/>
        <item m="1" x="68"/>
        <item m="1" x="72"/>
        <item m="1" x="79"/>
        <item m="1" x="83"/>
        <item m="1" x="96"/>
        <item m="1" x="93"/>
        <item x="31"/>
        <item m="1" x="37"/>
        <item m="1" x="10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104"/>
        <item m="1" x="103"/>
        <item m="1" x="47"/>
        <item m="1" x="48"/>
        <item m="1" x="49"/>
        <item m="1" x="50"/>
        <item m="1" x="52"/>
        <item m="1" x="51"/>
        <item m="1" x="54"/>
        <item m="1" x="53"/>
        <item m="1" x="56"/>
        <item m="1" x="57"/>
        <item m="1" x="58"/>
        <item m="1" x="59"/>
        <item m="1" x="101"/>
        <item m="1" x="61"/>
        <item m="1" x="60"/>
        <item m="1" x="62"/>
        <item m="1" x="63"/>
        <item m="1" x="65"/>
        <item m="1" x="64"/>
        <item m="1" x="99"/>
        <item m="1" x="66"/>
        <item m="1" x="67"/>
        <item m="1" x="69"/>
        <item m="1" x="70"/>
        <item m="1" x="71"/>
        <item m="1" x="98"/>
        <item m="1" x="73"/>
        <item m="1" x="74"/>
        <item m="1" x="75"/>
        <item m="1" x="76"/>
        <item m="1" x="77"/>
        <item m="1" x="78"/>
        <item m="1" x="81"/>
        <item m="1" x="80"/>
        <item m="1" x="82"/>
        <item m="1" x="97"/>
        <item m="1" x="84"/>
        <item m="1" x="85"/>
        <item m="1" x="86"/>
        <item m="1" x="88"/>
        <item m="1" x="89"/>
        <item m="1" x="91"/>
        <item m="1" x="92"/>
        <item m="1" x="87"/>
        <item m="1" x="90"/>
        <item m="1" x="94"/>
        <item m="1" x="95"/>
        <item x="0"/>
        <item x="6"/>
        <item m="1" x="36"/>
        <item x="16"/>
        <item m="1" x="32"/>
        <item x="24"/>
        <item x="25"/>
        <item x="26"/>
        <item x="27"/>
        <item x="28"/>
        <item x="29"/>
        <item x="30"/>
        <item x="1"/>
        <item x="2"/>
        <item x="3"/>
        <item x="4"/>
        <item x="5"/>
        <item m="1" x="35"/>
        <item x="7"/>
        <item x="8"/>
        <item x="11"/>
        <item x="9"/>
        <item x="10"/>
        <item x="15"/>
        <item x="12"/>
        <item x="13"/>
        <item x="14"/>
        <item m="1" x="33"/>
        <item x="17"/>
        <item m="1" x="34"/>
        <item x="18"/>
        <item x="19"/>
        <item x="23"/>
        <item x="20"/>
        <item x="21"/>
        <item x="22"/>
        <item t="default"/>
      </items>
    </pivotField>
    <pivotField axis="axisCol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showAll="0">
      <items count="6">
        <item x="3"/>
        <item x="0"/>
        <item x="1"/>
        <item x="2"/>
        <item x="4"/>
        <item t="default"/>
      </items>
    </pivotField>
    <pivotField axis="axisRow" showAll="0">
      <items count="14">
        <item m="1" x="7"/>
        <item m="1" x="11"/>
        <item m="1" x="8"/>
        <item m="1" x="9"/>
        <item m="1" x="10"/>
        <item m="1" x="12"/>
        <item x="0"/>
        <item x="4"/>
        <item x="1"/>
        <item x="2"/>
        <item x="3"/>
        <item x="5"/>
        <item x="6"/>
        <item t="default"/>
      </items>
    </pivotField>
    <pivotField axis="axisRow" showAll="0" sortType="ascending">
      <items count="353">
        <item x="40"/>
        <item m="1" x="160"/>
        <item m="1" x="229"/>
        <item n="12" x="89"/>
        <item m="1" x="311"/>
        <item m="1" x="309"/>
        <item m="1" x="310"/>
        <item m="1" x="202"/>
        <item m="1" x="314"/>
        <item m="1" x="312"/>
        <item m="1" x="313"/>
        <item m="1" x="161"/>
        <item m="1" x="207"/>
        <item m="1" x="179"/>
        <item m="1" x="217"/>
        <item m="1" x="189"/>
        <item m="1" x="258"/>
        <item m="1" x="198"/>
        <item m="1" x="275"/>
        <item m="1" x="325"/>
        <item x="34"/>
        <item m="1" x="344"/>
        <item x="24"/>
        <item m="1" x="221"/>
        <item x="114"/>
        <item x="61"/>
        <item m="1" x="210"/>
        <item m="1" x="271"/>
        <item m="1" x="272"/>
        <item x="26"/>
        <item m="1" x="164"/>
        <item m="1" x="267"/>
        <item m="1" x="318"/>
        <item x="124"/>
        <item m="1" x="319"/>
        <item m="1" x="197"/>
        <item m="1" x="243"/>
        <item m="1" x="199"/>
        <item m="1" x="225"/>
        <item m="1" x="190"/>
        <item m="1" x="191"/>
        <item m="1" x="192"/>
        <item x="16"/>
        <item m="1" x="345"/>
        <item m="1" x="276"/>
        <item m="1" x="324"/>
        <item m="1" x="274"/>
        <item m="1" x="166"/>
        <item m="1" x="269"/>
        <item x="60"/>
        <item m="1" x="315"/>
        <item m="1" x="334"/>
        <item x="71"/>
        <item x="2"/>
        <item m="1" x="331"/>
        <item m="1" x="351"/>
        <item m="1" x="159"/>
        <item m="1" x="168"/>
        <item m="1" x="214"/>
        <item x="3"/>
        <item m="1" x="277"/>
        <item m="1" x="326"/>
        <item x="38"/>
        <item x="17"/>
        <item m="1" x="346"/>
        <item m="1" x="259"/>
        <item m="1" x="193"/>
        <item x="85"/>
        <item m="1" x="212"/>
        <item m="1" x="184"/>
        <item m="1" x="171"/>
        <item m="1" x="262"/>
        <item m="1" x="227"/>
        <item x="66"/>
        <item x="62"/>
        <item m="1" x="169"/>
        <item x="99"/>
        <item m="1" x="145"/>
        <item m="1" x="257"/>
        <item m="1" x="263"/>
        <item m="1" x="296"/>
        <item x="100"/>
        <item m="1" x="172"/>
        <item m="1" x="297"/>
        <item x="115"/>
        <item m="1" x="141"/>
        <item m="1" x="181"/>
        <item m="1" x="247"/>
        <item x="106"/>
        <item x="107"/>
        <item x="120"/>
        <item m="1" x="142"/>
        <item x="20"/>
        <item m="1" x="253"/>
        <item x="75"/>
        <item x="8"/>
        <item m="1" x="157"/>
        <item m="1" x="254"/>
        <item m="1" x="150"/>
        <item x="21"/>
        <item m="1" x="290"/>
        <item m="1" x="287"/>
        <item m="1" x="281"/>
        <item x="41"/>
        <item m="1" x="185"/>
        <item m="1" x="218"/>
        <item x="47"/>
        <item x="77"/>
        <item x="9"/>
        <item m="1" x="194"/>
        <item x="22"/>
        <item m="1" x="255"/>
        <item m="1" x="173"/>
        <item m="1" x="292"/>
        <item x="10"/>
        <item m="1" x="152"/>
        <item m="1" x="293"/>
        <item x="58"/>
        <item m="1" x="222"/>
        <item x="11"/>
        <item x="76"/>
        <item m="1" x="237"/>
        <item m="1" x="230"/>
        <item m="1" x="250"/>
        <item m="1" x="234"/>
        <item m="1" x="260"/>
        <item m="1" x="264"/>
        <item m="1" x="231"/>
        <item m="1" x="244"/>
        <item m="1" x="241"/>
        <item m="1" x="232"/>
        <item x="125"/>
        <item m="1" x="138"/>
        <item x="126"/>
        <item x="127"/>
        <item m="1" x="143"/>
        <item x="128"/>
        <item m="1" x="284"/>
        <item m="1" x="282"/>
        <item m="1" x="298"/>
        <item m="1" x="283"/>
        <item m="1" x="299"/>
        <item m="1" x="235"/>
        <item m="1" x="251"/>
        <item m="1" x="240"/>
        <item m="1" x="261"/>
        <item m="1" x="265"/>
        <item m="1" x="236"/>
        <item m="1" x="245"/>
        <item m="1" x="242"/>
        <item m="1" x="238"/>
        <item x="132"/>
        <item m="1" x="139"/>
        <item x="133"/>
        <item x="134"/>
        <item m="1" x="144"/>
        <item x="136"/>
        <item m="1" x="289"/>
        <item m="1" x="285"/>
        <item m="1" x="300"/>
        <item m="1" x="286"/>
        <item m="1" x="301"/>
        <item x="25"/>
        <item m="1" x="328"/>
        <item m="1" x="200"/>
        <item m="1" x="187"/>
        <item m="1" x="239"/>
        <item x="135"/>
        <item m="1" x="291"/>
        <item m="1" x="288"/>
        <item x="12"/>
        <item m="1" x="174"/>
        <item m="1" x="278"/>
        <item m="1" x="327"/>
        <item m="1" x="303"/>
        <item m="1" x="146"/>
        <item x="28"/>
        <item x="42"/>
        <item x="50"/>
        <item x="68"/>
        <item x="81"/>
        <item x="90"/>
        <item m="1" x="280"/>
        <item m="1" x="304"/>
        <item m="1" x="147"/>
        <item x="29"/>
        <item x="116"/>
        <item x="121"/>
        <item x="130"/>
        <item x="43"/>
        <item x="51"/>
        <item x="69"/>
        <item x="82"/>
        <item x="91"/>
        <item x="96"/>
        <item x="102"/>
        <item x="110"/>
        <item x="39"/>
        <item m="1" x="307"/>
        <item m="1" x="148"/>
        <item x="30"/>
        <item x="117"/>
        <item x="122"/>
        <item x="131"/>
        <item x="44"/>
        <item x="52"/>
        <item x="70"/>
        <item x="83"/>
        <item x="92"/>
        <item x="97"/>
        <item x="103"/>
        <item x="111"/>
        <item x="45"/>
        <item x="53"/>
        <item m="1" x="175"/>
        <item m="1" x="176"/>
        <item x="54"/>
        <item m="1" x="177"/>
        <item m="1" x="178"/>
        <item m="1" x="329"/>
        <item x="55"/>
        <item m="1" x="305"/>
        <item m="1" x="338"/>
        <item m="1" x="308"/>
        <item m="1" x="339"/>
        <item m="1" x="340"/>
        <item m="1" x="335"/>
        <item m="1" x="343"/>
        <item m="1" x="336"/>
        <item m="1" x="279"/>
        <item m="1" x="323"/>
        <item m="1" x="341"/>
        <item m="1" x="342"/>
        <item m="1" x="337"/>
        <item m="1" x="306"/>
        <item x="37"/>
        <item x="35"/>
        <item x="33"/>
        <item x="31"/>
        <item m="1" x="252"/>
        <item m="1" x="196"/>
        <item x="86"/>
        <item m="1" x="246"/>
        <item x="113"/>
        <item m="1" x="226"/>
        <item x="18"/>
        <item m="1" x="320"/>
        <item m="1" x="347"/>
        <item m="1" x="211"/>
        <item m="1" x="209"/>
        <item x="108"/>
        <item x="105"/>
        <item m="1" x="330"/>
        <item m="1" x="321"/>
        <item m="1" x="165"/>
        <item m="1" x="268"/>
        <item m="1" x="167"/>
        <item m="1" x="270"/>
        <item m="1" x="156"/>
        <item x="6"/>
        <item m="1" x="149"/>
        <item m="1" x="170"/>
        <item m="1" x="273"/>
        <item m="1" x="182"/>
        <item m="1" x="151"/>
        <item x="4"/>
        <item m="1" x="153"/>
        <item x="0"/>
        <item x="78"/>
        <item x="59"/>
        <item x="63"/>
        <item x="27"/>
        <item m="1" x="228"/>
        <item m="1" x="180"/>
        <item m="1" x="216"/>
        <item x="64"/>
        <item x="65"/>
        <item m="1" x="348"/>
        <item x="19"/>
        <item m="1" x="188"/>
        <item m="1" x="205"/>
        <item m="1" x="154"/>
        <item m="1" x="294"/>
        <item m="1" x="206"/>
        <item m="1" x="155"/>
        <item m="1" x="295"/>
        <item m="1" x="219"/>
        <item x="13"/>
        <item x="14"/>
        <item x="15"/>
        <item m="1" x="223"/>
        <item m="1" x="140"/>
        <item m="1" x="183"/>
        <item m="1" x="201"/>
        <item m="1" x="249"/>
        <item m="1" x="204"/>
        <item m="1" x="233"/>
        <item x="1"/>
        <item m="1" x="350"/>
        <item m="1" x="322"/>
        <item x="101"/>
        <item m="1" x="208"/>
        <item m="1" x="213"/>
        <item m="1" x="224"/>
        <item x="94"/>
        <item m="1" x="215"/>
        <item m="1" x="248"/>
        <item m="1" x="302"/>
        <item m="1" x="162"/>
        <item x="67"/>
        <item m="1" x="203"/>
        <item x="46"/>
        <item m="1" x="186"/>
        <item m="1" x="220"/>
        <item x="49"/>
        <item m="1" x="332"/>
        <item x="72"/>
        <item x="73"/>
        <item m="1" x="333"/>
        <item x="129"/>
        <item m="1" x="158"/>
        <item m="1" x="163"/>
        <item x="88"/>
        <item x="74"/>
        <item x="84"/>
        <item x="93"/>
        <item x="98"/>
        <item x="104"/>
        <item x="112"/>
        <item x="119"/>
        <item x="123"/>
        <item x="87"/>
        <item m="1" x="316"/>
        <item x="79"/>
        <item m="1" x="195"/>
        <item x="56"/>
        <item x="80"/>
        <item m="1" x="349"/>
        <item x="5"/>
        <item x="7"/>
        <item m="1" x="266"/>
        <item m="1" x="317"/>
        <item x="23"/>
        <item m="1" x="256"/>
        <item x="118"/>
        <item x="48"/>
        <item x="95"/>
        <item x="57"/>
        <item x="32"/>
        <item x="36"/>
        <item x="109"/>
        <item x="137"/>
        <item t="default"/>
      </items>
    </pivotField>
    <pivotField axis="axisPage" showAll="0">
      <items count="18">
        <item m="1" x="16"/>
        <item m="1" x="14"/>
        <item x="1"/>
        <item x="10"/>
        <item x="5"/>
        <item x="0"/>
        <item x="3"/>
        <item m="1" x="13"/>
        <item x="7"/>
        <item m="1" x="15"/>
        <item x="4"/>
        <item x="12"/>
        <item x="2"/>
        <item x="9"/>
        <item x="6"/>
        <item x="8"/>
        <item x="11"/>
        <item t="default"/>
      </items>
    </pivotField>
    <pivotField dataField="1" numFmtId="44" showAll="0"/>
    <pivotField showAll="0"/>
    <pivotField axis="axisPage" showAll="0">
      <items count="6">
        <item x="3"/>
        <item x="2"/>
        <item x="1"/>
        <item x="0"/>
        <item m="1" x="4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4"/>
  </rowFields>
  <rowItems count="7">
    <i>
      <x v="9"/>
    </i>
    <i r="1">
      <x v="241"/>
    </i>
    <i r="1">
      <x v="348"/>
    </i>
    <i>
      <x v="10"/>
    </i>
    <i r="1">
      <x v="62"/>
    </i>
    <i r="1">
      <x v="331"/>
    </i>
    <i t="grand">
      <x/>
    </i>
  </rowItems>
  <colFields count="1">
    <field x="1"/>
  </colFields>
  <colItems count="2">
    <i>
      <x v="4"/>
    </i>
    <i t="grand">
      <x/>
    </i>
  </colItems>
  <pageFields count="3">
    <pageField fld="2" item="1" hier="-1"/>
    <pageField fld="8" hier="-1"/>
    <pageField fld="5" hier="-1"/>
  </pageFields>
  <dataFields count="1">
    <dataField name="Soma de Valor" fld="6" baseField="0" baseItem="0" numFmtId="44"/>
  </dataFields>
  <formats count="67">
    <format dxfId="381">
      <pivotArea type="origin" dataOnly="0" labelOnly="1" outline="0" fieldPosition="0"/>
    </format>
    <format dxfId="380">
      <pivotArea type="origin" dataOnly="0" labelOnly="1" outline="0" fieldPosition="0"/>
    </format>
    <format dxfId="379">
      <pivotArea field="1" type="button" dataOnly="0" labelOnly="1" outline="0" axis="axisCol" fieldPosition="0"/>
    </format>
    <format dxfId="378">
      <pivotArea type="origin" dataOnly="0" labelOnly="1" outline="0" fieldPosition="0"/>
    </format>
    <format dxfId="377">
      <pivotArea field="1" type="button" dataOnly="0" labelOnly="1" outline="0" axis="axisCol" fieldPosition="0"/>
    </format>
    <format dxfId="376">
      <pivotArea type="topRight" dataOnly="0" labelOnly="1" outline="0" fieldPosition="0"/>
    </format>
    <format dxfId="375">
      <pivotArea field="3" type="button" dataOnly="0" labelOnly="1" outline="0" axis="axisRow" fieldPosition="0"/>
    </format>
    <format dxfId="374">
      <pivotArea field="3" type="button" dataOnly="0" labelOnly="1" outline="0" axis="axisRow" fieldPosition="0"/>
    </format>
    <format dxfId="373">
      <pivotArea dataOnly="0" labelOnly="1" fieldPosition="0">
        <references count="1">
          <reference field="1" count="0"/>
        </references>
      </pivotArea>
    </format>
    <format dxfId="372">
      <pivotArea dataOnly="0" labelOnly="1" grandCol="1" outline="0" fieldPosition="0"/>
    </format>
    <format dxfId="371">
      <pivotArea dataOnly="0" labelOnly="1" outline="0" fieldPosition="0">
        <references count="1">
          <reference field="2" count="1">
            <x v="0"/>
          </reference>
        </references>
      </pivotArea>
    </format>
    <format dxfId="370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69">
      <pivotArea dataOnly="0" labelOnly="1" grandCol="1" outline="0" fieldPosition="0"/>
    </format>
    <format dxfId="368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67">
      <pivotArea dataOnly="0" labelOnly="1" grandCol="1" outline="0" fieldPosition="0"/>
    </format>
    <format dxfId="366">
      <pivotArea grandRow="1" outline="0" collapsedLevelsAreSubtotals="1" fieldPosition="0"/>
    </format>
    <format dxfId="365">
      <pivotArea dataOnly="0" labelOnly="1" grandRow="1" outline="0" fieldPosition="0"/>
    </format>
    <format dxfId="364">
      <pivotArea grandRow="1" outline="0" collapsedLevelsAreSubtotals="1" fieldPosition="0"/>
    </format>
    <format dxfId="363">
      <pivotArea dataOnly="0" labelOnly="1" grandRow="1" outline="0" fieldPosition="0"/>
    </format>
    <format dxfId="362">
      <pivotArea type="all" dataOnly="0" outline="0" fieldPosition="0"/>
    </format>
    <format dxfId="361">
      <pivotArea outline="0" collapsedLevelsAreSubtotals="1" fieldPosition="0"/>
    </format>
    <format dxfId="360">
      <pivotArea type="origin" dataOnly="0" labelOnly="1" outline="0" fieldPosition="0"/>
    </format>
    <format dxfId="359">
      <pivotArea field="1" type="button" dataOnly="0" labelOnly="1" outline="0" axis="axisCol" fieldPosition="0"/>
    </format>
    <format dxfId="358">
      <pivotArea type="topRight" dataOnly="0" labelOnly="1" outline="0" fieldPosition="0"/>
    </format>
    <format dxfId="357">
      <pivotArea field="3" type="button" dataOnly="0" labelOnly="1" outline="0" axis="axisRow" fieldPosition="0"/>
    </format>
    <format dxfId="356">
      <pivotArea dataOnly="0" labelOnly="1" fieldPosition="0">
        <references count="1">
          <reference field="3" count="1">
            <x v="3"/>
          </reference>
        </references>
      </pivotArea>
    </format>
    <format dxfId="355">
      <pivotArea dataOnly="0" labelOnly="1" grandRow="1" outline="0" fieldPosition="0"/>
    </format>
    <format dxfId="354">
      <pivotArea dataOnly="0" labelOnly="1" fieldPosition="0">
        <references count="2">
          <reference field="3" count="1" selected="0">
            <x v="3"/>
          </reference>
          <reference field="4" count="9">
            <x v="32"/>
            <x v="34"/>
            <x v="55"/>
            <x v="219"/>
            <x v="246"/>
            <x v="252"/>
            <x v="253"/>
            <x v="298"/>
            <x v="332"/>
          </reference>
        </references>
      </pivotArea>
    </format>
    <format dxfId="353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52">
      <pivotArea dataOnly="0" labelOnly="1" grandCol="1" outline="0" fieldPosition="0"/>
    </format>
    <format dxfId="351">
      <pivotArea collapsedLevelsAreSubtotals="1" fieldPosition="0">
        <references count="1">
          <reference field="3" count="1">
            <x v="3"/>
          </reference>
        </references>
      </pivotArea>
    </format>
    <format dxfId="350">
      <pivotArea dataOnly="0" labelOnly="1" fieldPosition="0">
        <references count="1">
          <reference field="3" count="1">
            <x v="3"/>
          </reference>
        </references>
      </pivotArea>
    </format>
    <format dxfId="349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48">
      <pivotArea dataOnly="0" labelOnly="1" grandCol="1" outline="0" fieldPosition="0"/>
    </format>
    <format dxfId="347">
      <pivotArea grandRow="1" outline="0" collapsedLevelsAreSubtotals="1" fieldPosition="0"/>
    </format>
    <format dxfId="346">
      <pivotArea dataOnly="0" labelOnly="1" grandRow="1" outline="0" fieldPosition="0"/>
    </format>
    <format dxfId="345">
      <pivotArea collapsedLevelsAreSubtotals="1" fieldPosition="0">
        <references count="1">
          <reference field="3" count="1">
            <x v="3"/>
          </reference>
        </references>
      </pivotArea>
    </format>
    <format dxfId="344">
      <pivotArea dataOnly="0" labelOnly="1" fieldPosition="0">
        <references count="1">
          <reference field="3" count="1">
            <x v="3"/>
          </reference>
        </references>
      </pivotArea>
    </format>
    <format dxfId="343">
      <pivotArea dataOnly="0" fieldPosition="0">
        <references count="3">
          <reference field="2" count="1" selected="0">
            <x v="1"/>
          </reference>
          <reference field="3" count="3">
            <x v="0"/>
            <x v="2"/>
            <x v="4"/>
          </reference>
          <reference field="8" count="1" selected="0">
            <x v="1"/>
          </reference>
        </references>
      </pivotArea>
    </format>
    <format dxfId="342">
      <pivotArea grandCol="1" outline="0" collapsedLevelsAreSubtotals="1" fieldPosition="0"/>
    </format>
    <format dxfId="341">
      <pivotArea type="all" dataOnly="0" outline="0" fieldPosition="0"/>
    </format>
    <format dxfId="340">
      <pivotArea outline="0" collapsedLevelsAreSubtotals="1" fieldPosition="0"/>
    </format>
    <format dxfId="339">
      <pivotArea type="origin" dataOnly="0" labelOnly="1" outline="0" fieldPosition="0"/>
    </format>
    <format dxfId="338">
      <pivotArea field="1" type="button" dataOnly="0" labelOnly="1" outline="0" axis="axisCol" fieldPosition="0"/>
    </format>
    <format dxfId="337">
      <pivotArea type="topRight" dataOnly="0" labelOnly="1" outline="0" fieldPosition="0"/>
    </format>
    <format dxfId="336">
      <pivotArea field="3" type="button" dataOnly="0" labelOnly="1" outline="0" axis="axisRow" fieldPosition="0"/>
    </format>
    <format dxfId="335">
      <pivotArea dataOnly="0" labelOnly="1" fieldPosition="0">
        <references count="1">
          <reference field="3" count="4">
            <x v="0"/>
            <x v="2"/>
            <x v="3"/>
            <x v="4"/>
          </reference>
        </references>
      </pivotArea>
    </format>
    <format dxfId="334">
      <pivotArea dataOnly="0" labelOnly="1" grandRow="1" outline="0" fieldPosition="0"/>
    </format>
    <format dxfId="333">
      <pivotArea dataOnly="0" labelOnly="1" fieldPosition="0">
        <references count="2">
          <reference field="3" count="1" selected="0">
            <x v="0"/>
          </reference>
          <reference field="4" count="2">
            <x v="267"/>
            <x v="297"/>
          </reference>
        </references>
      </pivotArea>
    </format>
    <format dxfId="332">
      <pivotArea dataOnly="0" labelOnly="1" fieldPosition="0">
        <references count="2">
          <reference field="3" count="1" selected="0">
            <x v="2"/>
          </reference>
          <reference field="4" count="5">
            <x v="53"/>
            <x v="59"/>
            <x v="259"/>
            <x v="264"/>
            <x v="341"/>
          </reference>
        </references>
      </pivotArea>
    </format>
    <format dxfId="331">
      <pivotArea dataOnly="0" labelOnly="1" fieldPosition="0">
        <references count="2">
          <reference field="3" count="1" selected="0">
            <x v="3"/>
          </reference>
          <reference field="4" count="1">
            <x v="348"/>
          </reference>
        </references>
      </pivotArea>
    </format>
    <format dxfId="330">
      <pivotArea dataOnly="0" labelOnly="1" fieldPosition="0">
        <references count="2">
          <reference field="3" count="1" selected="0">
            <x v="4"/>
          </reference>
          <reference field="4" count="7">
            <x v="62"/>
            <x v="103"/>
            <x v="113"/>
            <x v="116"/>
            <x v="170"/>
            <x v="282"/>
            <x v="285"/>
          </reference>
        </references>
      </pivotArea>
    </format>
    <format dxfId="329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28">
      <pivotArea dataOnly="0" labelOnly="1" grandCol="1" outline="0" fieldPosition="0"/>
    </format>
    <format dxfId="327">
      <pivotArea collapsedLevelsAreSubtotals="1" fieldPosition="0">
        <references count="1">
          <reference field="3" count="1">
            <x v="2"/>
          </reference>
        </references>
      </pivotArea>
    </format>
    <format dxfId="326">
      <pivotArea dataOnly="0" labelOnly="1" fieldPosition="0">
        <references count="1">
          <reference field="3" count="1">
            <x v="2"/>
          </reference>
        </references>
      </pivotArea>
    </format>
    <format dxfId="325">
      <pivotArea collapsedLevelsAreSubtotals="1" fieldPosition="0">
        <references count="1">
          <reference field="3" count="1">
            <x v="0"/>
          </reference>
        </references>
      </pivotArea>
    </format>
    <format dxfId="324">
      <pivotArea dataOnly="0" labelOnly="1" fieldPosition="0">
        <references count="1">
          <reference field="3" count="1">
            <x v="0"/>
          </reference>
        </references>
      </pivotArea>
    </format>
    <format dxfId="323">
      <pivotArea dataOnly="0"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322">
      <pivotArea dataOnly="0" labelOnly="1" outline="0" fieldPosition="0">
        <references count="1">
          <reference field="2" count="1">
            <x v="1"/>
          </reference>
        </references>
      </pivotArea>
    </format>
    <format dxfId="321">
      <pivotArea collapsedLevelsAreSubtotals="1" fieldPosition="0">
        <references count="1">
          <reference field="3" count="1">
            <x v="6"/>
          </reference>
        </references>
      </pivotArea>
    </format>
    <format dxfId="320">
      <pivotArea dataOnly="0" labelOnly="1" fieldPosition="0">
        <references count="1">
          <reference field="3" count="1">
            <x v="6"/>
          </reference>
        </references>
      </pivotArea>
    </format>
    <format dxfId="319">
      <pivotArea dataOnly="0" fieldPosition="0">
        <references count="2">
          <reference field="2" count="1" selected="0">
            <x v="1"/>
          </reference>
          <reference field="3" count="4">
            <x v="6"/>
            <x v="8"/>
            <x v="9"/>
            <x v="10"/>
          </reference>
        </references>
      </pivotArea>
    </format>
    <format dxfId="318">
      <pivotArea dataOnly="0" fieldPosition="0">
        <references count="2">
          <reference field="2" count="1" selected="0">
            <x v="1"/>
          </reference>
          <reference field="4" count="1">
            <x v="322"/>
          </reference>
        </references>
      </pivotArea>
    </format>
    <format dxfId="317">
      <pivotArea dataOnly="0" fieldPosition="0">
        <references count="2">
          <reference field="2" count="1" selected="0">
            <x v="1"/>
          </reference>
          <reference field="4" count="1">
            <x v="297"/>
          </reference>
        </references>
      </pivotArea>
    </format>
    <format dxfId="316">
      <pivotArea collapsedLevelsAreSubtotals="1" fieldPosition="0">
        <references count="2">
          <reference field="3" count="1" selected="0">
            <x v="6"/>
          </reference>
          <reference field="4" count="1">
            <x v="297"/>
          </reference>
        </references>
      </pivotArea>
    </format>
    <format dxfId="315">
      <pivotArea dataOnly="0" labelOnly="1" fieldPosition="0">
        <references count="2">
          <reference field="3" count="1" selected="0">
            <x v="6"/>
          </reference>
          <reference field="4" count="1">
            <x v="297"/>
          </reference>
        </references>
      </pivotArea>
    </format>
  </formats>
  <pivotTableStyleInfo name="PivotStyleLight15" showRowHeaders="1" showColHeaders="1" showRowStripes="0" showColStripes="0" showLastColumn="1"/>
  <filters count="1">
    <filter fld="0" type="dateBetween" evalOrder="-1" id="626" name="Dia">
      <autoFilter ref="A1">
        <filterColumn colId="0">
          <customFilters and="1">
            <customFilter operator="greaterThanOrEqual" val="46143"/>
            <customFilter operator="lessThanOrEqual" val="4617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372AD-7458-4A78-A3B2-50BEE4895184}" name="Tabela dinâ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C14:E32" firstHeaderRow="1" firstDataRow="2" firstDataCol="1" rowPageCount="3" colPageCount="1"/>
  <pivotFields count="11">
    <pivotField numFmtId="165" showAll="0">
      <items count="110">
        <item m="1" x="108"/>
        <item m="1" x="106"/>
        <item m="1" x="105"/>
        <item m="1" x="55"/>
        <item m="1" x="102"/>
        <item m="1" x="100"/>
        <item m="1" x="68"/>
        <item m="1" x="72"/>
        <item m="1" x="79"/>
        <item m="1" x="83"/>
        <item m="1" x="96"/>
        <item m="1" x="93"/>
        <item x="31"/>
        <item m="1" x="37"/>
        <item m="1" x="10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104"/>
        <item m="1" x="103"/>
        <item m="1" x="47"/>
        <item m="1" x="48"/>
        <item m="1" x="49"/>
        <item m="1" x="50"/>
        <item m="1" x="52"/>
        <item m="1" x="51"/>
        <item m="1" x="54"/>
        <item m="1" x="53"/>
        <item m="1" x="56"/>
        <item m="1" x="57"/>
        <item m="1" x="58"/>
        <item m="1" x="59"/>
        <item m="1" x="101"/>
        <item m="1" x="61"/>
        <item m="1" x="60"/>
        <item m="1" x="62"/>
        <item m="1" x="63"/>
        <item m="1" x="65"/>
        <item m="1" x="64"/>
        <item m="1" x="99"/>
        <item m="1" x="66"/>
        <item m="1" x="67"/>
        <item m="1" x="69"/>
        <item m="1" x="70"/>
        <item m="1" x="71"/>
        <item m="1" x="98"/>
        <item m="1" x="73"/>
        <item m="1" x="74"/>
        <item m="1" x="75"/>
        <item m="1" x="76"/>
        <item m="1" x="77"/>
        <item m="1" x="78"/>
        <item m="1" x="81"/>
        <item m="1" x="80"/>
        <item m="1" x="82"/>
        <item m="1" x="97"/>
        <item m="1" x="84"/>
        <item m="1" x="85"/>
        <item m="1" x="86"/>
        <item m="1" x="88"/>
        <item m="1" x="89"/>
        <item m="1" x="91"/>
        <item m="1" x="92"/>
        <item m="1" x="87"/>
        <item m="1" x="90"/>
        <item m="1" x="94"/>
        <item m="1" x="95"/>
        <item x="0"/>
        <item x="6"/>
        <item m="1" x="36"/>
        <item x="16"/>
        <item m="1" x="32"/>
        <item x="24"/>
        <item x="25"/>
        <item x="26"/>
        <item x="27"/>
        <item x="28"/>
        <item x="29"/>
        <item x="30"/>
        <item x="1"/>
        <item x="2"/>
        <item x="3"/>
        <item x="4"/>
        <item x="5"/>
        <item m="1" x="35"/>
        <item x="7"/>
        <item x="8"/>
        <item x="11"/>
        <item x="9"/>
        <item x="10"/>
        <item x="15"/>
        <item x="12"/>
        <item x="13"/>
        <item x="14"/>
        <item m="1" x="33"/>
        <item x="17"/>
        <item m="1" x="34"/>
        <item x="18"/>
        <item x="19"/>
        <item x="23"/>
        <item x="20"/>
        <item x="21"/>
        <item x="22"/>
        <item t="default"/>
      </items>
    </pivotField>
    <pivotField axis="axisCol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showAll="0">
      <items count="6">
        <item x="3"/>
        <item x="0"/>
        <item x="1"/>
        <item x="2"/>
        <item x="4"/>
        <item t="default"/>
      </items>
    </pivotField>
    <pivotField axis="axisRow" showAll="0" sortType="ascending">
      <items count="14">
        <item m="1" x="7"/>
        <item m="1" x="11"/>
        <item m="1" x="8"/>
        <item m="1" x="9"/>
        <item m="1" x="10"/>
        <item m="1" x="12"/>
        <item x="0"/>
        <item x="4"/>
        <item x="1"/>
        <item x="2"/>
        <item x="3"/>
        <item x="5"/>
        <item x="6"/>
        <item t="default"/>
      </items>
    </pivotField>
    <pivotField axis="axisRow" showAll="0" sortType="descending">
      <items count="353">
        <item x="137"/>
        <item x="109"/>
        <item x="36"/>
        <item x="32"/>
        <item x="57"/>
        <item x="95"/>
        <item x="48"/>
        <item x="118"/>
        <item m="1" x="256"/>
        <item x="23"/>
        <item m="1" x="317"/>
        <item m="1" x="266"/>
        <item x="7"/>
        <item x="5"/>
        <item m="1" x="349"/>
        <item x="80"/>
        <item x="56"/>
        <item m="1" x="195"/>
        <item x="79"/>
        <item m="1" x="316"/>
        <item x="87"/>
        <item x="123"/>
        <item x="119"/>
        <item x="112"/>
        <item x="104"/>
        <item x="98"/>
        <item x="93"/>
        <item x="84"/>
        <item x="74"/>
        <item x="88"/>
        <item m="1" x="163"/>
        <item m="1" x="158"/>
        <item x="129"/>
        <item m="1" x="333"/>
        <item x="73"/>
        <item x="72"/>
        <item x="89"/>
        <item m="1" x="332"/>
        <item x="49"/>
        <item m="1" x="220"/>
        <item m="1" x="186"/>
        <item x="46"/>
        <item m="1" x="203"/>
        <item x="67"/>
        <item m="1" x="162"/>
        <item m="1" x="302"/>
        <item m="1" x="248"/>
        <item m="1" x="215"/>
        <item x="94"/>
        <item m="1" x="224"/>
        <item m="1" x="213"/>
        <item m="1" x="208"/>
        <item x="101"/>
        <item m="1" x="322"/>
        <item m="1" x="350"/>
        <item x="1"/>
        <item m="1" x="233"/>
        <item m="1" x="204"/>
        <item m="1" x="249"/>
        <item m="1" x="201"/>
        <item m="1" x="183"/>
        <item m="1" x="140"/>
        <item m="1" x="223"/>
        <item x="15"/>
        <item x="14"/>
        <item x="13"/>
        <item m="1" x="219"/>
        <item m="1" x="295"/>
        <item m="1" x="155"/>
        <item m="1" x="206"/>
        <item m="1" x="294"/>
        <item m="1" x="154"/>
        <item m="1" x="205"/>
        <item m="1" x="188"/>
        <item x="19"/>
        <item m="1" x="348"/>
        <item x="65"/>
        <item x="64"/>
        <item m="1" x="216"/>
        <item m="1" x="180"/>
        <item m="1" x="228"/>
        <item x="27"/>
        <item x="63"/>
        <item x="59"/>
        <item x="78"/>
        <item x="0"/>
        <item m="1" x="153"/>
        <item x="4"/>
        <item m="1" x="151"/>
        <item m="1" x="182"/>
        <item m="1" x="273"/>
        <item m="1" x="170"/>
        <item m="1" x="149"/>
        <item x="6"/>
        <item m="1" x="156"/>
        <item m="1" x="270"/>
        <item m="1" x="167"/>
        <item m="1" x="268"/>
        <item m="1" x="165"/>
        <item m="1" x="321"/>
        <item m="1" x="330"/>
        <item x="105"/>
        <item x="108"/>
        <item m="1" x="209"/>
        <item m="1" x="211"/>
        <item m="1" x="347"/>
        <item m="1" x="320"/>
        <item x="18"/>
        <item m="1" x="226"/>
        <item x="113"/>
        <item m="1" x="246"/>
        <item x="86"/>
        <item m="1" x="196"/>
        <item m="1" x="252"/>
        <item x="31"/>
        <item x="33"/>
        <item x="35"/>
        <item x="37"/>
        <item m="1" x="306"/>
        <item m="1" x="337"/>
        <item m="1" x="342"/>
        <item m="1" x="341"/>
        <item m="1" x="323"/>
        <item m="1" x="279"/>
        <item m="1" x="336"/>
        <item m="1" x="343"/>
        <item m="1" x="335"/>
        <item m="1" x="340"/>
        <item m="1" x="339"/>
        <item m="1" x="308"/>
        <item m="1" x="338"/>
        <item m="1" x="305"/>
        <item x="55"/>
        <item m="1" x="329"/>
        <item m="1" x="178"/>
        <item m="1" x="177"/>
        <item x="54"/>
        <item m="1" x="176"/>
        <item m="1" x="175"/>
        <item x="53"/>
        <item x="45"/>
        <item x="111"/>
        <item x="103"/>
        <item x="97"/>
        <item x="92"/>
        <item x="83"/>
        <item x="70"/>
        <item x="52"/>
        <item x="44"/>
        <item x="131"/>
        <item x="122"/>
        <item x="117"/>
        <item x="30"/>
        <item m="1" x="148"/>
        <item m="1" x="307"/>
        <item x="39"/>
        <item x="110"/>
        <item x="102"/>
        <item x="96"/>
        <item x="91"/>
        <item x="82"/>
        <item x="69"/>
        <item x="51"/>
        <item x="43"/>
        <item x="130"/>
        <item x="121"/>
        <item x="116"/>
        <item x="29"/>
        <item m="1" x="147"/>
        <item m="1" x="304"/>
        <item m="1" x="280"/>
        <item x="90"/>
        <item x="81"/>
        <item x="68"/>
        <item x="50"/>
        <item x="42"/>
        <item x="28"/>
        <item m="1" x="146"/>
        <item m="1" x="303"/>
        <item m="1" x="327"/>
        <item m="1" x="278"/>
        <item m="1" x="174"/>
        <item x="12"/>
        <item m="1" x="288"/>
        <item m="1" x="291"/>
        <item x="135"/>
        <item m="1" x="239"/>
        <item m="1" x="187"/>
        <item m="1" x="200"/>
        <item m="1" x="328"/>
        <item x="25"/>
        <item m="1" x="301"/>
        <item m="1" x="286"/>
        <item m="1" x="300"/>
        <item m="1" x="285"/>
        <item m="1" x="289"/>
        <item x="136"/>
        <item m="1" x="144"/>
        <item x="134"/>
        <item x="133"/>
        <item m="1" x="139"/>
        <item x="132"/>
        <item m="1" x="238"/>
        <item m="1" x="242"/>
        <item m="1" x="245"/>
        <item m="1" x="236"/>
        <item m="1" x="265"/>
        <item m="1" x="261"/>
        <item m="1" x="240"/>
        <item m="1" x="251"/>
        <item m="1" x="235"/>
        <item m="1" x="299"/>
        <item m="1" x="283"/>
        <item m="1" x="298"/>
        <item m="1" x="282"/>
        <item m="1" x="284"/>
        <item x="128"/>
        <item m="1" x="143"/>
        <item x="127"/>
        <item x="126"/>
        <item m="1" x="138"/>
        <item x="125"/>
        <item m="1" x="232"/>
        <item m="1" x="241"/>
        <item m="1" x="244"/>
        <item m="1" x="231"/>
        <item m="1" x="264"/>
        <item m="1" x="260"/>
        <item m="1" x="234"/>
        <item m="1" x="250"/>
        <item m="1" x="230"/>
        <item m="1" x="237"/>
        <item x="76"/>
        <item x="11"/>
        <item m="1" x="222"/>
        <item x="58"/>
        <item m="1" x="293"/>
        <item m="1" x="152"/>
        <item x="10"/>
        <item m="1" x="292"/>
        <item m="1" x="173"/>
        <item m="1" x="255"/>
        <item x="22"/>
        <item m="1" x="194"/>
        <item x="9"/>
        <item x="77"/>
        <item x="47"/>
        <item m="1" x="218"/>
        <item m="1" x="185"/>
        <item x="41"/>
        <item m="1" x="281"/>
        <item m="1" x="287"/>
        <item m="1" x="290"/>
        <item x="21"/>
        <item m="1" x="150"/>
        <item m="1" x="254"/>
        <item m="1" x="157"/>
        <item x="8"/>
        <item x="75"/>
        <item m="1" x="253"/>
        <item x="20"/>
        <item m="1" x="142"/>
        <item x="120"/>
        <item x="107"/>
        <item x="106"/>
        <item m="1" x="247"/>
        <item m="1" x="181"/>
        <item m="1" x="141"/>
        <item x="115"/>
        <item m="1" x="297"/>
        <item m="1" x="172"/>
        <item x="100"/>
        <item m="1" x="296"/>
        <item m="1" x="263"/>
        <item m="1" x="257"/>
        <item m="1" x="145"/>
        <item x="99"/>
        <item m="1" x="169"/>
        <item x="62"/>
        <item x="66"/>
        <item m="1" x="227"/>
        <item m="1" x="262"/>
        <item m="1" x="171"/>
        <item m="1" x="184"/>
        <item m="1" x="212"/>
        <item x="85"/>
        <item m="1" x="193"/>
        <item m="1" x="259"/>
        <item m="1" x="346"/>
        <item x="17"/>
        <item x="38"/>
        <item m="1" x="326"/>
        <item m="1" x="277"/>
        <item x="3"/>
        <item m="1" x="214"/>
        <item m="1" x="168"/>
        <item m="1" x="159"/>
        <item m="1" x="351"/>
        <item m="1" x="331"/>
        <item x="2"/>
        <item x="71"/>
        <item m="1" x="334"/>
        <item m="1" x="315"/>
        <item x="60"/>
        <item m="1" x="269"/>
        <item m="1" x="166"/>
        <item m="1" x="274"/>
        <item m="1" x="324"/>
        <item m="1" x="276"/>
        <item m="1" x="345"/>
        <item x="16"/>
        <item m="1" x="192"/>
        <item m="1" x="191"/>
        <item m="1" x="190"/>
        <item m="1" x="225"/>
        <item m="1" x="199"/>
        <item m="1" x="243"/>
        <item m="1" x="197"/>
        <item m="1" x="319"/>
        <item x="124"/>
        <item m="1" x="318"/>
        <item m="1" x="267"/>
        <item m="1" x="164"/>
        <item x="26"/>
        <item m="1" x="272"/>
        <item m="1" x="271"/>
        <item m="1" x="210"/>
        <item x="61"/>
        <item x="114"/>
        <item m="1" x="221"/>
        <item x="24"/>
        <item m="1" x="344"/>
        <item x="34"/>
        <item m="1" x="325"/>
        <item m="1" x="275"/>
        <item m="1" x="198"/>
        <item m="1" x="258"/>
        <item m="1" x="189"/>
        <item m="1" x="217"/>
        <item m="1" x="179"/>
        <item m="1" x="207"/>
        <item m="1" x="161"/>
        <item m="1" x="313"/>
        <item m="1" x="312"/>
        <item m="1" x="314"/>
        <item m="1" x="202"/>
        <item m="1" x="310"/>
        <item m="1" x="309"/>
        <item m="1" x="311"/>
        <item m="1" x="229"/>
        <item m="1" x="160"/>
        <item x="40"/>
        <item t="default"/>
      </items>
    </pivotField>
    <pivotField axis="axisPage" showAll="0">
      <items count="18">
        <item m="1" x="16"/>
        <item m="1" x="14"/>
        <item x="1"/>
        <item x="10"/>
        <item x="5"/>
        <item x="0"/>
        <item x="3"/>
        <item m="1" x="13"/>
        <item x="7"/>
        <item m="1" x="15"/>
        <item x="4"/>
        <item x="12"/>
        <item x="2"/>
        <item x="9"/>
        <item x="6"/>
        <item x="8"/>
        <item x="11"/>
        <item t="default"/>
      </items>
    </pivotField>
    <pivotField dataField="1" numFmtId="44" showAll="0"/>
    <pivotField showAll="0"/>
    <pivotField axis="axisPage" showAll="0">
      <items count="6">
        <item x="3"/>
        <item x="2"/>
        <item x="1"/>
        <item x="0"/>
        <item m="1" x="4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4"/>
  </rowFields>
  <rowItems count="17">
    <i>
      <x v="6"/>
    </i>
    <i r="1">
      <x v="74"/>
    </i>
    <i r="1">
      <x v="107"/>
    </i>
    <i r="1">
      <x v="289"/>
    </i>
    <i r="1">
      <x v="310"/>
    </i>
    <i r="1">
      <x v="332"/>
    </i>
    <i>
      <x v="7"/>
    </i>
    <i r="1">
      <x v="232"/>
    </i>
    <i r="1">
      <x v="258"/>
    </i>
    <i r="1">
      <x v="327"/>
    </i>
    <i>
      <x v="8"/>
    </i>
    <i r="1">
      <x v="87"/>
    </i>
    <i r="1">
      <x v="293"/>
    </i>
    <i r="1">
      <x v="299"/>
    </i>
    <i>
      <x v="9"/>
    </i>
    <i r="1">
      <x v="2"/>
    </i>
    <i t="grand">
      <x/>
    </i>
  </rowItems>
  <colFields count="1">
    <field x="1"/>
  </colFields>
  <colItems count="2">
    <i>
      <x v="3"/>
    </i>
    <i t="grand">
      <x/>
    </i>
  </colItems>
  <pageFields count="3">
    <pageField fld="2" item="2" hier="-1"/>
    <pageField fld="8" item="3" hier="-1"/>
    <pageField fld="5" hier="-1"/>
  </pageFields>
  <dataFields count="1">
    <dataField name="Soma de Valor" fld="6" baseField="0" baseItem="0" numFmtId="44"/>
  </dataFields>
  <formats count="74">
    <format dxfId="314">
      <pivotArea type="origin" dataOnly="0" labelOnly="1" outline="0" fieldPosition="0"/>
    </format>
    <format dxfId="313">
      <pivotArea type="origin" dataOnly="0" labelOnly="1" outline="0" fieldPosition="0"/>
    </format>
    <format dxfId="312">
      <pivotArea field="1" type="button" dataOnly="0" labelOnly="1" outline="0" axis="axisCol" fieldPosition="0"/>
    </format>
    <format dxfId="311">
      <pivotArea type="origin" dataOnly="0" labelOnly="1" outline="0" fieldPosition="0"/>
    </format>
    <format dxfId="310">
      <pivotArea field="1" type="button" dataOnly="0" labelOnly="1" outline="0" axis="axisCol" fieldPosition="0"/>
    </format>
    <format dxfId="309">
      <pivotArea type="topRight" dataOnly="0" labelOnly="1" outline="0" fieldPosition="0"/>
    </format>
    <format dxfId="308">
      <pivotArea field="3" type="button" dataOnly="0" labelOnly="1" outline="0" axis="axisRow" fieldPosition="0"/>
    </format>
    <format dxfId="307">
      <pivotArea field="3" type="button" dataOnly="0" labelOnly="1" outline="0" axis="axisRow" fieldPosition="0"/>
    </format>
    <format dxfId="306">
      <pivotArea dataOnly="0" labelOnly="1" fieldPosition="0">
        <references count="1">
          <reference field="1" count="0"/>
        </references>
      </pivotArea>
    </format>
    <format dxfId="305">
      <pivotArea dataOnly="0" labelOnly="1" grandCol="1" outline="0" fieldPosition="0"/>
    </format>
    <format dxfId="304">
      <pivotArea dataOnly="0" labelOnly="1" outline="0" fieldPosition="0">
        <references count="1">
          <reference field="2" count="1">
            <x v="0"/>
          </reference>
        </references>
      </pivotArea>
    </format>
    <format dxfId="303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02">
      <pivotArea dataOnly="0" labelOnly="1" grandCol="1" outline="0" fieldPosition="0"/>
    </format>
    <format dxfId="301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00">
      <pivotArea dataOnly="0" labelOnly="1" grandCol="1" outline="0" fieldPosition="0"/>
    </format>
    <format dxfId="299">
      <pivotArea grandRow="1" outline="0" collapsedLevelsAreSubtotals="1" fieldPosition="0"/>
    </format>
    <format dxfId="298">
      <pivotArea dataOnly="0" labelOnly="1" grandRow="1" outline="0" fieldPosition="0"/>
    </format>
    <format dxfId="297">
      <pivotArea grandRow="1" outline="0" collapsedLevelsAreSubtotals="1" fieldPosition="0"/>
    </format>
    <format dxfId="296">
      <pivotArea dataOnly="0" labelOnly="1" grandRow="1" outline="0" fieldPosition="0"/>
    </format>
    <format dxfId="295">
      <pivotArea type="all" dataOnly="0" outline="0" fieldPosition="0"/>
    </format>
    <format dxfId="294">
      <pivotArea outline="0" collapsedLevelsAreSubtotals="1" fieldPosition="0"/>
    </format>
    <format dxfId="293">
      <pivotArea type="origin" dataOnly="0" labelOnly="1" outline="0" fieldPosition="0"/>
    </format>
    <format dxfId="292">
      <pivotArea field="1" type="button" dataOnly="0" labelOnly="1" outline="0" axis="axisCol" fieldPosition="0"/>
    </format>
    <format dxfId="291">
      <pivotArea type="topRight" dataOnly="0" labelOnly="1" outline="0" fieldPosition="0"/>
    </format>
    <format dxfId="290">
      <pivotArea field="3" type="button" dataOnly="0" labelOnly="1" outline="0" axis="axisRow" fieldPosition="0"/>
    </format>
    <format dxfId="289">
      <pivotArea dataOnly="0" labelOnly="1" fieldPosition="0">
        <references count="1">
          <reference field="3" count="1">
            <x v="3"/>
          </reference>
        </references>
      </pivotArea>
    </format>
    <format dxfId="288">
      <pivotArea dataOnly="0" labelOnly="1" grandRow="1" outline="0" fieldPosition="0"/>
    </format>
    <format dxfId="287">
      <pivotArea dataOnly="0" labelOnly="1" fieldPosition="0">
        <references count="2">
          <reference field="3" count="1" selected="0">
            <x v="3"/>
          </reference>
          <reference field="4" count="9">
            <x v="19"/>
            <x v="54"/>
            <x v="99"/>
            <x v="100"/>
            <x v="106"/>
            <x v="133"/>
            <x v="297"/>
            <x v="318"/>
            <x v="320"/>
          </reference>
        </references>
      </pivotArea>
    </format>
    <format dxfId="286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85">
      <pivotArea dataOnly="0" labelOnly="1" grandCol="1" outline="0" fieldPosition="0"/>
    </format>
    <format dxfId="284">
      <pivotArea collapsedLevelsAreSubtotals="1" fieldPosition="0">
        <references count="1">
          <reference field="3" count="1">
            <x v="3"/>
          </reference>
        </references>
      </pivotArea>
    </format>
    <format dxfId="283">
      <pivotArea dataOnly="0" labelOnly="1" fieldPosition="0">
        <references count="1">
          <reference field="3" count="1">
            <x v="3"/>
          </reference>
        </references>
      </pivotArea>
    </format>
    <format dxfId="282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81">
      <pivotArea dataOnly="0" labelOnly="1" grandCol="1" outline="0" fieldPosition="0"/>
    </format>
    <format dxfId="280">
      <pivotArea grandRow="1" outline="0" collapsedLevelsAreSubtotals="1" fieldPosition="0"/>
    </format>
    <format dxfId="279">
      <pivotArea dataOnly="0" labelOnly="1" grandRow="1" outline="0" fieldPosition="0"/>
    </format>
    <format dxfId="278">
      <pivotArea collapsedLevelsAreSubtotals="1" fieldPosition="0">
        <references count="1">
          <reference field="3" count="1">
            <x v="3"/>
          </reference>
        </references>
      </pivotArea>
    </format>
    <format dxfId="277">
      <pivotArea dataOnly="0" labelOnly="1" fieldPosition="0">
        <references count="1">
          <reference field="3" count="1">
            <x v="3"/>
          </reference>
        </references>
      </pivotArea>
    </format>
    <format dxfId="276">
      <pivotArea dataOnly="0" fieldPosition="0">
        <references count="3">
          <reference field="2" count="1" selected="0">
            <x v="1"/>
          </reference>
          <reference field="3" count="3">
            <x v="0"/>
            <x v="2"/>
            <x v="4"/>
          </reference>
          <reference field="8" count="1" selected="0">
            <x v="1"/>
          </reference>
        </references>
      </pivotArea>
    </format>
    <format dxfId="275">
      <pivotArea dataOnly="0" labelOnly="1" outline="0" fieldPosition="0">
        <references count="2">
          <reference field="2" count="1">
            <x v="1"/>
          </reference>
          <reference field="8" count="1" selected="0">
            <x v="1"/>
          </reference>
        </references>
      </pivotArea>
    </format>
    <format dxfId="274">
      <pivotArea grandCol="1" outline="0" collapsedLevelsAreSubtotals="1" fieldPosition="0"/>
    </format>
    <format dxfId="273">
      <pivotArea collapsedLevelsAreSubtotals="1" fieldPosition="0">
        <references count="1">
          <reference field="3" count="1">
            <x v="0"/>
          </reference>
        </references>
      </pivotArea>
    </format>
    <format dxfId="272">
      <pivotArea dataOnly="0" labelOnly="1" fieldPosition="0">
        <references count="1">
          <reference field="3" count="1">
            <x v="0"/>
          </reference>
        </references>
      </pivotArea>
    </format>
    <format dxfId="271">
      <pivotArea dataOnly="0" fieldPosition="0">
        <references count="3">
          <reference field="2" count="1" selected="0">
            <x v="1"/>
          </reference>
          <reference field="3" count="4">
            <x v="0"/>
            <x v="2"/>
            <x v="3"/>
            <x v="4"/>
          </reference>
          <reference field="8" count="1" selected="0">
            <x v="1"/>
          </reference>
        </references>
      </pivotArea>
    </format>
    <format dxfId="270">
      <pivotArea dataOnly="0" fieldPosition="0">
        <references count="3">
          <reference field="3" count="5">
            <x v="0"/>
            <x v="1"/>
            <x v="2"/>
            <x v="3"/>
            <x v="4"/>
          </reference>
          <reference field="4" count="0" defaultSubtotal="1" sumSubtotal="1" countASubtotal="1" avgSubtotal="1" maxSubtotal="1" minSubtotal="1" productSubtotal="1" countSubtotal="1" stdDevSubtotal="1" stdDevPSubtotal="1" varSubtotal="1" varPSubtotal="1"/>
          <reference field="8" count="1" selected="0">
            <x v="1"/>
          </reference>
        </references>
      </pivotArea>
    </format>
    <format dxfId="269">
      <pivotArea dataOnly="0" fieldPosition="0">
        <references count="2">
          <reference field="3" count="1">
            <x v="3"/>
          </reference>
          <reference field="8" count="1" selected="0">
            <x v="1"/>
          </reference>
        </references>
      </pivotArea>
    </format>
    <format dxfId="268">
      <pivotArea dataOnly="0" fieldPosition="0">
        <references count="2">
          <reference field="3" count="1">
            <x v="0"/>
          </reference>
          <reference field="8" count="1" selected="0">
            <x v="1"/>
          </reference>
        </references>
      </pivotArea>
    </format>
    <format dxfId="267">
      <pivotArea dataOnly="0" fieldPosition="0">
        <references count="3">
          <reference field="2" count="1" selected="0">
            <x v="2"/>
          </reference>
          <reference field="3" count="4">
            <x v="0"/>
            <x v="1"/>
            <x v="2"/>
            <x v="3"/>
          </reference>
          <reference field="8" count="1" selected="0">
            <x v="1"/>
          </reference>
        </references>
      </pivotArea>
    </format>
    <format dxfId="266">
      <pivotArea type="all" dataOnly="0" outline="0" fieldPosition="0"/>
    </format>
    <format dxfId="265">
      <pivotArea outline="0" collapsedLevelsAreSubtotals="1" fieldPosition="0"/>
    </format>
    <format dxfId="264">
      <pivotArea type="origin" dataOnly="0" labelOnly="1" outline="0" fieldPosition="0"/>
    </format>
    <format dxfId="263">
      <pivotArea field="1" type="button" dataOnly="0" labelOnly="1" outline="0" axis="axisCol" fieldPosition="0"/>
    </format>
    <format dxfId="262">
      <pivotArea type="topRight" dataOnly="0" labelOnly="1" outline="0" fieldPosition="0"/>
    </format>
    <format dxfId="261">
      <pivotArea field="3" type="button" dataOnly="0" labelOnly="1" outline="0" axis="axisRow" fieldPosition="0"/>
    </format>
    <format dxfId="260">
      <pivotArea dataOnly="0" labelOnly="1" fieldPosition="0">
        <references count="1">
          <reference field="3" count="4">
            <x v="0"/>
            <x v="1"/>
            <x v="2"/>
            <x v="3"/>
          </reference>
        </references>
      </pivotArea>
    </format>
    <format dxfId="259">
      <pivotArea dataOnly="0" labelOnly="1" grandRow="1" outline="0" fieldPosition="0"/>
    </format>
    <format dxfId="258">
      <pivotArea dataOnly="0" labelOnly="1" fieldPosition="0">
        <references count="2">
          <reference field="3" count="1" selected="0">
            <x v="0"/>
          </reference>
          <reference field="4" count="5">
            <x v="75"/>
            <x v="105"/>
            <x v="288"/>
            <x v="309"/>
            <x v="331"/>
          </reference>
        </references>
      </pivotArea>
    </format>
    <format dxfId="257">
      <pivotArea dataOnly="0" labelOnly="1" fieldPosition="0">
        <references count="2">
          <reference field="3" count="1" selected="0">
            <x v="1"/>
          </reference>
          <reference field="4" count="3">
            <x v="8"/>
            <x v="241"/>
            <x v="259"/>
          </reference>
        </references>
      </pivotArea>
    </format>
    <format dxfId="256">
      <pivotArea dataOnly="0" labelOnly="1" fieldPosition="0">
        <references count="2">
          <reference field="3" count="1" selected="0">
            <x v="2"/>
          </reference>
          <reference field="4" count="4">
            <x v="1"/>
            <x v="87"/>
            <x v="293"/>
            <x v="299"/>
          </reference>
        </references>
      </pivotArea>
    </format>
    <format dxfId="255">
      <pivotArea dataOnly="0" labelOnly="1" fieldPosition="0">
        <references count="2">
          <reference field="3" count="1" selected="0">
            <x v="3"/>
          </reference>
          <reference field="4" count="1">
            <x v="2"/>
          </reference>
        </references>
      </pivotArea>
    </format>
    <format dxfId="254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53">
      <pivotArea dataOnly="0" labelOnly="1" grandCol="1" outline="0" fieldPosition="0"/>
    </format>
    <format dxfId="252">
      <pivotArea dataOnly="0" fieldPosition="0">
        <references count="2">
          <reference field="2" count="1" selected="0">
            <x v="2"/>
          </reference>
          <reference field="3" count="1">
            <x v="0"/>
          </reference>
        </references>
      </pivotArea>
    </format>
    <format dxfId="251">
      <pivotArea dataOnly="0" fieldPosition="0">
        <references count="2">
          <reference field="2" count="1" selected="0">
            <x v="2"/>
          </reference>
          <reference field="3" count="1">
            <x v="1"/>
          </reference>
        </references>
      </pivotArea>
    </format>
    <format dxfId="250">
      <pivotArea dataOnly="0" fieldPosition="0">
        <references count="2">
          <reference field="2" count="1" selected="0">
            <x v="2"/>
          </reference>
          <reference field="3" count="1">
            <x v="2"/>
          </reference>
        </references>
      </pivotArea>
    </format>
    <format dxfId="249">
      <pivotArea dataOnly="0" fieldPosition="0">
        <references count="2">
          <reference field="2" count="1" selected="0">
            <x v="2"/>
          </reference>
          <reference field="3" count="1">
            <x v="3"/>
          </reference>
        </references>
      </pivotArea>
    </format>
    <format dxfId="248">
      <pivotArea dataOnly="0" labelOnly="1" outline="0" fieldPosition="0">
        <references count="1">
          <reference field="2" count="1">
            <x v="2"/>
          </reference>
        </references>
      </pivotArea>
    </format>
    <format dxfId="247">
      <pivotArea collapsedLevelsAreSubtotals="1" fieldPosition="0">
        <references count="1">
          <reference field="3" count="1">
            <x v="4"/>
          </reference>
        </references>
      </pivotArea>
    </format>
    <format dxfId="246">
      <pivotArea dataOnly="0" labelOnly="1" fieldPosition="0">
        <references count="1">
          <reference field="3" count="1">
            <x v="4"/>
          </reference>
        </references>
      </pivotArea>
    </format>
    <format dxfId="245">
      <pivotArea dataOnly="0" fieldPosition="0">
        <references count="2">
          <reference field="2" count="1" selected="0">
            <x v="2"/>
          </reference>
          <reference field="3" count="3">
            <x v="7"/>
            <x v="8"/>
            <x v="9"/>
          </reference>
        </references>
      </pivotArea>
    </format>
    <format dxfId="244">
      <pivotArea dataOnly="0" fieldPosition="0">
        <references count="2">
          <reference field="2" count="1" selected="0">
            <x v="2"/>
          </reference>
          <reference field="3" count="1">
            <x v="6"/>
          </reference>
        </references>
      </pivotArea>
    </format>
    <format dxfId="243">
      <pivotArea dataOnly="0" fieldPosition="0">
        <references count="2">
          <reference field="2" count="1" selected="0">
            <x v="2"/>
          </reference>
          <reference field="3" count="1">
            <x v="10"/>
          </reference>
        </references>
      </pivotArea>
    </format>
    <format dxfId="242">
      <pivotArea collapsedLevelsAreSubtotals="1" fieldPosition="0">
        <references count="2">
          <reference field="3" count="1" selected="0">
            <x v="6"/>
          </reference>
          <reference field="4" count="0"/>
        </references>
      </pivotArea>
    </format>
    <format dxfId="241">
      <pivotArea dataOnly="0" labelOnly="1" fieldPosition="0">
        <references count="2">
          <reference field="3" count="1" selected="0">
            <x v="6"/>
          </reference>
          <reference field="4" count="0"/>
        </references>
      </pivotArea>
    </format>
  </formats>
  <pivotTableStyleInfo name="PivotStyleLight15" showRowHeaders="1" showColHeaders="1" showRowStripes="0" showColStripes="0" showLastColumn="1"/>
  <filters count="1">
    <filter fld="0" type="dateBetween" evalOrder="-1" id="584" name="Dia">
      <autoFilter ref="A1">
        <filterColumn colId="0">
          <customFilters and="1">
            <customFilter operator="greaterThanOrEqual" val="46113"/>
            <customFilter operator="lessThanOrEqual" val="4614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F6919-314B-4759-BB59-3CA0C38BA077}" name="Tabela dinâ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C14:E28" firstHeaderRow="1" firstDataRow="2" firstDataCol="1" rowPageCount="2" colPageCount="1"/>
  <pivotFields count="11">
    <pivotField numFmtId="165" showAll="0">
      <items count="110">
        <item m="1" x="108"/>
        <item m="1" x="106"/>
        <item m="1" x="105"/>
        <item m="1" x="55"/>
        <item m="1" x="102"/>
        <item m="1" x="100"/>
        <item m="1" x="68"/>
        <item m="1" x="72"/>
        <item m="1" x="79"/>
        <item m="1" x="83"/>
        <item m="1" x="96"/>
        <item m="1" x="93"/>
        <item x="31"/>
        <item m="1" x="37"/>
        <item m="1" x="10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104"/>
        <item m="1" x="103"/>
        <item m="1" x="47"/>
        <item m="1" x="48"/>
        <item m="1" x="49"/>
        <item m="1" x="50"/>
        <item m="1" x="52"/>
        <item m="1" x="51"/>
        <item m="1" x="54"/>
        <item m="1" x="53"/>
        <item m="1" x="56"/>
        <item m="1" x="57"/>
        <item m="1" x="58"/>
        <item m="1" x="59"/>
        <item m="1" x="101"/>
        <item m="1" x="61"/>
        <item m="1" x="60"/>
        <item m="1" x="62"/>
        <item m="1" x="63"/>
        <item m="1" x="65"/>
        <item m="1" x="64"/>
        <item m="1" x="99"/>
        <item m="1" x="66"/>
        <item m="1" x="67"/>
        <item m="1" x="69"/>
        <item m="1" x="70"/>
        <item m="1" x="71"/>
        <item m="1" x="98"/>
        <item m="1" x="73"/>
        <item m="1" x="74"/>
        <item m="1" x="75"/>
        <item m="1" x="76"/>
        <item m="1" x="77"/>
        <item m="1" x="78"/>
        <item m="1" x="81"/>
        <item m="1" x="80"/>
        <item m="1" x="82"/>
        <item m="1" x="97"/>
        <item m="1" x="84"/>
        <item m="1" x="85"/>
        <item m="1" x="86"/>
        <item m="1" x="88"/>
        <item m="1" x="89"/>
        <item m="1" x="91"/>
        <item m="1" x="92"/>
        <item m="1" x="87"/>
        <item m="1" x="90"/>
        <item m="1" x="94"/>
        <item m="1" x="95"/>
        <item x="0"/>
        <item x="6"/>
        <item m="1" x="36"/>
        <item x="16"/>
        <item m="1" x="32"/>
        <item x="24"/>
        <item x="25"/>
        <item x="26"/>
        <item x="27"/>
        <item x="28"/>
        <item x="29"/>
        <item x="30"/>
        <item x="1"/>
        <item x="2"/>
        <item x="3"/>
        <item x="4"/>
        <item x="5"/>
        <item m="1" x="35"/>
        <item x="7"/>
        <item x="8"/>
        <item x="11"/>
        <item x="9"/>
        <item x="10"/>
        <item x="15"/>
        <item x="12"/>
        <item x="13"/>
        <item x="14"/>
        <item m="1" x="33"/>
        <item x="17"/>
        <item m="1" x="34"/>
        <item x="18"/>
        <item x="19"/>
        <item x="23"/>
        <item x="20"/>
        <item x="21"/>
        <item x="22"/>
        <item t="default"/>
      </items>
    </pivotField>
    <pivotField axis="axisCol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showAll="0">
      <items count="6">
        <item x="3"/>
        <item x="0"/>
        <item x="1"/>
        <item x="2"/>
        <item x="4"/>
        <item t="default"/>
      </items>
    </pivotField>
    <pivotField axis="axisRow" showAll="0">
      <items count="14">
        <item m="1" x="7"/>
        <item m="1" x="11"/>
        <item m="1" x="8"/>
        <item m="1" x="9"/>
        <item m="1" x="10"/>
        <item x="6"/>
        <item m="1" x="12"/>
        <item x="0"/>
        <item x="1"/>
        <item x="2"/>
        <item x="3"/>
        <item x="4"/>
        <item x="5"/>
        <item t="default"/>
      </items>
    </pivotField>
    <pivotField axis="axisRow" showAll="0">
      <items count="353">
        <item x="3"/>
        <item m="1" x="328"/>
        <item x="1"/>
        <item x="2"/>
        <item x="6"/>
        <item m="1" x="151"/>
        <item m="1" x="317"/>
        <item x="32"/>
        <item m="1" x="347"/>
        <item x="4"/>
        <item m="1" x="348"/>
        <item x="36"/>
        <item x="26"/>
        <item x="137"/>
        <item m="1" x="329"/>
        <item m="1" x="351"/>
        <item m="1" x="330"/>
        <item m="1" x="320"/>
        <item m="1" x="321"/>
        <item m="1" x="350"/>
        <item m="1" x="318"/>
        <item m="1" x="319"/>
        <item m="1" x="316"/>
        <item m="1" x="294"/>
        <item m="1" x="295"/>
        <item x="0"/>
        <item m="1" x="293"/>
        <item m="1" x="292"/>
        <item x="38"/>
        <item x="41"/>
        <item x="12"/>
        <item x="109"/>
        <item m="1" x="256"/>
        <item m="1" x="255"/>
        <item m="1" x="346"/>
        <item m="1" x="253"/>
        <item m="1" x="345"/>
        <item m="1" x="344"/>
        <item m="1" x="334"/>
        <item m="1" x="331"/>
        <item x="56"/>
        <item m="1" x="349"/>
        <item x="5"/>
        <item x="48"/>
        <item x="57"/>
        <item x="118"/>
        <item m="1" x="322"/>
        <item m="1" x="271"/>
        <item m="1" x="272"/>
        <item m="1" x="335"/>
        <item m="1" x="338"/>
        <item m="1" x="337"/>
        <item m="1" x="340"/>
        <item m="1" x="343"/>
        <item m="1" x="341"/>
        <item m="1" x="342"/>
        <item m="1" x="339"/>
        <item m="1" x="266"/>
        <item m="1" x="226"/>
        <item m="1" x="306"/>
        <item m="1" x="333"/>
        <item x="7"/>
        <item m="1" x="252"/>
        <item m="1" x="332"/>
        <item x="85"/>
        <item m="1" x="309"/>
        <item m="1" x="310"/>
        <item m="1" x="312"/>
        <item m="1" x="313"/>
        <item m="1" x="291"/>
        <item m="1" x="290"/>
        <item m="1" x="336"/>
        <item x="34"/>
        <item x="16"/>
        <item x="17"/>
        <item x="19"/>
        <item x="18"/>
        <item m="1" x="147"/>
        <item m="1" x="148"/>
        <item m="1" x="305"/>
        <item m="1" x="303"/>
        <item m="1" x="280"/>
        <item m="1" x="304"/>
        <item m="1" x="307"/>
        <item x="53"/>
        <item x="54"/>
        <item m="1" x="156"/>
        <item m="1" x="311"/>
        <item m="1" x="314"/>
        <item m="1" x="296"/>
        <item m="1" x="297"/>
        <item m="1" x="257"/>
        <item m="1" x="302"/>
        <item m="1" x="215"/>
        <item x="67"/>
        <item m="1" x="315"/>
        <item x="60"/>
        <item x="88"/>
        <item x="24"/>
        <item m="1" x="323"/>
        <item m="1" x="324"/>
        <item m="1" x="325"/>
        <item m="1" x="326"/>
        <item m="1" x="327"/>
        <item x="89"/>
        <item m="1" x="308"/>
        <item x="77"/>
        <item x="95"/>
        <item m="1" x="275"/>
        <item m="1" x="276"/>
        <item m="1" x="277"/>
        <item x="25"/>
        <item m="1" x="278"/>
        <item m="1" x="279"/>
        <item m="1" x="298"/>
        <item m="1" x="299"/>
        <item m="1" x="284"/>
        <item m="1" x="300"/>
        <item m="1" x="301"/>
        <item m="1" x="289"/>
        <item m="1" x="146"/>
        <item x="31"/>
        <item x="33"/>
        <item m="1" x="153"/>
        <item x="35"/>
        <item x="37"/>
        <item m="1" x="162"/>
        <item m="1" x="248"/>
        <item m="1" x="173"/>
        <item m="1" x="152"/>
        <item m="1" x="154"/>
        <item m="1" x="155"/>
        <item m="1" x="263"/>
        <item m="1" x="172"/>
        <item m="1" x="282"/>
        <item m="1" x="283"/>
        <item m="1" x="285"/>
        <item m="1" x="286"/>
        <item m="1" x="287"/>
        <item m="1" x="288"/>
        <item m="1" x="281"/>
        <item m="1" x="158"/>
        <item m="1" x="163"/>
        <item m="1" x="254"/>
        <item m="1" x="246"/>
        <item m="1" x="264"/>
        <item m="1" x="244"/>
        <item m="1" x="260"/>
        <item m="1" x="265"/>
        <item m="1" x="245"/>
        <item m="1" x="150"/>
        <item m="1" x="239"/>
        <item m="1" x="261"/>
        <item m="1" x="159"/>
        <item m="1" x="161"/>
        <item m="1" x="160"/>
        <item m="1" x="267"/>
        <item m="1" x="268"/>
        <item m="1" x="274"/>
        <item m="1" x="273"/>
        <item m="1" x="269"/>
        <item m="1" x="270"/>
        <item m="1" x="164"/>
        <item m="1" x="165"/>
        <item m="1" x="166"/>
        <item m="1" x="167"/>
        <item m="1" x="168"/>
        <item m="1" x="169"/>
        <item m="1" x="170"/>
        <item m="1" x="174"/>
        <item m="1" x="262"/>
        <item m="1" x="176"/>
        <item m="1" x="178"/>
        <item m="1" x="175"/>
        <item m="1" x="177"/>
        <item m="1" x="182"/>
        <item m="1" x="259"/>
        <item m="1" x="180"/>
        <item m="1" x="183"/>
        <item m="1" x="247"/>
        <item m="1" x="171"/>
        <item m="1" x="179"/>
        <item m="1" x="186"/>
        <item m="1" x="184"/>
        <item m="1" x="185"/>
        <item m="1" x="194"/>
        <item m="1" x="188"/>
        <item m="1" x="250"/>
        <item m="1" x="251"/>
        <item x="87"/>
        <item m="1" x="187"/>
        <item m="1" x="258"/>
        <item x="20"/>
        <item m="1" x="157"/>
        <item x="22"/>
        <item x="23"/>
        <item m="1" x="145"/>
        <item m="1" x="189"/>
        <item m="1" x="190"/>
        <item m="1" x="191"/>
        <item m="1" x="192"/>
        <item m="1" x="193"/>
        <item m="1" x="234"/>
        <item m="1" x="240"/>
        <item m="1" x="195"/>
        <item m="1" x="196"/>
        <item m="1" x="197"/>
        <item m="1" x="198"/>
        <item x="94"/>
        <item m="1" x="199"/>
        <item m="1" x="200"/>
        <item m="1" x="201"/>
        <item x="9"/>
        <item x="10"/>
        <item m="1" x="205"/>
        <item m="1" x="206"/>
        <item m="1" x="230"/>
        <item m="1" x="231"/>
        <item m="1" x="235"/>
        <item m="1" x="236"/>
        <item m="1" x="249"/>
        <item m="1" x="203"/>
        <item m="1" x="202"/>
        <item m="1" x="208"/>
        <item m="1" x="213"/>
        <item m="1" x="224"/>
        <item m="1" x="204"/>
        <item m="1" x="207"/>
        <item m="1" x="214"/>
        <item m="1" x="211"/>
        <item m="1" x="209"/>
        <item m="1" x="210"/>
        <item m="1" x="212"/>
        <item m="1" x="216"/>
        <item m="1" x="181"/>
        <item m="1" x="217"/>
        <item m="1" x="222"/>
        <item m="1" x="241"/>
        <item m="1" x="242"/>
        <item m="1" x="219"/>
        <item m="1" x="220"/>
        <item m="1" x="218"/>
        <item m="1" x="243"/>
        <item m="1" x="221"/>
        <item m="1" x="225"/>
        <item x="13"/>
        <item x="14"/>
        <item m="1" x="223"/>
        <item m="1" x="140"/>
        <item m="1" x="227"/>
        <item x="11"/>
        <item m="1" x="232"/>
        <item m="1" x="238"/>
        <item x="40"/>
        <item m="1" x="228"/>
        <item x="124"/>
        <item m="1" x="229"/>
        <item m="1" x="233"/>
        <item m="1" x="237"/>
        <item m="1" x="149"/>
        <item x="21"/>
        <item x="86"/>
        <item x="99"/>
        <item x="100"/>
        <item x="101"/>
        <item x="105"/>
        <item x="106"/>
        <item x="107"/>
        <item x="108"/>
        <item x="113"/>
        <item x="114"/>
        <item m="1" x="141"/>
        <item m="1" x="142"/>
        <item x="125"/>
        <item x="126"/>
        <item m="1" x="143"/>
        <item m="1" x="138"/>
        <item x="129"/>
        <item x="132"/>
        <item x="133"/>
        <item m="1" x="144"/>
        <item x="135"/>
        <item m="1" x="139"/>
        <item x="45"/>
        <item x="8"/>
        <item x="27"/>
        <item x="28"/>
        <item x="29"/>
        <item x="30"/>
        <item x="42"/>
        <item x="43"/>
        <item x="44"/>
        <item x="50"/>
        <item x="51"/>
        <item x="52"/>
        <item x="68"/>
        <item x="69"/>
        <item x="70"/>
        <item x="81"/>
        <item x="82"/>
        <item x="83"/>
        <item x="90"/>
        <item x="91"/>
        <item x="92"/>
        <item x="96"/>
        <item x="97"/>
        <item x="102"/>
        <item x="103"/>
        <item x="110"/>
        <item x="111"/>
        <item x="116"/>
        <item x="117"/>
        <item x="121"/>
        <item x="122"/>
        <item x="130"/>
        <item x="131"/>
        <item x="39"/>
        <item x="46"/>
        <item x="47"/>
        <item x="55"/>
        <item x="15"/>
        <item x="49"/>
        <item x="58"/>
        <item x="59"/>
        <item x="115"/>
        <item x="120"/>
        <item x="127"/>
        <item x="134"/>
        <item x="64"/>
        <item x="61"/>
        <item x="62"/>
        <item x="63"/>
        <item x="75"/>
        <item x="76"/>
        <item x="128"/>
        <item x="136"/>
        <item x="65"/>
        <item x="66"/>
        <item x="71"/>
        <item x="72"/>
        <item x="73"/>
        <item x="84"/>
        <item x="93"/>
        <item x="98"/>
        <item x="104"/>
        <item x="112"/>
        <item x="119"/>
        <item x="123"/>
        <item x="74"/>
        <item x="78"/>
        <item x="79"/>
        <item x="80"/>
        <item t="default"/>
      </items>
    </pivotField>
    <pivotField showAll="0"/>
    <pivotField dataField="1" numFmtId="44" showAll="0"/>
    <pivotField showAll="0"/>
    <pivotField axis="axisPage" showAll="0">
      <items count="6">
        <item x="3"/>
        <item x="2"/>
        <item x="1"/>
        <item x="0"/>
        <item m="1" x="4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4"/>
  </rowFields>
  <rowItems count="13">
    <i>
      <x v="7"/>
    </i>
    <i r="1">
      <x v="98"/>
    </i>
    <i r="1">
      <x v="111"/>
    </i>
    <i>
      <x v="8"/>
    </i>
    <i r="1">
      <x/>
    </i>
    <i r="1">
      <x v="3"/>
    </i>
    <i r="1">
      <x v="9"/>
    </i>
    <i r="1">
      <x v="12"/>
    </i>
    <i r="1">
      <x v="106"/>
    </i>
    <i>
      <x v="9"/>
    </i>
    <i r="1">
      <x v="96"/>
    </i>
    <i r="1">
      <x v="351"/>
    </i>
    <i t="grand">
      <x/>
    </i>
  </rowItems>
  <colFields count="1">
    <field x="1"/>
  </colFields>
  <colItems count="2">
    <i>
      <x v="3"/>
    </i>
    <i t="grand">
      <x/>
    </i>
  </colItems>
  <pageFields count="2">
    <pageField fld="2" item="3" hier="-1"/>
    <pageField fld="8" item="3" hier="-1"/>
  </pageFields>
  <dataFields count="1">
    <dataField name="Soma de Valor" fld="6" baseField="0" baseItem="0" numFmtId="44"/>
  </dataFields>
  <formats count="71">
    <format dxfId="240">
      <pivotArea type="origin" dataOnly="0" labelOnly="1" outline="0" fieldPosition="0"/>
    </format>
    <format dxfId="239">
      <pivotArea type="origin" dataOnly="0" labelOnly="1" outline="0" fieldPosition="0"/>
    </format>
    <format dxfId="238">
      <pivotArea field="1" type="button" dataOnly="0" labelOnly="1" outline="0" axis="axisCol" fieldPosition="0"/>
    </format>
    <format dxfId="237">
      <pivotArea type="origin" dataOnly="0" labelOnly="1" outline="0" fieldPosition="0"/>
    </format>
    <format dxfId="236">
      <pivotArea field="1" type="button" dataOnly="0" labelOnly="1" outline="0" axis="axisCol" fieldPosition="0"/>
    </format>
    <format dxfId="235">
      <pivotArea type="topRight" dataOnly="0" labelOnly="1" outline="0" fieldPosition="0"/>
    </format>
    <format dxfId="234">
      <pivotArea field="3" type="button" dataOnly="0" labelOnly="1" outline="0" axis="axisRow" fieldPosition="0"/>
    </format>
    <format dxfId="233">
      <pivotArea field="3" type="button" dataOnly="0" labelOnly="1" outline="0" axis="axisRow" fieldPosition="0"/>
    </format>
    <format dxfId="232">
      <pivotArea dataOnly="0" labelOnly="1" fieldPosition="0">
        <references count="1">
          <reference field="1" count="0"/>
        </references>
      </pivotArea>
    </format>
    <format dxfId="231">
      <pivotArea dataOnly="0" labelOnly="1" grandCol="1" outline="0" fieldPosition="0"/>
    </format>
    <format dxfId="230">
      <pivotArea dataOnly="0" labelOnly="1" outline="0" fieldPosition="0">
        <references count="1">
          <reference field="2" count="1">
            <x v="0"/>
          </reference>
        </references>
      </pivotArea>
    </format>
    <format dxfId="229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28">
      <pivotArea dataOnly="0" labelOnly="1" grandCol="1" outline="0" fieldPosition="0"/>
    </format>
    <format dxfId="227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26">
      <pivotArea dataOnly="0" labelOnly="1" grandCol="1" outline="0" fieldPosition="0"/>
    </format>
    <format dxfId="225">
      <pivotArea grandRow="1" outline="0" collapsedLevelsAreSubtotals="1" fieldPosition="0"/>
    </format>
    <format dxfId="224">
      <pivotArea dataOnly="0" labelOnly="1" grandRow="1" outline="0" fieldPosition="0"/>
    </format>
    <format dxfId="223">
      <pivotArea grandRow="1" outline="0" collapsedLevelsAreSubtotals="1" fieldPosition="0"/>
    </format>
    <format dxfId="222">
      <pivotArea dataOnly="0" labelOnly="1" grandRow="1" outline="0" fieldPosition="0"/>
    </format>
    <format dxfId="221">
      <pivotArea type="all" dataOnly="0" outline="0" fieldPosition="0"/>
    </format>
    <format dxfId="220">
      <pivotArea outline="0" collapsedLevelsAreSubtotals="1" fieldPosition="0"/>
    </format>
    <format dxfId="219">
      <pivotArea type="origin" dataOnly="0" labelOnly="1" outline="0" fieldPosition="0"/>
    </format>
    <format dxfId="218">
      <pivotArea field="1" type="button" dataOnly="0" labelOnly="1" outline="0" axis="axisCol" fieldPosition="0"/>
    </format>
    <format dxfId="217">
      <pivotArea type="topRight" dataOnly="0" labelOnly="1" outline="0" fieldPosition="0"/>
    </format>
    <format dxfId="216">
      <pivotArea field="3" type="button" dataOnly="0" labelOnly="1" outline="0" axis="axisRow" fieldPosition="0"/>
    </format>
    <format dxfId="215">
      <pivotArea dataOnly="0" labelOnly="1" fieldPosition="0">
        <references count="1">
          <reference field="3" count="1">
            <x v="3"/>
          </reference>
        </references>
      </pivotArea>
    </format>
    <format dxfId="214">
      <pivotArea dataOnly="0" labelOnly="1" grandRow="1" outline="0" fieldPosition="0"/>
    </format>
    <format dxfId="213">
      <pivotArea dataOnly="0" labelOnly="1" fieldPosition="0">
        <references count="2">
          <reference field="3" count="1" selected="0">
            <x v="3"/>
          </reference>
          <reference field="4" count="9">
            <x v="14"/>
            <x v="15"/>
            <x v="16"/>
            <x v="17"/>
            <x v="18"/>
            <x v="19"/>
            <x v="20"/>
            <x v="21"/>
            <x v="22"/>
          </reference>
        </references>
      </pivotArea>
    </format>
    <format dxfId="212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11">
      <pivotArea dataOnly="0" labelOnly="1" grandCol="1" outline="0" fieldPosition="0"/>
    </format>
    <format dxfId="210">
      <pivotArea collapsedLevelsAreSubtotals="1" fieldPosition="0">
        <references count="1">
          <reference field="3" count="1">
            <x v="3"/>
          </reference>
        </references>
      </pivotArea>
    </format>
    <format dxfId="209">
      <pivotArea dataOnly="0" labelOnly="1" fieldPosition="0">
        <references count="1">
          <reference field="3" count="1">
            <x v="3"/>
          </reference>
        </references>
      </pivotArea>
    </format>
    <format dxfId="208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07">
      <pivotArea dataOnly="0" labelOnly="1" grandCol="1" outline="0" fieldPosition="0"/>
    </format>
    <format dxfId="206">
      <pivotArea grandRow="1" outline="0" collapsedLevelsAreSubtotals="1" fieldPosition="0"/>
    </format>
    <format dxfId="205">
      <pivotArea dataOnly="0" labelOnly="1" grandRow="1" outline="0" fieldPosition="0"/>
    </format>
    <format dxfId="204">
      <pivotArea collapsedLevelsAreSubtotals="1" fieldPosition="0">
        <references count="1">
          <reference field="3" count="1">
            <x v="3"/>
          </reference>
        </references>
      </pivotArea>
    </format>
    <format dxfId="203">
      <pivotArea dataOnly="0" labelOnly="1" fieldPosition="0">
        <references count="1">
          <reference field="3" count="1">
            <x v="3"/>
          </reference>
        </references>
      </pivotArea>
    </format>
    <format dxfId="202">
      <pivotArea dataOnly="0" fieldPosition="0">
        <references count="3">
          <reference field="2" count="1" selected="0">
            <x v="1"/>
          </reference>
          <reference field="3" count="3">
            <x v="0"/>
            <x v="2"/>
            <x v="4"/>
          </reference>
          <reference field="8" count="1" selected="0">
            <x v="1"/>
          </reference>
        </references>
      </pivotArea>
    </format>
    <format dxfId="201">
      <pivotArea dataOnly="0" labelOnly="1" outline="0" fieldPosition="0">
        <references count="2">
          <reference field="2" count="1">
            <x v="1"/>
          </reference>
          <reference field="8" count="1" selected="0">
            <x v="1"/>
          </reference>
        </references>
      </pivotArea>
    </format>
    <format dxfId="200">
      <pivotArea grandCol="1" outline="0" collapsedLevelsAreSubtotals="1" fieldPosition="0"/>
    </format>
    <format dxfId="199">
      <pivotArea dataOnly="0" fieldPosition="0">
        <references count="3">
          <reference field="2" count="1" selected="0">
            <x v="1"/>
          </reference>
          <reference field="3" count="4">
            <x v="0"/>
            <x v="2"/>
            <x v="3"/>
            <x v="4"/>
          </reference>
          <reference field="8" count="1" selected="0">
            <x v="1"/>
          </reference>
        </references>
      </pivotArea>
    </format>
    <format dxfId="198">
      <pivotArea dataOnly="0" fieldPosition="0">
        <references count="3">
          <reference field="3" count="5">
            <x v="0"/>
            <x v="1"/>
            <x v="2"/>
            <x v="3"/>
            <x v="4"/>
          </reference>
          <reference field="4" count="0" defaultSubtotal="1" sumSubtotal="1" countASubtotal="1" avgSubtotal="1" maxSubtotal="1" minSubtotal="1" productSubtotal="1" countSubtotal="1" stdDevSubtotal="1" stdDevPSubtotal="1" varSubtotal="1" varPSubtotal="1"/>
          <reference field="8" count="1" selected="0">
            <x v="1"/>
          </reference>
        </references>
      </pivotArea>
    </format>
    <format dxfId="197">
      <pivotArea dataOnly="0" fieldPosition="0">
        <references count="2">
          <reference field="3" count="1">
            <x v="3"/>
          </reference>
          <reference field="8" count="1" selected="0">
            <x v="1"/>
          </reference>
        </references>
      </pivotArea>
    </format>
    <format dxfId="196">
      <pivotArea dataOnly="0" fieldPosition="0">
        <references count="2">
          <reference field="3" count="1">
            <x v="0"/>
          </reference>
          <reference field="8" count="1" selected="0">
            <x v="1"/>
          </reference>
        </references>
      </pivotArea>
    </format>
    <format dxfId="195">
      <pivotArea dataOnly="0" fieldPosition="0">
        <references count="3">
          <reference field="2" count="1" selected="0">
            <x v="2"/>
          </reference>
          <reference field="3" count="4">
            <x v="0"/>
            <x v="1"/>
            <x v="2"/>
            <x v="3"/>
          </reference>
          <reference field="8" count="1" selected="0">
            <x v="1"/>
          </reference>
        </references>
      </pivotArea>
    </format>
    <format dxfId="194">
      <pivotArea dataOnly="0" fieldPosition="0">
        <references count="3">
          <reference field="2" count="1" selected="0">
            <x v="3"/>
          </reference>
          <reference field="3" count="1">
            <x v="3"/>
          </reference>
          <reference field="8" count="1" selected="0">
            <x v="1"/>
          </reference>
        </references>
      </pivotArea>
    </format>
    <format dxfId="193">
      <pivotArea type="all" dataOnly="0" outline="0" fieldPosition="0"/>
    </format>
    <format dxfId="192">
      <pivotArea outline="0" collapsedLevelsAreSubtotals="1" fieldPosition="0"/>
    </format>
    <format dxfId="191">
      <pivotArea type="origin" dataOnly="0" labelOnly="1" outline="0" fieldPosition="0"/>
    </format>
    <format dxfId="190">
      <pivotArea field="1" type="button" dataOnly="0" labelOnly="1" outline="0" axis="axisCol" fieldPosition="0"/>
    </format>
    <format dxfId="189">
      <pivotArea type="topRight" dataOnly="0" labelOnly="1" outline="0" fieldPosition="0"/>
    </format>
    <format dxfId="188">
      <pivotArea field="3" type="button" dataOnly="0" labelOnly="1" outline="0" axis="axisRow" fieldPosition="0"/>
    </format>
    <format dxfId="187">
      <pivotArea dataOnly="0" labelOnly="1" fieldPosition="0">
        <references count="1">
          <reference field="3" count="1">
            <x v="3"/>
          </reference>
        </references>
      </pivotArea>
    </format>
    <format dxfId="186">
      <pivotArea dataOnly="0" labelOnly="1" grandRow="1" outline="0" fieldPosition="0"/>
    </format>
    <format dxfId="185">
      <pivotArea dataOnly="0" labelOnly="1" fieldPosition="0">
        <references count="2">
          <reference field="3" count="1" selected="0">
            <x v="3"/>
          </reference>
          <reference field="4" count="4">
            <x v="0"/>
            <x v="1"/>
            <x v="12"/>
            <x v="38"/>
          </reference>
        </references>
      </pivotArea>
    </format>
    <format dxfId="184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83">
      <pivotArea dataOnly="0" labelOnly="1" grandCol="1" outline="0" fieldPosition="0"/>
    </format>
    <format dxfId="182">
      <pivotArea dataOnly="0" labelOnly="1" fieldPosition="0">
        <references count="1">
          <reference field="3" count="1">
            <x v="2"/>
          </reference>
        </references>
      </pivotArea>
    </format>
    <format dxfId="181">
      <pivotArea dataOnly="0" labelOnly="1" fieldPosition="0">
        <references count="1">
          <reference field="3" count="1">
            <x v="0"/>
          </reference>
        </references>
      </pivotArea>
    </format>
    <format dxfId="180">
      <pivotArea collapsedLevelsAreSubtotals="1" fieldPosition="0">
        <references count="1">
          <reference field="3" count="1">
            <x v="2"/>
          </reference>
        </references>
      </pivotArea>
    </format>
    <format dxfId="179">
      <pivotArea collapsedLevelsAreSubtotals="1" fieldPosition="0">
        <references count="1">
          <reference field="3" count="1">
            <x v="0"/>
          </reference>
        </references>
      </pivotArea>
    </format>
    <format dxfId="178">
      <pivotArea dataOnly="0" labelOnly="1" fieldPosition="0">
        <references count="1">
          <reference field="3" count="1">
            <x v="3"/>
          </reference>
        </references>
      </pivotArea>
    </format>
    <format dxfId="177">
      <pivotArea dataOnly="0" fieldPosition="0">
        <references count="2">
          <reference field="2" count="1" selected="0">
            <x v="3"/>
          </reference>
          <reference field="3" count="1">
            <x v="3"/>
          </reference>
        </references>
      </pivotArea>
    </format>
    <format dxfId="176">
      <pivotArea dataOnly="0" labelOnly="1" outline="0" fieldPosition="0">
        <references count="1">
          <reference field="2" count="1">
            <x v="3"/>
          </reference>
        </references>
      </pivotArea>
    </format>
    <format dxfId="175">
      <pivotArea collapsedLevelsAreSubtotals="1" fieldPosition="0">
        <references count="1">
          <reference field="3" count="1">
            <x v="7"/>
          </reference>
        </references>
      </pivotArea>
    </format>
    <format dxfId="174">
      <pivotArea dataOnly="0" labelOnly="1" fieldPosition="0">
        <references count="1">
          <reference field="3" count="1">
            <x v="7"/>
          </reference>
        </references>
      </pivotArea>
    </format>
    <format dxfId="173">
      <pivotArea collapsedLevelsAreSubtotals="1" fieldPosition="0">
        <references count="1">
          <reference field="3" count="1">
            <x v="8"/>
          </reference>
        </references>
      </pivotArea>
    </format>
    <format dxfId="172">
      <pivotArea dataOnly="0" labelOnly="1" fieldPosition="0">
        <references count="1">
          <reference field="3" count="1">
            <x v="8"/>
          </reference>
        </references>
      </pivotArea>
    </format>
    <format dxfId="171">
      <pivotArea collapsedLevelsAreSubtotals="1" fieldPosition="0">
        <references count="1">
          <reference field="3" count="1">
            <x v="9"/>
          </reference>
        </references>
      </pivotArea>
    </format>
    <format dxfId="170">
      <pivotArea dataOnly="0" labelOnly="1" fieldPosition="0">
        <references count="1">
          <reference field="3" count="1">
            <x v="9"/>
          </reference>
        </references>
      </pivotArea>
    </format>
  </formats>
  <pivotTableStyleInfo name="PivotStyleLight15" showRowHeaders="1" showColHeaders="1" showRowStripes="0" showColStripes="0" showLastColumn="1"/>
  <filters count="1">
    <filter fld="0" type="dateBetween" evalOrder="-1" id="596" name="Dia">
      <autoFilter ref="A1">
        <filterColumn colId="0">
          <customFilters and="1">
            <customFilter operator="greaterThanOrEqual" val="46113"/>
            <customFilter operator="lessThanOrEqual" val="4614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ia" xr10:uid="{07478178-69F7-4A1D-A9E5-211324FAB631}" sourceName="Dia">
  <pivotTables>
    <pivotTable tabId="44" name="Tabela dinâmica1"/>
  </pivotTables>
  <state minimalRefreshVersion="6" lastRefreshVersion="6" pivotCacheId="1625970247" filterType="dateBetween">
    <selection startDate="2026-04-01T00:00:00" endDate="2026-04-30T00:00:00"/>
    <bounds startDate="2025-01-01T00:00:00" endDate="2027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ia1" xr10:uid="{FAD0B2E7-24F2-412A-B069-044777515419}" sourceName="Dia">
  <pivotTables>
    <pivotTable tabId="47" name="Tabela dinâmica1"/>
  </pivotTables>
  <state minimalRefreshVersion="6" lastRefreshVersion="6" pivotCacheId="1625970247" filterType="dateBetween">
    <selection startDate="2026-05-01T00:00:00" endDate="2026-05-31T00:00:00"/>
    <bounds startDate="2025-01-01T00:00:00" endDate="2027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ia11" xr10:uid="{EC2BF8AE-0386-491B-BC4E-79B14A34FFB2}" sourceName="Dia">
  <pivotTables>
    <pivotTable tabId="48" name="Tabela dinâmica1"/>
  </pivotTables>
  <state minimalRefreshVersion="6" lastRefreshVersion="6" pivotCacheId="1625970247" filterType="dateBetween">
    <selection startDate="2026-04-01T00:00:00" endDate="2026-04-30T00:00:00"/>
    <bounds startDate="2025-01-01T00:00:00" endDate="2027-01-01T00:00:00"/>
  </state>
</timelineCacheDefinition>
</file>

<file path=xl/timelineCaches/timelineCache4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ia111" xr10:uid="{CA39872D-93AF-4515-8F43-4ED1999E5B6F}" sourceName="Dia">
  <pivotTables>
    <pivotTable tabId="49" name="Tabela dinâmica1"/>
  </pivotTables>
  <state minimalRefreshVersion="6" lastRefreshVersion="6" pivotCacheId="1625970247" filterType="dateBetween">
    <selection startDate="2026-04-01T00:00:00" endDate="2026-04-30T00:00:00"/>
    <bounds startDate="2025-01-01T00:00:00" endDate="2027-01-01T00:00:00"/>
  </state>
</timelineCacheDefinition>
</file>

<file path=xl/timelineCaches/timelineCache5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ia2" xr10:uid="{4FCC60E5-1236-428C-87DD-58E2E2AF12A0}" sourceName="Dia">
  <pivotTables>
    <pivotTable tabId="51" name="Tabela dinâmica1"/>
  </pivotTables>
  <state minimalRefreshVersion="6" lastRefreshVersion="6" pivotCacheId="1625970247" filterType="dateBetween">
    <selection startDate="2026-01-01T00:00:00" endDate="2026-12-31T00:00:00"/>
    <bounds startDate="2025-01-01T00:00:00" endDate="2027-01-01T00:00:00"/>
  </state>
</timelineCacheDefinition>
</file>

<file path=xl/timelineCaches/timelineCache6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ia21" xr10:uid="{99270CDC-94D2-4BE1-B3FA-6C7A834E2198}" sourceName="Dia">
  <pivotTables>
    <pivotTable tabId="54" name="Tabela dinâmica1"/>
  </pivotTables>
  <state minimalRefreshVersion="6" lastRefreshVersion="6" pivotCacheId="1034144531" filterType="dateBetween">
    <selection startDate="2026-04-01T00:00:00" endDate="2026-12-31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ia 5" xr10:uid="{54972F53-1BAB-4163-8E9E-618E4B9CF9CF}" cache="NativeTimeline_Dia21" caption="Dia" level="2" selectionLevel="1" scrollPosition="2026-01-01T00:00:00" style="Estilo de Linha do Tempo 1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ia 4" xr10:uid="{8A317B34-523E-4E8B-9B85-5F9A140F0A92}" cache="NativeTimeline_Dia2" caption="Dia" level="2" selectionLevel="0" scrollPosition="2025-12-28T00:00:00" style="Estilo de Linha do Tempo 1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ia" xr10:uid="{C3052FFC-0D8D-4C7F-8CCF-C8AF8AEA018A}" cache="NativeTimeline_Dia" caption="Dia" level="2" selectionLevel="2" scrollPosition="2025-12-28T00:00:00" style="Estilo de Linha do Tempo 1"/>
</timelines>
</file>

<file path=xl/timelines/timeline4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ia 1" xr10:uid="{5EDAE9BE-EC5D-47DB-B989-C3203EEC730B}" cache="NativeTimeline_Dia1" caption="Dia" level="2" selectionLevel="2" scrollPosition="2025-12-28T00:00:00" style="Estilo de Linha do Tempo 1"/>
</timelines>
</file>

<file path=xl/timelines/timeline5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ia 2" xr10:uid="{EF5DA5DE-949D-4F00-9C52-ACEADCCAC40A}" cache="NativeTimeline_Dia11" caption="Dia" level="2" selectionLevel="2" scrollPosition="2025-12-28T00:00:00" style="Estilo de Linha do Tempo 1"/>
</timelines>
</file>

<file path=xl/timelines/timeline6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ia 3" xr10:uid="{9D187915-09FE-4BE1-88F1-BCDF2D58101E}" cache="NativeTimeline_Dia111" caption="Dia" level="2" selectionLevel="2" scrollPosition="2025-12-28T00:00:00" style="Estilo de Linha do Tempo 1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Relationship Id="rId4" Type="http://schemas.microsoft.com/office/2011/relationships/timeline" Target="../timelines/timelin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3.xml"/><Relationship Id="rId4" Type="http://schemas.microsoft.com/office/2011/relationships/timeline" Target="../timelines/timeline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4.xml"/><Relationship Id="rId4" Type="http://schemas.microsoft.com/office/2011/relationships/timeline" Target="../timelines/timelin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5.xml"/><Relationship Id="rId4" Type="http://schemas.microsoft.com/office/2011/relationships/timeline" Target="../timelines/timeline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6.xml"/><Relationship Id="rId4" Type="http://schemas.microsoft.com/office/2011/relationships/timeline" Target="../timelines/timeline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4625-EFAD-4397-BD09-8AFD596ADF5A}">
  <sheetPr>
    <tabColor theme="1"/>
    <pageSetUpPr fitToPage="1"/>
  </sheetPr>
  <dimension ref="B2:O139"/>
  <sheetViews>
    <sheetView showGridLines="0" zoomScaleNormal="100" workbookViewId="0">
      <selection activeCell="C2" sqref="C2:O2"/>
    </sheetView>
  </sheetViews>
  <sheetFormatPr defaultRowHeight="12.75"/>
  <cols>
    <col min="1" max="1" width="1.42578125" style="45" customWidth="1"/>
    <col min="2" max="2" width="35.28515625" style="45" bestFit="1" customWidth="1"/>
    <col min="3" max="3" width="15.5703125" style="45" bestFit="1" customWidth="1"/>
    <col min="4" max="4" width="15.5703125" style="45" customWidth="1"/>
    <col min="5" max="5" width="15.28515625" style="45" customWidth="1"/>
    <col min="6" max="6" width="16.5703125" style="45" bestFit="1" customWidth="1"/>
    <col min="7" max="7" width="16.7109375" style="45" customWidth="1"/>
    <col min="8" max="12" width="14" style="45" bestFit="1" customWidth="1"/>
    <col min="13" max="13" width="14" style="45" customWidth="1"/>
    <col min="14" max="14" width="14" style="45" bestFit="1" customWidth="1"/>
    <col min="15" max="15" width="17.7109375" style="45" bestFit="1" customWidth="1"/>
    <col min="16" max="16" width="3" style="45" customWidth="1"/>
    <col min="17" max="18" width="9.140625" style="45"/>
    <col min="19" max="19" width="13.5703125" style="45" customWidth="1"/>
    <col min="20" max="20" width="15.85546875" style="45" bestFit="1" customWidth="1"/>
    <col min="21" max="16384" width="9.140625" style="45"/>
  </cols>
  <sheetData>
    <row r="2" spans="2:15" ht="36" customHeight="1">
      <c r="C2" s="533" t="s">
        <v>672</v>
      </c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</row>
    <row r="6" spans="2:15" ht="21.75" customHeight="1">
      <c r="B6" s="93" t="s">
        <v>4</v>
      </c>
      <c r="C6" s="100" t="s">
        <v>165</v>
      </c>
      <c r="D6" s="101" t="s">
        <v>166</v>
      </c>
      <c r="E6" s="101" t="s">
        <v>167</v>
      </c>
      <c r="F6" s="101" t="s">
        <v>168</v>
      </c>
      <c r="G6" s="101" t="s">
        <v>169</v>
      </c>
      <c r="H6" s="101" t="s">
        <v>170</v>
      </c>
      <c r="I6" s="101" t="s">
        <v>171</v>
      </c>
      <c r="J6" s="101" t="s">
        <v>172</v>
      </c>
      <c r="K6" s="101" t="s">
        <v>173</v>
      </c>
      <c r="L6" s="101" t="s">
        <v>174</v>
      </c>
      <c r="M6" s="101" t="s">
        <v>175</v>
      </c>
      <c r="N6" s="101" t="s">
        <v>176</v>
      </c>
      <c r="O6" s="102" t="s">
        <v>5</v>
      </c>
    </row>
    <row r="7" spans="2:15" ht="15" customHeight="1">
      <c r="B7" s="94" t="s">
        <v>399</v>
      </c>
      <c r="C7" s="95">
        <v>383789.5799999999</v>
      </c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103">
        <v>383789.5799999999</v>
      </c>
    </row>
    <row r="8" spans="2:15" ht="15" customHeight="1">
      <c r="B8" s="96" t="s">
        <v>397</v>
      </c>
      <c r="C8" s="97">
        <v>960000</v>
      </c>
      <c r="D8" s="97"/>
      <c r="E8" s="97">
        <v>1793031.0720000002</v>
      </c>
      <c r="F8" s="97"/>
      <c r="G8" s="97"/>
      <c r="H8" s="97"/>
      <c r="I8" s="97">
        <v>760234.22160000005</v>
      </c>
      <c r="J8" s="97"/>
      <c r="K8" s="97"/>
      <c r="L8" s="97"/>
      <c r="M8" s="97"/>
      <c r="N8" s="97"/>
      <c r="O8" s="103">
        <v>3513265.2936000004</v>
      </c>
    </row>
    <row r="9" spans="2:15" ht="15" customHeight="1">
      <c r="B9" s="96" t="s">
        <v>386</v>
      </c>
      <c r="C9" s="97">
        <v>179865.43999999992</v>
      </c>
      <c r="D9" s="97">
        <v>47205.93</v>
      </c>
      <c r="E9" s="97">
        <v>15920.67</v>
      </c>
      <c r="F9" s="97">
        <v>4768</v>
      </c>
      <c r="G9" s="97">
        <v>4768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103">
        <v>252528.03999999992</v>
      </c>
    </row>
    <row r="10" spans="2:15" ht="15" customHeight="1">
      <c r="B10" s="96" t="s">
        <v>383</v>
      </c>
      <c r="C10" s="97">
        <v>1878</v>
      </c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103">
        <v>1878</v>
      </c>
    </row>
    <row r="11" spans="2:15" ht="15" customHeight="1">
      <c r="B11" s="96" t="s">
        <v>298</v>
      </c>
      <c r="C11" s="97">
        <v>-33968.089999999997</v>
      </c>
      <c r="D11" s="97">
        <v>-18402.09</v>
      </c>
      <c r="E11" s="97">
        <v>-6971.07</v>
      </c>
      <c r="F11" s="97">
        <v>-51971.07</v>
      </c>
      <c r="G11" s="97">
        <v>-198706.99720000004</v>
      </c>
      <c r="H11" s="97">
        <v>-6971.07</v>
      </c>
      <c r="I11" s="97">
        <v>-53515.29</v>
      </c>
      <c r="J11" s="97">
        <v>-7249.07</v>
      </c>
      <c r="K11" s="97">
        <v>-126971.07</v>
      </c>
      <c r="L11" s="97">
        <v>-61971.07</v>
      </c>
      <c r="M11" s="97">
        <v>-9258.07</v>
      </c>
      <c r="N11" s="97">
        <v>-9258.07</v>
      </c>
      <c r="O11" s="103">
        <v>-585213.02719999989</v>
      </c>
    </row>
    <row r="12" spans="2:15" ht="15" customHeight="1">
      <c r="B12" s="96" t="s">
        <v>299</v>
      </c>
      <c r="C12" s="97">
        <v>-8126.78</v>
      </c>
      <c r="D12" s="97">
        <v>-7926.78</v>
      </c>
      <c r="E12" s="97">
        <v>-7926.78</v>
      </c>
      <c r="F12" s="97">
        <v>-7926.78</v>
      </c>
      <c r="G12" s="97">
        <v>-7926.78</v>
      </c>
      <c r="H12" s="97">
        <v>-7926.78</v>
      </c>
      <c r="I12" s="97">
        <v>-7926.78</v>
      </c>
      <c r="J12" s="97">
        <v>-7926.78</v>
      </c>
      <c r="K12" s="97">
        <v>-13893.45</v>
      </c>
      <c r="L12" s="97">
        <v>-3436.3599999999997</v>
      </c>
      <c r="M12" s="97">
        <v>-10426.779999999999</v>
      </c>
      <c r="N12" s="97">
        <v>-11923.140000000001</v>
      </c>
      <c r="O12" s="103">
        <v>-103293.97</v>
      </c>
    </row>
    <row r="13" spans="2:15" ht="15" customHeight="1">
      <c r="B13" s="96" t="s">
        <v>300</v>
      </c>
      <c r="C13" s="97">
        <v>-18852.230000000003</v>
      </c>
      <c r="D13" s="97">
        <v>-19016.93</v>
      </c>
      <c r="E13" s="97">
        <v>-19016.93</v>
      </c>
      <c r="F13" s="97">
        <v>-19016.93</v>
      </c>
      <c r="G13" s="97">
        <v>-19016.93</v>
      </c>
      <c r="H13" s="97">
        <v>-19016.93</v>
      </c>
      <c r="I13" s="97">
        <v>-18892.73</v>
      </c>
      <c r="J13" s="97">
        <v>-318738.93000000005</v>
      </c>
      <c r="K13" s="97">
        <v>-19016.93</v>
      </c>
      <c r="L13" s="97">
        <v>-9016.93</v>
      </c>
      <c r="M13" s="97">
        <v>-19016.93</v>
      </c>
      <c r="N13" s="97">
        <v>-19016.93</v>
      </c>
      <c r="O13" s="103">
        <v>-517636.26</v>
      </c>
    </row>
    <row r="14" spans="2:15" ht="15" customHeight="1">
      <c r="B14" s="96" t="s">
        <v>301</v>
      </c>
      <c r="C14" s="97">
        <v>-70</v>
      </c>
      <c r="D14" s="97">
        <v>-70</v>
      </c>
      <c r="E14" s="97">
        <v>-70</v>
      </c>
      <c r="F14" s="97">
        <v>-70</v>
      </c>
      <c r="G14" s="97">
        <v>-70</v>
      </c>
      <c r="H14" s="97">
        <v>-70</v>
      </c>
      <c r="I14" s="97">
        <v>-70</v>
      </c>
      <c r="J14" s="97">
        <v>-70</v>
      </c>
      <c r="K14" s="97">
        <v>-70</v>
      </c>
      <c r="L14" s="97">
        <v>-70</v>
      </c>
      <c r="M14" s="97">
        <v>-70</v>
      </c>
      <c r="N14" s="97">
        <v>-70</v>
      </c>
      <c r="O14" s="103">
        <v>-840</v>
      </c>
    </row>
    <row r="15" spans="2:15" ht="15" customHeight="1">
      <c r="B15" s="96" t="s">
        <v>302</v>
      </c>
      <c r="C15" s="97">
        <v>-334.75</v>
      </c>
      <c r="D15" s="97">
        <v>-334.75</v>
      </c>
      <c r="E15" s="97">
        <v>-334.75</v>
      </c>
      <c r="F15" s="97">
        <v>-334.75</v>
      </c>
      <c r="G15" s="97">
        <v>-334.75</v>
      </c>
      <c r="H15" s="97">
        <v>-156.5</v>
      </c>
      <c r="I15" s="97">
        <v>-156.5</v>
      </c>
      <c r="J15" s="97">
        <v>-156.5</v>
      </c>
      <c r="K15" s="97">
        <v>-156.5</v>
      </c>
      <c r="L15" s="97">
        <v>-156.5</v>
      </c>
      <c r="M15" s="97">
        <v>-156.5</v>
      </c>
      <c r="N15" s="97">
        <v>-156.5</v>
      </c>
      <c r="O15" s="103">
        <v>-2769.25</v>
      </c>
    </row>
    <row r="16" spans="2:15" ht="15" customHeight="1">
      <c r="B16" s="96" t="s">
        <v>507</v>
      </c>
      <c r="C16" s="97">
        <v>-100000</v>
      </c>
      <c r="D16" s="97"/>
      <c r="E16" s="97"/>
      <c r="F16" s="97">
        <v>-383638.43</v>
      </c>
      <c r="G16" s="97"/>
      <c r="H16" s="97"/>
      <c r="I16" s="97"/>
      <c r="J16" s="97"/>
      <c r="K16" s="97"/>
      <c r="L16" s="97"/>
      <c r="M16" s="97"/>
      <c r="N16" s="97"/>
      <c r="O16" s="103">
        <v>-483638.43</v>
      </c>
    </row>
    <row r="17" spans="2:15" ht="15" customHeight="1">
      <c r="B17" s="96" t="s">
        <v>508</v>
      </c>
      <c r="C17" s="97">
        <v>-179030.8899999999</v>
      </c>
      <c r="D17" s="97">
        <v>-47205.929999999993</v>
      </c>
      <c r="E17" s="97">
        <v>-15920.67</v>
      </c>
      <c r="F17" s="97">
        <v>-4768</v>
      </c>
      <c r="G17" s="97">
        <v>-4768</v>
      </c>
      <c r="H17" s="97"/>
      <c r="I17" s="97"/>
      <c r="J17" s="97"/>
      <c r="K17" s="97"/>
      <c r="L17" s="97"/>
      <c r="M17" s="97"/>
      <c r="N17" s="97"/>
      <c r="O17" s="103">
        <v>-251693.4899999999</v>
      </c>
    </row>
    <row r="18" spans="2:15" ht="15" customHeight="1">
      <c r="B18" s="96" t="s">
        <v>509</v>
      </c>
      <c r="C18" s="97">
        <v>-110898.43</v>
      </c>
      <c r="D18" s="97">
        <v>-95882.15</v>
      </c>
      <c r="E18" s="97">
        <v>-731538.86200000008</v>
      </c>
      <c r="F18" s="97">
        <v>-91092.05</v>
      </c>
      <c r="G18" s="97">
        <v>-83595.439999999988</v>
      </c>
      <c r="H18" s="97">
        <v>-97547.8</v>
      </c>
      <c r="I18" s="97">
        <v>-77110.039999999994</v>
      </c>
      <c r="J18" s="97">
        <v>-184529.18000000002</v>
      </c>
      <c r="K18" s="97">
        <v>-128066.16999999998</v>
      </c>
      <c r="L18" s="97">
        <v>-152528.31</v>
      </c>
      <c r="M18" s="97">
        <v>-128154.04000000001</v>
      </c>
      <c r="N18" s="97">
        <v>-142702.46</v>
      </c>
      <c r="O18" s="103">
        <v>-2023644.932</v>
      </c>
    </row>
    <row r="19" spans="2:15" ht="15" customHeight="1">
      <c r="B19" s="96" t="s">
        <v>510</v>
      </c>
      <c r="C19" s="97">
        <v>-1878</v>
      </c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103">
        <v>-1878</v>
      </c>
    </row>
    <row r="20" spans="2:15" ht="21" customHeight="1">
      <c r="B20" s="98" t="s">
        <v>5</v>
      </c>
      <c r="C20" s="99">
        <v>1072373.8499999999</v>
      </c>
      <c r="D20" s="99">
        <v>-141632.69999999998</v>
      </c>
      <c r="E20" s="99">
        <v>1027172.68</v>
      </c>
      <c r="F20" s="99">
        <v>-554050.01</v>
      </c>
      <c r="G20" s="99">
        <v>-309650.89720000001</v>
      </c>
      <c r="H20" s="99">
        <v>-131689.08000000002</v>
      </c>
      <c r="I20" s="99">
        <v>602562.88159999996</v>
      </c>
      <c r="J20" s="99">
        <v>-518670.46000000008</v>
      </c>
      <c r="K20" s="99">
        <v>-288174.12</v>
      </c>
      <c r="L20" s="99">
        <v>-227179.16999999998</v>
      </c>
      <c r="M20" s="99">
        <v>-167082.32</v>
      </c>
      <c r="N20" s="99">
        <v>-183127.09999999998</v>
      </c>
      <c r="O20" s="165">
        <v>180853.55440000072</v>
      </c>
    </row>
    <row r="23" spans="2:15" ht="36" customHeight="1">
      <c r="C23" s="533" t="s">
        <v>6</v>
      </c>
      <c r="D23" s="533"/>
      <c r="E23" s="533"/>
      <c r="F23" s="533"/>
      <c r="G23" s="533"/>
      <c r="H23" s="533"/>
      <c r="I23" s="533"/>
      <c r="J23" s="533"/>
      <c r="K23" s="533"/>
      <c r="L23" s="533"/>
      <c r="M23" s="533"/>
      <c r="N23" s="533"/>
      <c r="O23" s="533"/>
    </row>
    <row r="27" spans="2:15" ht="21.75" customHeight="1">
      <c r="B27" s="404" t="s">
        <v>4</v>
      </c>
      <c r="C27" s="100" t="s">
        <v>165</v>
      </c>
      <c r="D27" s="101" t="s">
        <v>166</v>
      </c>
      <c r="E27" s="101" t="s">
        <v>167</v>
      </c>
      <c r="F27" s="101" t="s">
        <v>168</v>
      </c>
      <c r="G27" s="101" t="s">
        <v>169</v>
      </c>
      <c r="H27" s="101" t="s">
        <v>170</v>
      </c>
      <c r="I27" s="101" t="s">
        <v>171</v>
      </c>
      <c r="J27" s="101" t="s">
        <v>172</v>
      </c>
      <c r="K27" s="101" t="s">
        <v>173</v>
      </c>
      <c r="L27" s="101" t="s">
        <v>174</v>
      </c>
      <c r="M27" s="101" t="s">
        <v>175</v>
      </c>
      <c r="N27" s="101" t="s">
        <v>176</v>
      </c>
      <c r="O27" s="102" t="s">
        <v>5</v>
      </c>
    </row>
    <row r="28" spans="2:15" ht="15" customHeight="1">
      <c r="B28" s="405" t="s">
        <v>12</v>
      </c>
      <c r="C28" s="406"/>
      <c r="D28" s="406"/>
      <c r="E28" s="406">
        <v>557991.07200000004</v>
      </c>
      <c r="F28" s="406"/>
      <c r="G28" s="406"/>
      <c r="H28" s="406"/>
      <c r="I28" s="406"/>
      <c r="J28" s="406"/>
      <c r="K28" s="406"/>
      <c r="L28" s="406"/>
      <c r="M28" s="406"/>
      <c r="N28" s="406"/>
      <c r="O28" s="406">
        <v>557991.07200000004</v>
      </c>
    </row>
    <row r="29" spans="2:15" ht="15" customHeight="1">
      <c r="B29" s="413" t="s">
        <v>228</v>
      </c>
      <c r="C29" s="414"/>
      <c r="D29" s="414"/>
      <c r="E29" s="414">
        <v>557991.07200000004</v>
      </c>
      <c r="F29" s="414"/>
      <c r="G29" s="414"/>
      <c r="H29" s="414"/>
      <c r="I29" s="414"/>
      <c r="J29" s="414"/>
      <c r="K29" s="414"/>
      <c r="L29" s="414"/>
      <c r="M29" s="414"/>
      <c r="N29" s="414"/>
      <c r="O29" s="414">
        <v>557991.07200000004</v>
      </c>
    </row>
    <row r="30" spans="2:15" ht="15" customHeight="1">
      <c r="B30" s="403" t="s">
        <v>114</v>
      </c>
      <c r="C30" s="35"/>
      <c r="D30" s="35"/>
      <c r="E30" s="35">
        <v>557991.07200000004</v>
      </c>
      <c r="F30" s="35"/>
      <c r="G30" s="35"/>
      <c r="H30" s="35"/>
      <c r="I30" s="35"/>
      <c r="J30" s="35"/>
      <c r="K30" s="35"/>
      <c r="L30" s="35"/>
      <c r="M30" s="35"/>
      <c r="N30" s="35"/>
      <c r="O30" s="35">
        <v>557991.07200000004</v>
      </c>
    </row>
    <row r="31" spans="2:15" ht="15" customHeight="1">
      <c r="B31" s="407" t="s">
        <v>14</v>
      </c>
      <c r="C31" s="408">
        <v>62771.64</v>
      </c>
      <c r="D31" s="408">
        <v>33169.699999999997</v>
      </c>
      <c r="E31" s="408">
        <v>74147.199999999997</v>
      </c>
      <c r="F31" s="408">
        <v>39418.959999999999</v>
      </c>
      <c r="G31" s="408">
        <v>36267.339999999997</v>
      </c>
      <c r="H31" s="408">
        <v>39719.699999999997</v>
      </c>
      <c r="I31" s="408">
        <v>35781.94</v>
      </c>
      <c r="J31" s="408">
        <v>70290.84</v>
      </c>
      <c r="K31" s="408">
        <v>42355.329999999994</v>
      </c>
      <c r="L31" s="408">
        <v>48717.47</v>
      </c>
      <c r="M31" s="408">
        <v>33185.699999999997</v>
      </c>
      <c r="N31" s="408">
        <v>43019.7</v>
      </c>
      <c r="O31" s="408">
        <v>558845.52000000014</v>
      </c>
    </row>
    <row r="32" spans="2:15" ht="15" customHeight="1">
      <c r="B32" s="415" t="s">
        <v>223</v>
      </c>
      <c r="C32" s="416">
        <v>39559.35</v>
      </c>
      <c r="D32" s="416">
        <v>15616.54</v>
      </c>
      <c r="E32" s="416">
        <v>15616.54</v>
      </c>
      <c r="F32" s="416">
        <v>15616.54</v>
      </c>
      <c r="G32" s="416">
        <v>15616.54</v>
      </c>
      <c r="H32" s="416">
        <v>15616.54</v>
      </c>
      <c r="I32" s="416">
        <v>15616.54</v>
      </c>
      <c r="J32" s="416">
        <v>15616.54</v>
      </c>
      <c r="K32" s="416">
        <v>15616.54</v>
      </c>
      <c r="L32" s="416">
        <v>15616.54</v>
      </c>
      <c r="M32" s="416">
        <v>15616.54</v>
      </c>
      <c r="N32" s="416">
        <v>15616.54</v>
      </c>
      <c r="O32" s="416">
        <v>211341.29000000004</v>
      </c>
    </row>
    <row r="33" spans="2:15" ht="15" customHeight="1">
      <c r="B33" s="34" t="s">
        <v>26</v>
      </c>
      <c r="C33" s="35">
        <v>2000</v>
      </c>
      <c r="D33" s="35">
        <v>2000</v>
      </c>
      <c r="E33" s="35">
        <v>2000</v>
      </c>
      <c r="F33" s="35">
        <v>2000</v>
      </c>
      <c r="G33" s="35">
        <v>2000</v>
      </c>
      <c r="H33" s="35">
        <v>2000</v>
      </c>
      <c r="I33" s="35">
        <v>2000</v>
      </c>
      <c r="J33" s="35">
        <v>2000</v>
      </c>
      <c r="K33" s="35">
        <v>2000</v>
      </c>
      <c r="L33" s="35">
        <v>2000</v>
      </c>
      <c r="M33" s="35">
        <v>2000</v>
      </c>
      <c r="N33" s="35">
        <v>2000</v>
      </c>
      <c r="O33" s="35">
        <v>24000</v>
      </c>
    </row>
    <row r="34" spans="2:15" ht="18.75" customHeight="1">
      <c r="B34" s="34" t="s">
        <v>45</v>
      </c>
      <c r="C34" s="35">
        <v>13616.54</v>
      </c>
      <c r="D34" s="35">
        <v>13616.54</v>
      </c>
      <c r="E34" s="35">
        <v>13616.54</v>
      </c>
      <c r="F34" s="35">
        <v>13616.54</v>
      </c>
      <c r="G34" s="35">
        <v>13616.54</v>
      </c>
      <c r="H34" s="35">
        <v>13616.54</v>
      </c>
      <c r="I34" s="35">
        <v>13616.54</v>
      </c>
      <c r="J34" s="35">
        <v>13616.54</v>
      </c>
      <c r="K34" s="35">
        <v>13616.54</v>
      </c>
      <c r="L34" s="35">
        <v>13616.54</v>
      </c>
      <c r="M34" s="35">
        <v>13616.54</v>
      </c>
      <c r="N34" s="35">
        <v>13616.54</v>
      </c>
      <c r="O34" s="35">
        <v>163398.48000000007</v>
      </c>
    </row>
    <row r="35" spans="2:15" ht="13.5">
      <c r="B35" s="34" t="s">
        <v>91</v>
      </c>
      <c r="C35" s="35">
        <v>1507.96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>
        <v>1507.96</v>
      </c>
    </row>
    <row r="36" spans="2:15" ht="13.5">
      <c r="B36" s="34" t="s">
        <v>92</v>
      </c>
      <c r="C36" s="35">
        <v>5102.87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>
        <v>5102.87</v>
      </c>
    </row>
    <row r="37" spans="2:15" ht="13.5">
      <c r="B37" s="34" t="s">
        <v>97</v>
      </c>
      <c r="C37" s="35">
        <v>2280.61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>
        <v>2280.61</v>
      </c>
    </row>
    <row r="38" spans="2:15" ht="13.5">
      <c r="B38" s="34" t="s">
        <v>98</v>
      </c>
      <c r="C38" s="35">
        <v>2287.21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>
        <v>2287.21</v>
      </c>
    </row>
    <row r="39" spans="2:15" ht="13.5">
      <c r="B39" s="34" t="s">
        <v>183</v>
      </c>
      <c r="C39" s="35">
        <v>10476.950000000001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>
        <v>10476.950000000001</v>
      </c>
    </row>
    <row r="40" spans="2:15" ht="13.5">
      <c r="B40" s="34" t="s">
        <v>864</v>
      </c>
      <c r="C40" s="35">
        <v>2287.21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>
        <v>2287.21</v>
      </c>
    </row>
    <row r="41" spans="2:15" ht="13.5">
      <c r="B41" s="415" t="s">
        <v>225</v>
      </c>
      <c r="C41" s="416">
        <v>4565.99</v>
      </c>
      <c r="D41" s="416">
        <v>4118.25</v>
      </c>
      <c r="E41" s="416">
        <v>48845.75</v>
      </c>
      <c r="F41" s="416">
        <v>4118.25</v>
      </c>
      <c r="G41" s="416">
        <v>4118.25</v>
      </c>
      <c r="H41" s="416">
        <v>14218.25</v>
      </c>
      <c r="I41" s="416">
        <v>4118.25</v>
      </c>
      <c r="J41" s="416">
        <v>40745.75</v>
      </c>
      <c r="K41" s="416">
        <v>12218.25</v>
      </c>
      <c r="L41" s="416">
        <v>21118.25</v>
      </c>
      <c r="M41" s="416">
        <v>4118.25</v>
      </c>
      <c r="N41" s="416">
        <v>14218.25</v>
      </c>
      <c r="O41" s="416">
        <v>176521.74</v>
      </c>
    </row>
    <row r="42" spans="2:15" ht="13.5">
      <c r="B42" s="34" t="s">
        <v>20</v>
      </c>
      <c r="C42" s="35">
        <v>3105</v>
      </c>
      <c r="D42" s="35">
        <v>3105</v>
      </c>
      <c r="E42" s="35">
        <v>3105</v>
      </c>
      <c r="F42" s="35">
        <v>3105</v>
      </c>
      <c r="G42" s="35">
        <v>3105</v>
      </c>
      <c r="H42" s="35">
        <v>3105</v>
      </c>
      <c r="I42" s="35">
        <v>3105</v>
      </c>
      <c r="J42" s="35">
        <v>3105</v>
      </c>
      <c r="K42" s="35">
        <v>3105</v>
      </c>
      <c r="L42" s="35">
        <v>3105</v>
      </c>
      <c r="M42" s="35">
        <v>3105</v>
      </c>
      <c r="N42" s="35">
        <v>3105</v>
      </c>
      <c r="O42" s="35">
        <v>37260</v>
      </c>
    </row>
    <row r="43" spans="2:15" ht="13.5">
      <c r="B43" s="34" t="s">
        <v>27</v>
      </c>
      <c r="C43" s="35">
        <v>300</v>
      </c>
      <c r="D43" s="35">
        <v>300</v>
      </c>
      <c r="E43" s="35">
        <v>300</v>
      </c>
      <c r="F43" s="35">
        <v>300</v>
      </c>
      <c r="G43" s="35">
        <v>300</v>
      </c>
      <c r="H43" s="35">
        <v>300</v>
      </c>
      <c r="I43" s="35">
        <v>300</v>
      </c>
      <c r="J43" s="35">
        <v>300</v>
      </c>
      <c r="K43" s="35">
        <v>300</v>
      </c>
      <c r="L43" s="35">
        <v>300</v>
      </c>
      <c r="M43" s="35">
        <v>300</v>
      </c>
      <c r="N43" s="35">
        <v>300</v>
      </c>
      <c r="O43" s="35">
        <v>3600</v>
      </c>
    </row>
    <row r="44" spans="2:15" ht="13.5">
      <c r="B44" s="34" t="s">
        <v>33</v>
      </c>
      <c r="C44" s="35">
        <v>713.25</v>
      </c>
      <c r="D44" s="35">
        <v>713.25</v>
      </c>
      <c r="E44" s="35">
        <v>713.25</v>
      </c>
      <c r="F44" s="35">
        <v>713.25</v>
      </c>
      <c r="G44" s="35">
        <v>713.25</v>
      </c>
      <c r="H44" s="35">
        <v>713.25</v>
      </c>
      <c r="I44" s="35">
        <v>713.25</v>
      </c>
      <c r="J44" s="35">
        <v>713.25</v>
      </c>
      <c r="K44" s="35">
        <v>713.25</v>
      </c>
      <c r="L44" s="35">
        <v>713.25</v>
      </c>
      <c r="M44" s="35">
        <v>713.25</v>
      </c>
      <c r="N44" s="35">
        <v>713.25</v>
      </c>
      <c r="O44" s="35">
        <v>8559</v>
      </c>
    </row>
    <row r="45" spans="2:15" ht="13.5">
      <c r="B45" s="34" t="s">
        <v>60</v>
      </c>
      <c r="C45" s="35"/>
      <c r="D45" s="35"/>
      <c r="E45" s="35">
        <v>500</v>
      </c>
      <c r="F45" s="35"/>
      <c r="G45" s="35"/>
      <c r="H45" s="35">
        <v>2500</v>
      </c>
      <c r="I45" s="35"/>
      <c r="J45" s="35"/>
      <c r="K45" s="35">
        <v>500</v>
      </c>
      <c r="L45" s="35"/>
      <c r="M45" s="35"/>
      <c r="N45" s="35">
        <v>2500</v>
      </c>
      <c r="O45" s="35">
        <v>6000</v>
      </c>
    </row>
    <row r="46" spans="2:15" ht="13.5">
      <c r="B46" s="34" t="s">
        <v>64</v>
      </c>
      <c r="C46" s="35">
        <v>447.74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>
        <v>447.74</v>
      </c>
    </row>
    <row r="47" spans="2:15" ht="13.5">
      <c r="B47" s="34" t="s">
        <v>62</v>
      </c>
      <c r="C47" s="35"/>
      <c r="D47" s="35"/>
      <c r="E47" s="35">
        <v>36627.5</v>
      </c>
      <c r="F47" s="35"/>
      <c r="G47" s="35"/>
      <c r="H47" s="35"/>
      <c r="I47" s="35"/>
      <c r="J47" s="35">
        <v>36627.5</v>
      </c>
      <c r="K47" s="35"/>
      <c r="L47" s="35"/>
      <c r="M47" s="35"/>
      <c r="N47" s="35"/>
      <c r="O47" s="35">
        <v>73255</v>
      </c>
    </row>
    <row r="48" spans="2:15" ht="13.5">
      <c r="B48" s="34" t="s">
        <v>63</v>
      </c>
      <c r="C48" s="35"/>
      <c r="D48" s="35"/>
      <c r="E48" s="35">
        <v>7600</v>
      </c>
      <c r="F48" s="35"/>
      <c r="G48" s="35"/>
      <c r="H48" s="35">
        <v>7600</v>
      </c>
      <c r="I48" s="35"/>
      <c r="J48" s="35"/>
      <c r="K48" s="35">
        <v>7600</v>
      </c>
      <c r="L48" s="35"/>
      <c r="M48" s="35"/>
      <c r="N48" s="35">
        <v>7600</v>
      </c>
      <c r="O48" s="35">
        <v>30400</v>
      </c>
    </row>
    <row r="49" spans="2:15" ht="13.5">
      <c r="B49" s="34" t="s">
        <v>61</v>
      </c>
      <c r="C49" s="35"/>
      <c r="D49" s="35"/>
      <c r="E49" s="35"/>
      <c r="F49" s="35"/>
      <c r="G49" s="35"/>
      <c r="H49" s="35"/>
      <c r="I49" s="35"/>
      <c r="J49" s="35"/>
      <c r="K49" s="35"/>
      <c r="L49" s="35">
        <v>17000</v>
      </c>
      <c r="M49" s="35"/>
      <c r="N49" s="35"/>
      <c r="O49" s="35">
        <v>17000</v>
      </c>
    </row>
    <row r="50" spans="2:15" ht="13.5">
      <c r="B50" s="415" t="s">
        <v>226</v>
      </c>
      <c r="C50" s="416">
        <v>7624.21</v>
      </c>
      <c r="D50" s="416">
        <v>692.66</v>
      </c>
      <c r="E50" s="416">
        <v>692.66</v>
      </c>
      <c r="F50" s="416">
        <v>10691.92</v>
      </c>
      <c r="G50" s="416">
        <v>7540.3</v>
      </c>
      <c r="H50" s="416">
        <v>892.66</v>
      </c>
      <c r="I50" s="416">
        <v>692.66</v>
      </c>
      <c r="J50" s="416">
        <v>931.02</v>
      </c>
      <c r="K50" s="416">
        <v>992.66</v>
      </c>
      <c r="L50" s="416">
        <v>692.66</v>
      </c>
      <c r="M50" s="416">
        <v>1198.6599999999999</v>
      </c>
      <c r="N50" s="416">
        <v>692.66</v>
      </c>
      <c r="O50" s="416">
        <v>33334.730000000003</v>
      </c>
    </row>
    <row r="51" spans="2:15" ht="13.5">
      <c r="B51" s="34" t="s">
        <v>29</v>
      </c>
      <c r="C51" s="35">
        <v>150</v>
      </c>
      <c r="D51" s="35">
        <v>150</v>
      </c>
      <c r="E51" s="35">
        <v>150</v>
      </c>
      <c r="F51" s="35">
        <v>150</v>
      </c>
      <c r="G51" s="35">
        <v>150</v>
      </c>
      <c r="H51" s="35">
        <v>150</v>
      </c>
      <c r="I51" s="35">
        <v>150</v>
      </c>
      <c r="J51" s="35">
        <v>150</v>
      </c>
      <c r="K51" s="35">
        <v>150</v>
      </c>
      <c r="L51" s="35">
        <v>150</v>
      </c>
      <c r="M51" s="35">
        <v>150</v>
      </c>
      <c r="N51" s="35">
        <v>150</v>
      </c>
      <c r="O51" s="35">
        <v>1800</v>
      </c>
    </row>
    <row r="52" spans="2:15" ht="13.5">
      <c r="B52" s="34" t="s">
        <v>32</v>
      </c>
      <c r="C52" s="35">
        <v>542.66</v>
      </c>
      <c r="D52" s="35">
        <v>542.66</v>
      </c>
      <c r="E52" s="35">
        <v>542.66</v>
      </c>
      <c r="F52" s="35">
        <v>542.66</v>
      </c>
      <c r="G52" s="35">
        <v>542.66</v>
      </c>
      <c r="H52" s="35">
        <v>542.66</v>
      </c>
      <c r="I52" s="35">
        <v>542.66</v>
      </c>
      <c r="J52" s="35">
        <v>542.66</v>
      </c>
      <c r="K52" s="35">
        <v>542.66</v>
      </c>
      <c r="L52" s="35">
        <v>542.66</v>
      </c>
      <c r="M52" s="35">
        <v>542.66</v>
      </c>
      <c r="N52" s="35">
        <v>542.66</v>
      </c>
      <c r="O52" s="35">
        <v>6511.9199999999992</v>
      </c>
    </row>
    <row r="53" spans="2:15" ht="13.5">
      <c r="B53" s="34" t="s">
        <v>71</v>
      </c>
      <c r="C53" s="35">
        <v>3200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>
        <v>3200</v>
      </c>
    </row>
    <row r="54" spans="2:15" ht="13.5">
      <c r="B54" s="34" t="s">
        <v>117</v>
      </c>
      <c r="C54" s="35"/>
      <c r="D54" s="35"/>
      <c r="E54" s="35"/>
      <c r="F54" s="35">
        <v>7969.26</v>
      </c>
      <c r="G54" s="35"/>
      <c r="H54" s="35"/>
      <c r="I54" s="35"/>
      <c r="J54" s="35"/>
      <c r="K54" s="35"/>
      <c r="L54" s="35"/>
      <c r="M54" s="35"/>
      <c r="N54" s="35"/>
      <c r="O54" s="35">
        <v>7969.26</v>
      </c>
    </row>
    <row r="55" spans="2:15" ht="13.5">
      <c r="B55" s="34" t="s">
        <v>124</v>
      </c>
      <c r="C55" s="35"/>
      <c r="D55" s="35"/>
      <c r="E55" s="35"/>
      <c r="F55" s="35">
        <v>2030</v>
      </c>
      <c r="G55" s="35"/>
      <c r="H55" s="35"/>
      <c r="I55" s="35"/>
      <c r="J55" s="35"/>
      <c r="K55" s="35"/>
      <c r="L55" s="35"/>
      <c r="M55" s="35"/>
      <c r="N55" s="35"/>
      <c r="O55" s="35">
        <v>2030</v>
      </c>
    </row>
    <row r="56" spans="2:15" ht="13.5">
      <c r="B56" s="34" t="s">
        <v>179</v>
      </c>
      <c r="C56" s="35">
        <v>3731.55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>
        <v>3731.55</v>
      </c>
    </row>
    <row r="57" spans="2:15" ht="13.5">
      <c r="B57" s="34" t="s">
        <v>529</v>
      </c>
      <c r="C57" s="35"/>
      <c r="D57" s="35"/>
      <c r="E57" s="35"/>
      <c r="F57" s="35"/>
      <c r="G57" s="35"/>
      <c r="H57" s="35">
        <v>200</v>
      </c>
      <c r="I57" s="35"/>
      <c r="J57" s="35"/>
      <c r="K57" s="35"/>
      <c r="L57" s="35"/>
      <c r="M57" s="35"/>
      <c r="N57" s="35"/>
      <c r="O57" s="35">
        <v>200</v>
      </c>
    </row>
    <row r="58" spans="2:15" ht="13.5">
      <c r="B58" s="34" t="s">
        <v>670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>
        <v>506</v>
      </c>
      <c r="N58" s="35"/>
      <c r="O58" s="35">
        <v>506</v>
      </c>
    </row>
    <row r="59" spans="2:15" ht="13.5">
      <c r="B59" s="34" t="s">
        <v>829</v>
      </c>
      <c r="C59" s="35"/>
      <c r="D59" s="35"/>
      <c r="E59" s="35"/>
      <c r="F59" s="35"/>
      <c r="G59" s="35">
        <v>6847.64</v>
      </c>
      <c r="H59" s="35"/>
      <c r="I59" s="35"/>
      <c r="J59" s="35"/>
      <c r="K59" s="35"/>
      <c r="L59" s="35"/>
      <c r="M59" s="35"/>
      <c r="N59" s="35"/>
      <c r="O59" s="35">
        <v>6847.64</v>
      </c>
    </row>
    <row r="60" spans="2:15" ht="13.5">
      <c r="B60" s="34" t="s">
        <v>832</v>
      </c>
      <c r="C60" s="35"/>
      <c r="D60" s="35"/>
      <c r="E60" s="35"/>
      <c r="F60" s="35"/>
      <c r="G60" s="35"/>
      <c r="H60" s="35"/>
      <c r="I60" s="35"/>
      <c r="J60" s="35">
        <v>238.36</v>
      </c>
      <c r="K60" s="35"/>
      <c r="L60" s="35"/>
      <c r="M60" s="35"/>
      <c r="N60" s="35"/>
      <c r="O60" s="35">
        <v>238.36</v>
      </c>
    </row>
    <row r="61" spans="2:15" ht="13.5">
      <c r="B61" s="34" t="s">
        <v>836</v>
      </c>
      <c r="C61" s="35"/>
      <c r="D61" s="35"/>
      <c r="E61" s="35"/>
      <c r="F61" s="35"/>
      <c r="G61" s="35"/>
      <c r="H61" s="35"/>
      <c r="I61" s="35"/>
      <c r="J61" s="35"/>
      <c r="K61" s="35">
        <v>300</v>
      </c>
      <c r="L61" s="35"/>
      <c r="M61" s="35"/>
      <c r="N61" s="35"/>
      <c r="O61" s="35">
        <v>300</v>
      </c>
    </row>
    <row r="62" spans="2:15" ht="13.5">
      <c r="B62" s="415" t="s">
        <v>227</v>
      </c>
      <c r="C62" s="416">
        <v>11022.09</v>
      </c>
      <c r="D62" s="416">
        <v>12742.25</v>
      </c>
      <c r="E62" s="416">
        <v>8992.25</v>
      </c>
      <c r="F62" s="416">
        <v>8992.25</v>
      </c>
      <c r="G62" s="416">
        <v>8992.25</v>
      </c>
      <c r="H62" s="416">
        <v>8992.25</v>
      </c>
      <c r="I62" s="416">
        <v>15354.490000000002</v>
      </c>
      <c r="J62" s="416">
        <v>12997.53</v>
      </c>
      <c r="K62" s="416">
        <v>13527.880000000001</v>
      </c>
      <c r="L62" s="416">
        <v>11290.02</v>
      </c>
      <c r="M62" s="416">
        <v>12252.25</v>
      </c>
      <c r="N62" s="416">
        <v>12492.25</v>
      </c>
      <c r="O62" s="416">
        <v>137647.76</v>
      </c>
    </row>
    <row r="63" spans="2:15" ht="13.5">
      <c r="B63" s="34" t="s">
        <v>48</v>
      </c>
      <c r="C63" s="35">
        <v>860.91</v>
      </c>
      <c r="D63" s="35">
        <v>860.91</v>
      </c>
      <c r="E63" s="35">
        <v>860.91</v>
      </c>
      <c r="F63" s="35">
        <v>860.91</v>
      </c>
      <c r="G63" s="35">
        <v>860.91</v>
      </c>
      <c r="H63" s="35">
        <v>860.91</v>
      </c>
      <c r="I63" s="35">
        <v>860.91</v>
      </c>
      <c r="J63" s="35">
        <v>860.91</v>
      </c>
      <c r="K63" s="35">
        <v>860.91</v>
      </c>
      <c r="L63" s="35">
        <v>860.91</v>
      </c>
      <c r="M63" s="35">
        <v>860.91</v>
      </c>
      <c r="N63" s="35">
        <v>860.91</v>
      </c>
      <c r="O63" s="35">
        <v>10330.92</v>
      </c>
    </row>
    <row r="64" spans="2:15" ht="13.5">
      <c r="B64" s="34" t="s">
        <v>49</v>
      </c>
      <c r="C64" s="35"/>
      <c r="D64" s="35">
        <v>410</v>
      </c>
      <c r="E64" s="35">
        <v>410</v>
      </c>
      <c r="F64" s="35">
        <v>410</v>
      </c>
      <c r="G64" s="35">
        <v>410</v>
      </c>
      <c r="H64" s="35">
        <v>410</v>
      </c>
      <c r="I64" s="35">
        <v>410</v>
      </c>
      <c r="J64" s="35">
        <v>410</v>
      </c>
      <c r="K64" s="35">
        <v>410</v>
      </c>
      <c r="L64" s="35">
        <v>410</v>
      </c>
      <c r="M64" s="35">
        <v>410</v>
      </c>
      <c r="N64" s="35">
        <v>410</v>
      </c>
      <c r="O64" s="35">
        <v>4510</v>
      </c>
    </row>
    <row r="65" spans="2:15" ht="13.5">
      <c r="B65" s="34" t="s">
        <v>50</v>
      </c>
      <c r="C65" s="35">
        <v>466.34</v>
      </c>
      <c r="D65" s="35">
        <v>466.34</v>
      </c>
      <c r="E65" s="35">
        <v>466.34</v>
      </c>
      <c r="F65" s="35">
        <v>466.34</v>
      </c>
      <c r="G65" s="35">
        <v>466.34</v>
      </c>
      <c r="H65" s="35">
        <v>466.34</v>
      </c>
      <c r="I65" s="35">
        <v>466.34</v>
      </c>
      <c r="J65" s="35">
        <v>466.34</v>
      </c>
      <c r="K65" s="35">
        <v>466.34</v>
      </c>
      <c r="L65" s="35">
        <v>466.34</v>
      </c>
      <c r="M65" s="35">
        <v>466.34</v>
      </c>
      <c r="N65" s="35">
        <v>466.34</v>
      </c>
      <c r="O65" s="35">
        <v>5596.0800000000008</v>
      </c>
    </row>
    <row r="66" spans="2:15" ht="13.5">
      <c r="B66" s="34" t="s">
        <v>182</v>
      </c>
      <c r="C66" s="35">
        <v>1753.35</v>
      </c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>
        <v>1753.35</v>
      </c>
    </row>
    <row r="67" spans="2:15" ht="13.5">
      <c r="B67" s="34" t="s">
        <v>828</v>
      </c>
      <c r="C67" s="35"/>
      <c r="D67" s="35">
        <v>3750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>
        <v>3750</v>
      </c>
    </row>
    <row r="68" spans="2:15" ht="13.5">
      <c r="B68" s="34" t="s">
        <v>532</v>
      </c>
      <c r="C68" s="35">
        <v>2297.77</v>
      </c>
      <c r="D68" s="35">
        <v>2300</v>
      </c>
      <c r="E68" s="35">
        <v>2300</v>
      </c>
      <c r="F68" s="35">
        <v>2300</v>
      </c>
      <c r="G68" s="35">
        <v>2300</v>
      </c>
      <c r="H68" s="35">
        <v>2300</v>
      </c>
      <c r="I68" s="35">
        <v>2300</v>
      </c>
      <c r="J68" s="35">
        <v>2300</v>
      </c>
      <c r="K68" s="35">
        <v>2300</v>
      </c>
      <c r="L68" s="35">
        <v>2300</v>
      </c>
      <c r="M68" s="35">
        <v>2300</v>
      </c>
      <c r="N68" s="35">
        <v>2300</v>
      </c>
      <c r="O68" s="35">
        <v>27597.77</v>
      </c>
    </row>
    <row r="69" spans="2:15" ht="13.5">
      <c r="B69" s="34" t="s">
        <v>533</v>
      </c>
      <c r="C69" s="35">
        <v>1469.15</v>
      </c>
      <c r="D69" s="35">
        <v>1405</v>
      </c>
      <c r="E69" s="35">
        <v>1405</v>
      </c>
      <c r="F69" s="35">
        <v>1405</v>
      </c>
      <c r="G69" s="35">
        <v>1405</v>
      </c>
      <c r="H69" s="35">
        <v>1405</v>
      </c>
      <c r="I69" s="35">
        <v>1405</v>
      </c>
      <c r="J69" s="35">
        <v>1405</v>
      </c>
      <c r="K69" s="35">
        <v>1405</v>
      </c>
      <c r="L69" s="35">
        <v>1405</v>
      </c>
      <c r="M69" s="35">
        <v>1405</v>
      </c>
      <c r="N69" s="35">
        <v>1405</v>
      </c>
      <c r="O69" s="35">
        <v>16924.150000000001</v>
      </c>
    </row>
    <row r="70" spans="2:15" ht="13.5">
      <c r="B70" s="34" t="s">
        <v>630</v>
      </c>
      <c r="C70" s="35">
        <v>450</v>
      </c>
      <c r="D70" s="35">
        <v>450</v>
      </c>
      <c r="E70" s="35">
        <v>450</v>
      </c>
      <c r="F70" s="35">
        <v>450</v>
      </c>
      <c r="G70" s="35">
        <v>450</v>
      </c>
      <c r="H70" s="35">
        <v>450</v>
      </c>
      <c r="I70" s="35">
        <v>450</v>
      </c>
      <c r="J70" s="35">
        <v>450</v>
      </c>
      <c r="K70" s="35">
        <v>450</v>
      </c>
      <c r="L70" s="35">
        <v>450</v>
      </c>
      <c r="M70" s="35">
        <v>450</v>
      </c>
      <c r="N70" s="35">
        <v>450</v>
      </c>
      <c r="O70" s="35">
        <v>5400</v>
      </c>
    </row>
    <row r="71" spans="2:15" ht="13.5">
      <c r="B71" s="34" t="s">
        <v>631</v>
      </c>
      <c r="C71" s="35">
        <v>350</v>
      </c>
      <c r="D71" s="35">
        <v>350</v>
      </c>
      <c r="E71" s="35">
        <v>350</v>
      </c>
      <c r="F71" s="35">
        <v>350</v>
      </c>
      <c r="G71" s="35">
        <v>350</v>
      </c>
      <c r="H71" s="35">
        <v>350</v>
      </c>
      <c r="I71" s="35">
        <v>350</v>
      </c>
      <c r="J71" s="35">
        <v>350</v>
      </c>
      <c r="K71" s="35">
        <v>350</v>
      </c>
      <c r="L71" s="35">
        <v>350</v>
      </c>
      <c r="M71" s="35">
        <v>350</v>
      </c>
      <c r="N71" s="35">
        <v>350</v>
      </c>
      <c r="O71" s="35">
        <v>4200</v>
      </c>
    </row>
    <row r="72" spans="2:15" ht="13.5">
      <c r="B72" s="34" t="s">
        <v>632</v>
      </c>
      <c r="C72" s="35">
        <v>450</v>
      </c>
      <c r="D72" s="35">
        <v>450</v>
      </c>
      <c r="E72" s="35">
        <v>450</v>
      </c>
      <c r="F72" s="35">
        <v>450</v>
      </c>
      <c r="G72" s="35">
        <v>450</v>
      </c>
      <c r="H72" s="35">
        <v>450</v>
      </c>
      <c r="I72" s="35">
        <v>450</v>
      </c>
      <c r="J72" s="35">
        <v>450</v>
      </c>
      <c r="K72" s="35">
        <v>450</v>
      </c>
      <c r="L72" s="35">
        <v>450</v>
      </c>
      <c r="M72" s="35">
        <v>450</v>
      </c>
      <c r="N72" s="35">
        <v>450</v>
      </c>
      <c r="O72" s="35">
        <v>5400</v>
      </c>
    </row>
    <row r="73" spans="2:15" ht="13.5">
      <c r="B73" s="34" t="s">
        <v>633</v>
      </c>
      <c r="C73" s="35">
        <v>2297.77</v>
      </c>
      <c r="D73" s="35">
        <v>2300</v>
      </c>
      <c r="E73" s="35">
        <v>2300</v>
      </c>
      <c r="F73" s="35">
        <v>2300</v>
      </c>
      <c r="G73" s="35">
        <v>2300</v>
      </c>
      <c r="H73" s="35">
        <v>2300</v>
      </c>
      <c r="I73" s="35">
        <v>2300</v>
      </c>
      <c r="J73" s="35">
        <v>2300</v>
      </c>
      <c r="K73" s="35">
        <v>2300</v>
      </c>
      <c r="L73" s="35">
        <v>2300</v>
      </c>
      <c r="M73" s="35">
        <v>2300</v>
      </c>
      <c r="N73" s="35">
        <v>2300</v>
      </c>
      <c r="O73" s="35">
        <v>27597.77</v>
      </c>
    </row>
    <row r="74" spans="2:15" ht="13.5">
      <c r="B74" s="34" t="s">
        <v>830</v>
      </c>
      <c r="C74" s="35"/>
      <c r="D74" s="35"/>
      <c r="E74" s="35"/>
      <c r="F74" s="35"/>
      <c r="G74" s="35"/>
      <c r="H74" s="35"/>
      <c r="I74" s="35">
        <v>3017.63</v>
      </c>
      <c r="J74" s="35"/>
      <c r="K74" s="35"/>
      <c r="L74" s="35"/>
      <c r="M74" s="35"/>
      <c r="N74" s="35"/>
      <c r="O74" s="35">
        <v>3017.63</v>
      </c>
    </row>
    <row r="75" spans="2:15" ht="13.5">
      <c r="B75" s="34" t="s">
        <v>831</v>
      </c>
      <c r="C75" s="35"/>
      <c r="D75" s="35"/>
      <c r="E75" s="35"/>
      <c r="F75" s="35"/>
      <c r="G75" s="35"/>
      <c r="H75" s="35"/>
      <c r="I75" s="35">
        <v>1864.61</v>
      </c>
      <c r="J75" s="35"/>
      <c r="K75" s="35"/>
      <c r="L75" s="35"/>
      <c r="M75" s="35"/>
      <c r="N75" s="35"/>
      <c r="O75" s="35">
        <v>1864.61</v>
      </c>
    </row>
    <row r="76" spans="2:15" ht="13.5">
      <c r="B76" s="34" t="s">
        <v>536</v>
      </c>
      <c r="C76" s="35"/>
      <c r="D76" s="35"/>
      <c r="E76" s="35"/>
      <c r="F76" s="35"/>
      <c r="G76" s="35"/>
      <c r="H76" s="35"/>
      <c r="I76" s="35">
        <v>1480</v>
      </c>
      <c r="J76" s="35"/>
      <c r="K76" s="35"/>
      <c r="L76" s="35"/>
      <c r="M76" s="35"/>
      <c r="N76" s="35"/>
      <c r="O76" s="35">
        <v>1480</v>
      </c>
    </row>
    <row r="77" spans="2:15" ht="13.5">
      <c r="B77" s="34" t="s">
        <v>833</v>
      </c>
      <c r="C77" s="35"/>
      <c r="D77" s="35"/>
      <c r="E77" s="35"/>
      <c r="F77" s="35"/>
      <c r="G77" s="35"/>
      <c r="H77" s="35"/>
      <c r="I77" s="35"/>
      <c r="J77" s="35">
        <v>2297.77</v>
      </c>
      <c r="K77" s="35"/>
      <c r="L77" s="35"/>
      <c r="M77" s="35"/>
      <c r="N77" s="35"/>
      <c r="O77" s="35">
        <v>2297.77</v>
      </c>
    </row>
    <row r="78" spans="2:15" ht="13.5">
      <c r="B78" s="34" t="s">
        <v>834</v>
      </c>
      <c r="C78" s="35"/>
      <c r="D78" s="35"/>
      <c r="E78" s="35"/>
      <c r="F78" s="35"/>
      <c r="G78" s="35"/>
      <c r="H78" s="35"/>
      <c r="I78" s="35"/>
      <c r="J78" s="35">
        <v>1469.15</v>
      </c>
      <c r="K78" s="35"/>
      <c r="L78" s="35"/>
      <c r="M78" s="35"/>
      <c r="N78" s="35"/>
      <c r="O78" s="35">
        <v>1469.15</v>
      </c>
    </row>
    <row r="79" spans="2:15" ht="13.5">
      <c r="B79" s="34" t="s">
        <v>835</v>
      </c>
      <c r="C79" s="35"/>
      <c r="D79" s="35"/>
      <c r="E79" s="35"/>
      <c r="F79" s="35"/>
      <c r="G79" s="35"/>
      <c r="H79" s="35"/>
      <c r="I79" s="35"/>
      <c r="J79" s="35">
        <v>238.36</v>
      </c>
      <c r="K79" s="35"/>
      <c r="L79" s="35"/>
      <c r="M79" s="35"/>
      <c r="N79" s="35"/>
      <c r="O79" s="35">
        <v>238.36</v>
      </c>
    </row>
    <row r="80" spans="2:15" ht="13.5">
      <c r="B80" s="34" t="s">
        <v>837</v>
      </c>
      <c r="C80" s="35"/>
      <c r="D80" s="35"/>
      <c r="E80" s="35"/>
      <c r="F80" s="35"/>
      <c r="G80" s="35"/>
      <c r="H80" s="35"/>
      <c r="I80" s="35"/>
      <c r="J80" s="35"/>
      <c r="K80" s="35">
        <v>1518</v>
      </c>
      <c r="L80" s="35"/>
      <c r="M80" s="35"/>
      <c r="N80" s="35"/>
      <c r="O80" s="35">
        <v>1518</v>
      </c>
    </row>
    <row r="81" spans="2:15" ht="13.5">
      <c r="B81" s="34" t="s">
        <v>838</v>
      </c>
      <c r="C81" s="35"/>
      <c r="D81" s="35"/>
      <c r="E81" s="35"/>
      <c r="F81" s="35"/>
      <c r="G81" s="35"/>
      <c r="H81" s="35"/>
      <c r="I81" s="35"/>
      <c r="J81" s="35"/>
      <c r="K81" s="35">
        <v>3017.63</v>
      </c>
      <c r="L81" s="35"/>
      <c r="M81" s="35"/>
      <c r="N81" s="35"/>
      <c r="O81" s="35">
        <v>3017.63</v>
      </c>
    </row>
    <row r="82" spans="2:15" ht="13.5">
      <c r="B82" s="34" t="s">
        <v>839</v>
      </c>
      <c r="C82" s="35"/>
      <c r="D82" s="35"/>
      <c r="E82" s="35"/>
      <c r="F82" s="35"/>
      <c r="G82" s="35"/>
      <c r="H82" s="35"/>
      <c r="I82" s="35"/>
      <c r="J82" s="35"/>
      <c r="K82" s="35"/>
      <c r="L82" s="35">
        <v>2297.77</v>
      </c>
      <c r="M82" s="35"/>
      <c r="N82" s="35"/>
      <c r="O82" s="35">
        <v>2297.77</v>
      </c>
    </row>
    <row r="83" spans="2:15" ht="13.5">
      <c r="B83" s="34" t="s">
        <v>840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>
        <v>1250</v>
      </c>
      <c r="N83" s="35"/>
      <c r="O83" s="35">
        <v>1250</v>
      </c>
    </row>
    <row r="84" spans="2:15" ht="13.5">
      <c r="B84" s="34" t="s">
        <v>841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>
        <v>760</v>
      </c>
      <c r="N84" s="35"/>
      <c r="O84" s="35">
        <v>760</v>
      </c>
    </row>
    <row r="85" spans="2:15" ht="13.5">
      <c r="B85" s="34" t="s">
        <v>842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>
        <v>1250</v>
      </c>
      <c r="N85" s="35"/>
      <c r="O85" s="35">
        <v>1250</v>
      </c>
    </row>
    <row r="86" spans="2:15" ht="13.5">
      <c r="B86" s="34" t="s">
        <v>845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>
        <v>1100</v>
      </c>
      <c r="O86" s="35">
        <v>1100</v>
      </c>
    </row>
    <row r="87" spans="2:15" ht="13.5">
      <c r="B87" s="34" t="s">
        <v>846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>
        <v>650</v>
      </c>
      <c r="O87" s="35">
        <v>650</v>
      </c>
    </row>
    <row r="88" spans="2:15" ht="13.5">
      <c r="B88" s="34" t="s">
        <v>847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>
        <v>1100</v>
      </c>
      <c r="O88" s="35">
        <v>1100</v>
      </c>
    </row>
    <row r="89" spans="2:15" ht="13.5">
      <c r="B89" s="34" t="s">
        <v>825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>
        <v>650</v>
      </c>
      <c r="O89" s="35">
        <v>650</v>
      </c>
    </row>
    <row r="90" spans="2:15" ht="13.5">
      <c r="B90" s="34" t="s">
        <v>866</v>
      </c>
      <c r="C90" s="35">
        <v>626.79999999999995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>
        <v>626.79999999999995</v>
      </c>
    </row>
    <row r="91" spans="2:15" ht="15">
      <c r="B91" s="409" t="s">
        <v>15</v>
      </c>
      <c r="C91" s="410">
        <v>23190.620000000003</v>
      </c>
      <c r="D91" s="410">
        <v>22392.12</v>
      </c>
      <c r="E91" s="410">
        <v>76580.259999999995</v>
      </c>
      <c r="F91" s="410">
        <v>18852.759999999998</v>
      </c>
      <c r="G91" s="410">
        <v>24507.77</v>
      </c>
      <c r="H91" s="410">
        <v>28607.77</v>
      </c>
      <c r="I91" s="410">
        <v>18507.77</v>
      </c>
      <c r="J91" s="410">
        <v>91135.26999999999</v>
      </c>
      <c r="K91" s="410">
        <v>62607.77</v>
      </c>
      <c r="L91" s="410">
        <v>71507.76999999999</v>
      </c>
      <c r="M91" s="410">
        <v>55665.27</v>
      </c>
      <c r="N91" s="410">
        <v>71579.69</v>
      </c>
      <c r="O91" s="410">
        <v>565134.84</v>
      </c>
    </row>
    <row r="92" spans="2:15" ht="13.5">
      <c r="B92" s="419" t="s">
        <v>223</v>
      </c>
      <c r="C92" s="420">
        <v>3453.93</v>
      </c>
      <c r="D92" s="420">
        <v>3854.99</v>
      </c>
      <c r="E92" s="420">
        <v>3854.99</v>
      </c>
      <c r="F92" s="420">
        <v>3854.99</v>
      </c>
      <c r="G92" s="420">
        <v>3510</v>
      </c>
      <c r="H92" s="420">
        <v>3510</v>
      </c>
      <c r="I92" s="420">
        <v>3510</v>
      </c>
      <c r="J92" s="420">
        <v>3510</v>
      </c>
      <c r="K92" s="420">
        <v>3510</v>
      </c>
      <c r="L92" s="420">
        <v>3510</v>
      </c>
      <c r="M92" s="420">
        <v>3510</v>
      </c>
      <c r="N92" s="420">
        <v>3510</v>
      </c>
      <c r="O92" s="420">
        <v>43098.9</v>
      </c>
    </row>
    <row r="93" spans="2:15" ht="13.5">
      <c r="B93" s="34" t="s">
        <v>85</v>
      </c>
      <c r="C93" s="35">
        <v>1100</v>
      </c>
      <c r="D93" s="35">
        <v>1100</v>
      </c>
      <c r="E93" s="35">
        <v>1100</v>
      </c>
      <c r="F93" s="35">
        <v>1100</v>
      </c>
      <c r="G93" s="35">
        <v>1100</v>
      </c>
      <c r="H93" s="35">
        <v>1100</v>
      </c>
      <c r="I93" s="35">
        <v>1100</v>
      </c>
      <c r="J93" s="35">
        <v>1100</v>
      </c>
      <c r="K93" s="35">
        <v>1100</v>
      </c>
      <c r="L93" s="35">
        <v>1100</v>
      </c>
      <c r="M93" s="35">
        <v>1100</v>
      </c>
      <c r="N93" s="35">
        <v>1100</v>
      </c>
      <c r="O93" s="35">
        <v>13200</v>
      </c>
    </row>
    <row r="94" spans="2:15" ht="13.5">
      <c r="B94" s="34" t="s">
        <v>86</v>
      </c>
      <c r="C94" s="35">
        <v>1100</v>
      </c>
      <c r="D94" s="35">
        <v>1444.99</v>
      </c>
      <c r="E94" s="35">
        <v>1444.99</v>
      </c>
      <c r="F94" s="35">
        <v>1444.99</v>
      </c>
      <c r="G94" s="35">
        <v>1100</v>
      </c>
      <c r="H94" s="35">
        <v>1100</v>
      </c>
      <c r="I94" s="35">
        <v>1100</v>
      </c>
      <c r="J94" s="35">
        <v>1100</v>
      </c>
      <c r="K94" s="35">
        <v>1100</v>
      </c>
      <c r="L94" s="35">
        <v>1100</v>
      </c>
      <c r="M94" s="35">
        <v>1100</v>
      </c>
      <c r="N94" s="35">
        <v>1100</v>
      </c>
      <c r="O94" s="35">
        <v>14234.97</v>
      </c>
    </row>
    <row r="95" spans="2:15" ht="13.5">
      <c r="B95" s="34" t="s">
        <v>87</v>
      </c>
      <c r="C95" s="35">
        <v>633.92999999999995</v>
      </c>
      <c r="D95" s="35">
        <v>700</v>
      </c>
      <c r="E95" s="35">
        <v>700</v>
      </c>
      <c r="F95" s="35">
        <v>700</v>
      </c>
      <c r="G95" s="35">
        <v>700</v>
      </c>
      <c r="H95" s="35">
        <v>700</v>
      </c>
      <c r="I95" s="35">
        <v>700</v>
      </c>
      <c r="J95" s="35">
        <v>700</v>
      </c>
      <c r="K95" s="35">
        <v>700</v>
      </c>
      <c r="L95" s="35">
        <v>700</v>
      </c>
      <c r="M95" s="35">
        <v>700</v>
      </c>
      <c r="N95" s="35">
        <v>700</v>
      </c>
      <c r="O95" s="35">
        <v>8333.93</v>
      </c>
    </row>
    <row r="96" spans="2:15" ht="13.5">
      <c r="B96" s="34" t="s">
        <v>88</v>
      </c>
      <c r="C96" s="35">
        <v>220</v>
      </c>
      <c r="D96" s="35">
        <v>210</v>
      </c>
      <c r="E96" s="35">
        <v>210</v>
      </c>
      <c r="F96" s="35">
        <v>210</v>
      </c>
      <c r="G96" s="35">
        <v>210</v>
      </c>
      <c r="H96" s="35">
        <v>210</v>
      </c>
      <c r="I96" s="35">
        <v>210</v>
      </c>
      <c r="J96" s="35">
        <v>210</v>
      </c>
      <c r="K96" s="35">
        <v>210</v>
      </c>
      <c r="L96" s="35">
        <v>210</v>
      </c>
      <c r="M96" s="35">
        <v>210</v>
      </c>
      <c r="N96" s="35">
        <v>210</v>
      </c>
      <c r="O96" s="35">
        <v>2530</v>
      </c>
    </row>
    <row r="97" spans="2:15" ht="13.5">
      <c r="B97" s="34" t="s">
        <v>90</v>
      </c>
      <c r="C97" s="35">
        <v>400</v>
      </c>
      <c r="D97" s="35">
        <v>400</v>
      </c>
      <c r="E97" s="35">
        <v>400</v>
      </c>
      <c r="F97" s="35">
        <v>400</v>
      </c>
      <c r="G97" s="35">
        <v>400</v>
      </c>
      <c r="H97" s="35">
        <v>400</v>
      </c>
      <c r="I97" s="35">
        <v>400</v>
      </c>
      <c r="J97" s="35">
        <v>400</v>
      </c>
      <c r="K97" s="35">
        <v>400</v>
      </c>
      <c r="L97" s="35">
        <v>400</v>
      </c>
      <c r="M97" s="35">
        <v>400</v>
      </c>
      <c r="N97" s="35">
        <v>400</v>
      </c>
      <c r="O97" s="35">
        <v>4800</v>
      </c>
    </row>
    <row r="98" spans="2:15" ht="13.5">
      <c r="B98" s="419" t="s">
        <v>224</v>
      </c>
      <c r="C98" s="420">
        <v>3504.8400000000006</v>
      </c>
      <c r="D98" s="420">
        <v>6483.79</v>
      </c>
      <c r="E98" s="420">
        <v>2944.4300000000003</v>
      </c>
      <c r="F98" s="420">
        <v>2944.4300000000003</v>
      </c>
      <c r="G98" s="420">
        <v>2944.4300000000003</v>
      </c>
      <c r="H98" s="420">
        <v>2944.4300000000003</v>
      </c>
      <c r="I98" s="420">
        <v>2944.4300000000003</v>
      </c>
      <c r="J98" s="420">
        <v>2944.4300000000003</v>
      </c>
      <c r="K98" s="420">
        <v>2944.4300000000003</v>
      </c>
      <c r="L98" s="420">
        <v>2944.4300000000003</v>
      </c>
      <c r="M98" s="420">
        <v>4101.93</v>
      </c>
      <c r="N98" s="420">
        <v>3916.3500000000004</v>
      </c>
      <c r="O98" s="420">
        <v>41562.350000000006</v>
      </c>
    </row>
    <row r="99" spans="2:15" ht="13.5">
      <c r="B99" s="34" t="s">
        <v>258</v>
      </c>
      <c r="C99" s="35">
        <v>778.22</v>
      </c>
      <c r="D99" s="35">
        <v>735</v>
      </c>
      <c r="E99" s="35">
        <v>735</v>
      </c>
      <c r="F99" s="35">
        <v>735</v>
      </c>
      <c r="G99" s="35">
        <v>735</v>
      </c>
      <c r="H99" s="35">
        <v>735</v>
      </c>
      <c r="I99" s="35">
        <v>735</v>
      </c>
      <c r="J99" s="35">
        <v>735</v>
      </c>
      <c r="K99" s="35">
        <v>735</v>
      </c>
      <c r="L99" s="35">
        <v>735</v>
      </c>
      <c r="M99" s="35">
        <v>735</v>
      </c>
      <c r="N99" s="35">
        <v>735</v>
      </c>
      <c r="O99" s="35">
        <v>8863.2200000000012</v>
      </c>
    </row>
    <row r="100" spans="2:15" ht="13.5">
      <c r="B100" s="34" t="s">
        <v>259</v>
      </c>
      <c r="C100" s="35">
        <v>2129.42</v>
      </c>
      <c r="D100" s="35">
        <v>2000.43</v>
      </c>
      <c r="E100" s="35">
        <v>2000.43</v>
      </c>
      <c r="F100" s="35">
        <v>2000.43</v>
      </c>
      <c r="G100" s="35">
        <v>2000.43</v>
      </c>
      <c r="H100" s="35">
        <v>2000.43</v>
      </c>
      <c r="I100" s="35">
        <v>2000.43</v>
      </c>
      <c r="J100" s="35">
        <v>2000.43</v>
      </c>
      <c r="K100" s="35">
        <v>2000.43</v>
      </c>
      <c r="L100" s="35">
        <v>2000.43</v>
      </c>
      <c r="M100" s="35">
        <v>2000.43</v>
      </c>
      <c r="N100" s="35">
        <v>2000.43</v>
      </c>
      <c r="O100" s="35">
        <v>24134.15</v>
      </c>
    </row>
    <row r="101" spans="2:15" ht="13.5">
      <c r="B101" s="34" t="s">
        <v>260</v>
      </c>
      <c r="C101" s="35">
        <v>207.9</v>
      </c>
      <c r="D101" s="35">
        <v>209</v>
      </c>
      <c r="E101" s="35">
        <v>209</v>
      </c>
      <c r="F101" s="35">
        <v>209</v>
      </c>
      <c r="G101" s="35">
        <v>209</v>
      </c>
      <c r="H101" s="35">
        <v>209</v>
      </c>
      <c r="I101" s="35">
        <v>209</v>
      </c>
      <c r="J101" s="35">
        <v>209</v>
      </c>
      <c r="K101" s="35">
        <v>209</v>
      </c>
      <c r="L101" s="35">
        <v>209</v>
      </c>
      <c r="M101" s="35">
        <v>209</v>
      </c>
      <c r="N101" s="35">
        <v>209</v>
      </c>
      <c r="O101" s="35">
        <v>2506.9</v>
      </c>
    </row>
    <row r="102" spans="2:15" ht="13.5">
      <c r="B102" s="34" t="s">
        <v>257</v>
      </c>
      <c r="C102" s="35"/>
      <c r="D102" s="35">
        <v>3539.3599999999997</v>
      </c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>
        <v>3539.3599999999997</v>
      </c>
    </row>
    <row r="103" spans="2:15" ht="13.5">
      <c r="B103" s="34" t="s">
        <v>827</v>
      </c>
      <c r="C103" s="35">
        <v>389.3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>
        <v>389.3</v>
      </c>
    </row>
    <row r="104" spans="2:15" ht="13.5">
      <c r="B104" s="34" t="s">
        <v>843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>
        <v>1157.5</v>
      </c>
      <c r="N104" s="35"/>
      <c r="O104" s="35">
        <v>1157.5</v>
      </c>
    </row>
    <row r="105" spans="2:15" ht="13.5">
      <c r="B105" s="34" t="s">
        <v>848</v>
      </c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>
        <v>971.92</v>
      </c>
      <c r="O105" s="35">
        <v>971.92</v>
      </c>
    </row>
    <row r="106" spans="2:15" ht="13.5">
      <c r="B106" s="419" t="s">
        <v>225</v>
      </c>
      <c r="C106" s="420">
        <v>11550</v>
      </c>
      <c r="D106" s="420">
        <v>11550</v>
      </c>
      <c r="E106" s="420">
        <v>56277.5</v>
      </c>
      <c r="F106" s="420">
        <v>11550</v>
      </c>
      <c r="G106" s="420">
        <v>17550</v>
      </c>
      <c r="H106" s="420">
        <v>21650</v>
      </c>
      <c r="I106" s="420">
        <v>11550</v>
      </c>
      <c r="J106" s="420">
        <v>84177.5</v>
      </c>
      <c r="K106" s="420">
        <v>55650</v>
      </c>
      <c r="L106" s="420">
        <v>64550</v>
      </c>
      <c r="M106" s="420">
        <v>47550</v>
      </c>
      <c r="N106" s="420">
        <v>63650</v>
      </c>
      <c r="O106" s="420">
        <v>457255</v>
      </c>
    </row>
    <row r="107" spans="2:15" ht="13.5">
      <c r="B107" s="34" t="s">
        <v>20</v>
      </c>
      <c r="C107" s="35">
        <v>11000</v>
      </c>
      <c r="D107" s="35">
        <v>11000</v>
      </c>
      <c r="E107" s="35">
        <v>11000</v>
      </c>
      <c r="F107" s="35">
        <v>11000</v>
      </c>
      <c r="G107" s="35">
        <v>11000</v>
      </c>
      <c r="H107" s="35">
        <v>11000</v>
      </c>
      <c r="I107" s="35">
        <v>11000</v>
      </c>
      <c r="J107" s="35">
        <v>11000</v>
      </c>
      <c r="K107" s="35">
        <v>11000</v>
      </c>
      <c r="L107" s="35">
        <v>11000</v>
      </c>
      <c r="M107" s="35">
        <v>11000</v>
      </c>
      <c r="N107" s="35">
        <v>11000</v>
      </c>
      <c r="O107" s="35">
        <v>132000</v>
      </c>
    </row>
    <row r="108" spans="2:15" ht="13.5">
      <c r="B108" s="34" t="s">
        <v>27</v>
      </c>
      <c r="C108" s="35">
        <v>330</v>
      </c>
      <c r="D108" s="35">
        <v>330</v>
      </c>
      <c r="E108" s="35">
        <v>330</v>
      </c>
      <c r="F108" s="35">
        <v>330</v>
      </c>
      <c r="G108" s="35">
        <v>330</v>
      </c>
      <c r="H108" s="35">
        <v>330</v>
      </c>
      <c r="I108" s="35">
        <v>330</v>
      </c>
      <c r="J108" s="35">
        <v>330</v>
      </c>
      <c r="K108" s="35">
        <v>330</v>
      </c>
      <c r="L108" s="35">
        <v>330</v>
      </c>
      <c r="M108" s="35">
        <v>330</v>
      </c>
      <c r="N108" s="35">
        <v>330</v>
      </c>
      <c r="O108" s="35">
        <v>3960</v>
      </c>
    </row>
    <row r="109" spans="2:15" ht="13.5">
      <c r="B109" s="34" t="s">
        <v>33</v>
      </c>
      <c r="C109" s="35">
        <v>220</v>
      </c>
      <c r="D109" s="35">
        <v>220</v>
      </c>
      <c r="E109" s="35">
        <v>220</v>
      </c>
      <c r="F109" s="35">
        <v>220</v>
      </c>
      <c r="G109" s="35">
        <v>220</v>
      </c>
      <c r="H109" s="35">
        <v>220</v>
      </c>
      <c r="I109" s="35">
        <v>220</v>
      </c>
      <c r="J109" s="35">
        <v>220</v>
      </c>
      <c r="K109" s="35">
        <v>220</v>
      </c>
      <c r="L109" s="35">
        <v>220</v>
      </c>
      <c r="M109" s="35">
        <v>220</v>
      </c>
      <c r="N109" s="35">
        <v>220</v>
      </c>
      <c r="O109" s="35">
        <v>2640</v>
      </c>
    </row>
    <row r="110" spans="2:15" ht="13.5">
      <c r="B110" s="34" t="s">
        <v>51</v>
      </c>
      <c r="C110" s="35"/>
      <c r="D110" s="35"/>
      <c r="E110" s="35"/>
      <c r="F110" s="35"/>
      <c r="G110" s="35"/>
      <c r="H110" s="35"/>
      <c r="I110" s="35"/>
      <c r="J110" s="35">
        <v>36000</v>
      </c>
      <c r="K110" s="35">
        <v>36000</v>
      </c>
      <c r="L110" s="35">
        <v>36000</v>
      </c>
      <c r="M110" s="35">
        <v>36000</v>
      </c>
      <c r="N110" s="35">
        <v>36000</v>
      </c>
      <c r="O110" s="35">
        <v>180000</v>
      </c>
    </row>
    <row r="111" spans="2:15" ht="13.5">
      <c r="B111" s="34" t="s">
        <v>60</v>
      </c>
      <c r="C111" s="35"/>
      <c r="D111" s="35"/>
      <c r="E111" s="35">
        <v>500</v>
      </c>
      <c r="F111" s="35"/>
      <c r="G111" s="35"/>
      <c r="H111" s="35">
        <v>2500</v>
      </c>
      <c r="I111" s="35"/>
      <c r="J111" s="35"/>
      <c r="K111" s="35">
        <v>500</v>
      </c>
      <c r="L111" s="35"/>
      <c r="M111" s="35"/>
      <c r="N111" s="35">
        <v>2500</v>
      </c>
      <c r="O111" s="35">
        <v>6000</v>
      </c>
    </row>
    <row r="112" spans="2:15" ht="13.5">
      <c r="B112" s="34" t="s">
        <v>62</v>
      </c>
      <c r="C112" s="35"/>
      <c r="D112" s="35"/>
      <c r="E112" s="35">
        <v>36627.5</v>
      </c>
      <c r="F112" s="35"/>
      <c r="G112" s="35"/>
      <c r="H112" s="35"/>
      <c r="I112" s="35"/>
      <c r="J112" s="35">
        <v>36627.5</v>
      </c>
      <c r="K112" s="35"/>
      <c r="L112" s="35"/>
      <c r="M112" s="35"/>
      <c r="N112" s="35"/>
      <c r="O112" s="35">
        <v>73255</v>
      </c>
    </row>
    <row r="113" spans="2:15" ht="13.5">
      <c r="B113" s="34" t="s">
        <v>63</v>
      </c>
      <c r="C113" s="35"/>
      <c r="D113" s="35"/>
      <c r="E113" s="35">
        <v>7600</v>
      </c>
      <c r="F113" s="35"/>
      <c r="G113" s="35"/>
      <c r="H113" s="35">
        <v>7600</v>
      </c>
      <c r="I113" s="35"/>
      <c r="J113" s="35"/>
      <c r="K113" s="35">
        <v>7600</v>
      </c>
      <c r="L113" s="35"/>
      <c r="M113" s="35"/>
      <c r="N113" s="35">
        <v>7600</v>
      </c>
      <c r="O113" s="35">
        <v>30400</v>
      </c>
    </row>
    <row r="114" spans="2:15" ht="13.5">
      <c r="B114" s="34" t="s">
        <v>61</v>
      </c>
      <c r="C114" s="35"/>
      <c r="D114" s="35"/>
      <c r="E114" s="35"/>
      <c r="F114" s="35"/>
      <c r="G114" s="35"/>
      <c r="H114" s="35"/>
      <c r="I114" s="35"/>
      <c r="J114" s="35"/>
      <c r="K114" s="35"/>
      <c r="L114" s="35">
        <v>17000</v>
      </c>
      <c r="M114" s="35"/>
      <c r="N114" s="35"/>
      <c r="O114" s="35">
        <v>17000</v>
      </c>
    </row>
    <row r="115" spans="2:15" ht="13.5">
      <c r="B115" s="34" t="s">
        <v>78</v>
      </c>
      <c r="C115" s="35"/>
      <c r="D115" s="35"/>
      <c r="E115" s="35"/>
      <c r="F115" s="35"/>
      <c r="G115" s="35">
        <v>6000</v>
      </c>
      <c r="H115" s="35"/>
      <c r="I115" s="35"/>
      <c r="J115" s="35"/>
      <c r="K115" s="35"/>
      <c r="L115" s="35"/>
      <c r="M115" s="35"/>
      <c r="N115" s="35">
        <v>6000</v>
      </c>
      <c r="O115" s="35">
        <v>12000</v>
      </c>
    </row>
    <row r="116" spans="2:15" ht="13.5">
      <c r="B116" s="419" t="s">
        <v>226</v>
      </c>
      <c r="C116" s="420">
        <v>4681.8500000000004</v>
      </c>
      <c r="D116" s="420">
        <v>503.34</v>
      </c>
      <c r="E116" s="420">
        <v>13503.34</v>
      </c>
      <c r="F116" s="420">
        <v>503.34</v>
      </c>
      <c r="G116" s="420">
        <v>503.34</v>
      </c>
      <c r="H116" s="420">
        <v>503.34</v>
      </c>
      <c r="I116" s="420">
        <v>503.34</v>
      </c>
      <c r="J116" s="420">
        <v>503.34</v>
      </c>
      <c r="K116" s="420">
        <v>503.34</v>
      </c>
      <c r="L116" s="420">
        <v>503.34</v>
      </c>
      <c r="M116" s="420">
        <v>503.34</v>
      </c>
      <c r="N116" s="420">
        <v>503.34</v>
      </c>
      <c r="O116" s="420">
        <v>23218.590000000004</v>
      </c>
    </row>
    <row r="117" spans="2:15" ht="13.5">
      <c r="B117" s="34" t="s">
        <v>34</v>
      </c>
      <c r="C117" s="35">
        <v>503.34</v>
      </c>
      <c r="D117" s="35">
        <v>503.34</v>
      </c>
      <c r="E117" s="35">
        <v>503.34</v>
      </c>
      <c r="F117" s="35">
        <v>503.34</v>
      </c>
      <c r="G117" s="35">
        <v>503.34</v>
      </c>
      <c r="H117" s="35">
        <v>503.34</v>
      </c>
      <c r="I117" s="35">
        <v>503.34</v>
      </c>
      <c r="J117" s="35">
        <v>503.34</v>
      </c>
      <c r="K117" s="35">
        <v>503.34</v>
      </c>
      <c r="L117" s="35">
        <v>503.34</v>
      </c>
      <c r="M117" s="35">
        <v>503.34</v>
      </c>
      <c r="N117" s="35">
        <v>503.34</v>
      </c>
      <c r="O117" s="35">
        <v>6040.0800000000008</v>
      </c>
    </row>
    <row r="118" spans="2:15" ht="13.5">
      <c r="B118" s="34" t="s">
        <v>117</v>
      </c>
      <c r="C118" s="35"/>
      <c r="D118" s="35"/>
      <c r="E118" s="35">
        <v>6000</v>
      </c>
      <c r="F118" s="35"/>
      <c r="G118" s="35"/>
      <c r="H118" s="35"/>
      <c r="I118" s="35"/>
      <c r="J118" s="35"/>
      <c r="K118" s="35"/>
      <c r="L118" s="35"/>
      <c r="M118" s="35"/>
      <c r="N118" s="35"/>
      <c r="O118" s="35">
        <v>6000</v>
      </c>
    </row>
    <row r="119" spans="2:15" ht="13.5">
      <c r="B119" s="34" t="s">
        <v>124</v>
      </c>
      <c r="C119" s="35"/>
      <c r="D119" s="35"/>
      <c r="E119" s="35">
        <v>7000</v>
      </c>
      <c r="F119" s="35"/>
      <c r="G119" s="35"/>
      <c r="H119" s="35"/>
      <c r="I119" s="35"/>
      <c r="J119" s="35"/>
      <c r="K119" s="35"/>
      <c r="L119" s="35"/>
      <c r="M119" s="35"/>
      <c r="N119" s="35"/>
      <c r="O119" s="35">
        <v>7000</v>
      </c>
    </row>
    <row r="120" spans="2:15" ht="13.5">
      <c r="B120" s="34" t="s">
        <v>180</v>
      </c>
      <c r="C120" s="35">
        <v>4178.51</v>
      </c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>
        <v>4178.51</v>
      </c>
    </row>
    <row r="121" spans="2:15" ht="15">
      <c r="B121" s="411" t="s">
        <v>16</v>
      </c>
      <c r="C121" s="412">
        <v>16446.84</v>
      </c>
      <c r="D121" s="412">
        <v>31831</v>
      </c>
      <c r="E121" s="412">
        <v>14331</v>
      </c>
      <c r="F121" s="412">
        <v>24331</v>
      </c>
      <c r="G121" s="412">
        <v>14331</v>
      </c>
      <c r="H121" s="412">
        <v>20731</v>
      </c>
      <c r="I121" s="412">
        <v>14331</v>
      </c>
      <c r="J121" s="412">
        <v>13331</v>
      </c>
      <c r="K121" s="412">
        <v>13331</v>
      </c>
      <c r="L121" s="412">
        <v>22531</v>
      </c>
      <c r="M121" s="412">
        <v>29531</v>
      </c>
      <c r="N121" s="412">
        <v>18331</v>
      </c>
      <c r="O121" s="412">
        <v>233387.84</v>
      </c>
    </row>
    <row r="122" spans="2:15" ht="13.5">
      <c r="B122" s="417" t="s">
        <v>223</v>
      </c>
      <c r="C122" s="418">
        <v>7031</v>
      </c>
      <c r="D122" s="418">
        <v>7031</v>
      </c>
      <c r="E122" s="418">
        <v>7031</v>
      </c>
      <c r="F122" s="418">
        <v>7031</v>
      </c>
      <c r="G122" s="418">
        <v>7031</v>
      </c>
      <c r="H122" s="418">
        <v>7031</v>
      </c>
      <c r="I122" s="418">
        <v>7031</v>
      </c>
      <c r="J122" s="418">
        <v>7031</v>
      </c>
      <c r="K122" s="418">
        <v>7031</v>
      </c>
      <c r="L122" s="418">
        <v>7031</v>
      </c>
      <c r="M122" s="418">
        <v>7031</v>
      </c>
      <c r="N122" s="418">
        <v>7031</v>
      </c>
      <c r="O122" s="418">
        <v>84372</v>
      </c>
    </row>
    <row r="123" spans="2:15" ht="13.5">
      <c r="B123" s="34" t="s">
        <v>118</v>
      </c>
      <c r="C123" s="35">
        <v>4900</v>
      </c>
      <c r="D123" s="35">
        <v>4900</v>
      </c>
      <c r="E123" s="35">
        <v>4900</v>
      </c>
      <c r="F123" s="35">
        <v>4900</v>
      </c>
      <c r="G123" s="35">
        <v>4900</v>
      </c>
      <c r="H123" s="35">
        <v>4900</v>
      </c>
      <c r="I123" s="35">
        <v>4900</v>
      </c>
      <c r="J123" s="35">
        <v>4900</v>
      </c>
      <c r="K123" s="35">
        <v>4900</v>
      </c>
      <c r="L123" s="35">
        <v>4900</v>
      </c>
      <c r="M123" s="35">
        <v>4900</v>
      </c>
      <c r="N123" s="35">
        <v>4900</v>
      </c>
      <c r="O123" s="35">
        <v>58800</v>
      </c>
    </row>
    <row r="124" spans="2:15" ht="13.5">
      <c r="B124" s="34" t="s">
        <v>157</v>
      </c>
      <c r="C124" s="35">
        <v>2131</v>
      </c>
      <c r="D124" s="35">
        <v>2131</v>
      </c>
      <c r="E124" s="35">
        <v>2131</v>
      </c>
      <c r="F124" s="35">
        <v>2131</v>
      </c>
      <c r="G124" s="35">
        <v>2131</v>
      </c>
      <c r="H124" s="35">
        <v>2131</v>
      </c>
      <c r="I124" s="35">
        <v>2131</v>
      </c>
      <c r="J124" s="35">
        <v>2131</v>
      </c>
      <c r="K124" s="35">
        <v>2131</v>
      </c>
      <c r="L124" s="35">
        <v>2131</v>
      </c>
      <c r="M124" s="35">
        <v>2131</v>
      </c>
      <c r="N124" s="35">
        <v>2131</v>
      </c>
      <c r="O124" s="35">
        <v>25572</v>
      </c>
    </row>
    <row r="125" spans="2:15" ht="13.5">
      <c r="B125" s="417" t="s">
        <v>225</v>
      </c>
      <c r="C125" s="418">
        <v>6300</v>
      </c>
      <c r="D125" s="418">
        <v>24800</v>
      </c>
      <c r="E125" s="418">
        <v>6300</v>
      </c>
      <c r="F125" s="418">
        <v>16300</v>
      </c>
      <c r="G125" s="418">
        <v>6300</v>
      </c>
      <c r="H125" s="418">
        <v>12700</v>
      </c>
      <c r="I125" s="418">
        <v>6300</v>
      </c>
      <c r="J125" s="418">
        <v>6300</v>
      </c>
      <c r="K125" s="418">
        <v>6300</v>
      </c>
      <c r="L125" s="418">
        <v>15500</v>
      </c>
      <c r="M125" s="418">
        <v>16300</v>
      </c>
      <c r="N125" s="418">
        <v>6300</v>
      </c>
      <c r="O125" s="418">
        <v>129700</v>
      </c>
    </row>
    <row r="126" spans="2:15" ht="13.5">
      <c r="B126" s="34" t="s">
        <v>20</v>
      </c>
      <c r="C126" s="35">
        <v>5000</v>
      </c>
      <c r="D126" s="35">
        <v>5000</v>
      </c>
      <c r="E126" s="35">
        <v>5000</v>
      </c>
      <c r="F126" s="35">
        <v>5000</v>
      </c>
      <c r="G126" s="35">
        <v>5000</v>
      </c>
      <c r="H126" s="35">
        <v>5000</v>
      </c>
      <c r="I126" s="35">
        <v>5000</v>
      </c>
      <c r="J126" s="35">
        <v>5000</v>
      </c>
      <c r="K126" s="35">
        <v>5000</v>
      </c>
      <c r="L126" s="35">
        <v>5000</v>
      </c>
      <c r="M126" s="35">
        <v>5000</v>
      </c>
      <c r="N126" s="35">
        <v>5000</v>
      </c>
      <c r="O126" s="35">
        <v>60000</v>
      </c>
    </row>
    <row r="127" spans="2:15" ht="13.5">
      <c r="B127" s="34" t="s">
        <v>27</v>
      </c>
      <c r="C127" s="35">
        <v>200</v>
      </c>
      <c r="D127" s="35">
        <v>200</v>
      </c>
      <c r="E127" s="35">
        <v>200</v>
      </c>
      <c r="F127" s="35">
        <v>200</v>
      </c>
      <c r="G127" s="35">
        <v>200</v>
      </c>
      <c r="H127" s="35">
        <v>200</v>
      </c>
      <c r="I127" s="35">
        <v>200</v>
      </c>
      <c r="J127" s="35">
        <v>200</v>
      </c>
      <c r="K127" s="35">
        <v>200</v>
      </c>
      <c r="L127" s="35">
        <v>200</v>
      </c>
      <c r="M127" s="35">
        <v>200</v>
      </c>
      <c r="N127" s="35">
        <v>200</v>
      </c>
      <c r="O127" s="35">
        <v>2400</v>
      </c>
    </row>
    <row r="128" spans="2:15" ht="13.5">
      <c r="B128" s="34" t="s">
        <v>33</v>
      </c>
      <c r="C128" s="35">
        <v>100</v>
      </c>
      <c r="D128" s="35">
        <v>100</v>
      </c>
      <c r="E128" s="35">
        <v>100</v>
      </c>
      <c r="F128" s="35">
        <v>100</v>
      </c>
      <c r="G128" s="35">
        <v>100</v>
      </c>
      <c r="H128" s="35">
        <v>100</v>
      </c>
      <c r="I128" s="35">
        <v>100</v>
      </c>
      <c r="J128" s="35">
        <v>100</v>
      </c>
      <c r="K128" s="35">
        <v>100</v>
      </c>
      <c r="L128" s="35">
        <v>100</v>
      </c>
      <c r="M128" s="35">
        <v>100</v>
      </c>
      <c r="N128" s="35">
        <v>100</v>
      </c>
      <c r="O128" s="35">
        <v>1200</v>
      </c>
    </row>
    <row r="129" spans="2:15" ht="13.5">
      <c r="B129" s="34" t="s">
        <v>35</v>
      </c>
      <c r="C129" s="35">
        <v>1000</v>
      </c>
      <c r="D129" s="35">
        <v>1000</v>
      </c>
      <c r="E129" s="35">
        <v>1000</v>
      </c>
      <c r="F129" s="35">
        <v>1000</v>
      </c>
      <c r="G129" s="35">
        <v>1000</v>
      </c>
      <c r="H129" s="35">
        <v>1000</v>
      </c>
      <c r="I129" s="35">
        <v>1000</v>
      </c>
      <c r="J129" s="35">
        <v>1000</v>
      </c>
      <c r="K129" s="35">
        <v>1000</v>
      </c>
      <c r="L129" s="35">
        <v>1000</v>
      </c>
      <c r="M129" s="35">
        <v>1000</v>
      </c>
      <c r="N129" s="35">
        <v>1000</v>
      </c>
      <c r="O129" s="35">
        <v>12000</v>
      </c>
    </row>
    <row r="130" spans="2:15" ht="13.5">
      <c r="B130" s="34" t="s">
        <v>62</v>
      </c>
      <c r="C130" s="35"/>
      <c r="D130" s="35">
        <v>18500</v>
      </c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>
        <v>18500</v>
      </c>
    </row>
    <row r="131" spans="2:15" ht="13.5">
      <c r="B131" s="34" t="s">
        <v>61</v>
      </c>
      <c r="C131" s="35"/>
      <c r="D131" s="35"/>
      <c r="E131" s="35"/>
      <c r="F131" s="35"/>
      <c r="G131" s="35"/>
      <c r="H131" s="35"/>
      <c r="I131" s="35"/>
      <c r="J131" s="35"/>
      <c r="K131" s="35"/>
      <c r="L131" s="35">
        <v>9200</v>
      </c>
      <c r="M131" s="35"/>
      <c r="N131" s="35"/>
      <c r="O131" s="35">
        <v>9200</v>
      </c>
    </row>
    <row r="132" spans="2:15" ht="13.5">
      <c r="B132" s="34" t="s">
        <v>126</v>
      </c>
      <c r="C132" s="35"/>
      <c r="D132" s="35"/>
      <c r="E132" s="35"/>
      <c r="F132" s="35">
        <v>10000</v>
      </c>
      <c r="G132" s="35"/>
      <c r="H132" s="35"/>
      <c r="I132" s="35"/>
      <c r="J132" s="35"/>
      <c r="K132" s="35"/>
      <c r="L132" s="35"/>
      <c r="M132" s="35">
        <v>10000</v>
      </c>
      <c r="N132" s="35"/>
      <c r="O132" s="35">
        <v>20000</v>
      </c>
    </row>
    <row r="133" spans="2:15" ht="13.5">
      <c r="B133" s="34" t="s">
        <v>127</v>
      </c>
      <c r="C133" s="35"/>
      <c r="D133" s="35"/>
      <c r="E133" s="35"/>
      <c r="F133" s="35"/>
      <c r="G133" s="35"/>
      <c r="H133" s="35">
        <v>6400</v>
      </c>
      <c r="I133" s="35"/>
      <c r="J133" s="35"/>
      <c r="K133" s="35"/>
      <c r="L133" s="35"/>
      <c r="M133" s="35"/>
      <c r="N133" s="35"/>
      <c r="O133" s="35">
        <v>6400</v>
      </c>
    </row>
    <row r="134" spans="2:15" ht="13.5">
      <c r="B134" s="417" t="s">
        <v>226</v>
      </c>
      <c r="C134" s="418">
        <v>3115.84</v>
      </c>
      <c r="D134" s="418"/>
      <c r="E134" s="418">
        <v>1000</v>
      </c>
      <c r="F134" s="418">
        <v>1000</v>
      </c>
      <c r="G134" s="418">
        <v>1000</v>
      </c>
      <c r="H134" s="418">
        <v>1000</v>
      </c>
      <c r="I134" s="418">
        <v>1000</v>
      </c>
      <c r="J134" s="418"/>
      <c r="K134" s="418"/>
      <c r="L134" s="418"/>
      <c r="M134" s="418">
        <v>6200</v>
      </c>
      <c r="N134" s="418">
        <v>5000</v>
      </c>
      <c r="O134" s="418">
        <v>19315.84</v>
      </c>
    </row>
    <row r="135" spans="2:15" ht="13.5">
      <c r="B135" s="34" t="s">
        <v>116</v>
      </c>
      <c r="C135" s="35"/>
      <c r="D135" s="35"/>
      <c r="E135" s="35">
        <v>1000</v>
      </c>
      <c r="F135" s="35">
        <v>1000</v>
      </c>
      <c r="G135" s="35">
        <v>1000</v>
      </c>
      <c r="H135" s="35">
        <v>1000</v>
      </c>
      <c r="I135" s="35">
        <v>1000</v>
      </c>
      <c r="J135" s="35"/>
      <c r="K135" s="35"/>
      <c r="L135" s="35"/>
      <c r="M135" s="35"/>
      <c r="N135" s="35"/>
      <c r="O135" s="35">
        <v>5000</v>
      </c>
    </row>
    <row r="136" spans="2:15" ht="13.5">
      <c r="B136" s="34" t="s">
        <v>124</v>
      </c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>
        <v>5000</v>
      </c>
      <c r="O136" s="35">
        <v>5000</v>
      </c>
    </row>
    <row r="137" spans="2:15" ht="13.5">
      <c r="B137" s="34" t="s">
        <v>181</v>
      </c>
      <c r="C137" s="35">
        <v>3115.84</v>
      </c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>
        <v>3115.84</v>
      </c>
    </row>
    <row r="138" spans="2:15" ht="13.5">
      <c r="B138" s="34" t="s">
        <v>844</v>
      </c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>
        <v>6200</v>
      </c>
      <c r="N138" s="35"/>
      <c r="O138" s="35">
        <v>6200</v>
      </c>
    </row>
    <row r="139" spans="2:15" ht="21" customHeight="1">
      <c r="B139" s="98" t="s">
        <v>5</v>
      </c>
      <c r="C139" s="99">
        <v>102409.09999999998</v>
      </c>
      <c r="D139" s="99">
        <v>87392.819999999992</v>
      </c>
      <c r="E139" s="99">
        <v>723049.53200000012</v>
      </c>
      <c r="F139" s="99">
        <v>82602.720000000001</v>
      </c>
      <c r="G139" s="99">
        <v>75106.109999999986</v>
      </c>
      <c r="H139" s="99">
        <v>89058.47</v>
      </c>
      <c r="I139" s="99">
        <v>68620.709999999992</v>
      </c>
      <c r="J139" s="99">
        <v>174757.11</v>
      </c>
      <c r="K139" s="99">
        <v>118294.09999999999</v>
      </c>
      <c r="L139" s="99">
        <v>142756.24</v>
      </c>
      <c r="M139" s="99">
        <v>118381.97</v>
      </c>
      <c r="N139" s="99">
        <v>132930.38999999998</v>
      </c>
      <c r="O139" s="165">
        <v>1915359.2719999999</v>
      </c>
    </row>
  </sheetData>
  <mergeCells count="2">
    <mergeCell ref="C2:O2"/>
    <mergeCell ref="C23:O23"/>
  </mergeCells>
  <pageMargins left="0.08" right="0" top="0.33" bottom="0.13" header="0.26" footer="0.11"/>
  <pageSetup paperSize="9" scale="5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C931-F9F2-426B-89F0-F9DC1AB8E1C6}">
  <sheetPr codeName="Planilha1">
    <tabColor theme="1"/>
  </sheetPr>
  <dimension ref="B1:I148"/>
  <sheetViews>
    <sheetView showGridLines="0" topLeftCell="A58" zoomScaleNormal="100" workbookViewId="0">
      <selection activeCell="C10" sqref="C10"/>
    </sheetView>
  </sheetViews>
  <sheetFormatPr defaultRowHeight="12.75" customHeight="1" outlineLevelRow="1"/>
  <cols>
    <col min="1" max="1" width="2.7109375" style="28" customWidth="1"/>
    <col min="2" max="2" width="49.28515625" style="28" bestFit="1" customWidth="1"/>
    <col min="3" max="3" width="28.28515625" style="28" customWidth="1"/>
    <col min="4" max="4" width="18.85546875" style="28" customWidth="1"/>
    <col min="5" max="5" width="37.85546875" style="28" customWidth="1"/>
    <col min="6" max="8" width="11.85546875" style="28" bestFit="1" customWidth="1"/>
    <col min="9" max="9" width="12.85546875" style="28" bestFit="1" customWidth="1"/>
    <col min="10" max="16384" width="9.140625" style="28"/>
  </cols>
  <sheetData>
    <row r="1" spans="2:9" customFormat="1" ht="12.75" customHeight="1">
      <c r="F1" s="49"/>
      <c r="G1" s="49"/>
      <c r="H1" s="49"/>
      <c r="I1" s="49"/>
    </row>
    <row r="2" spans="2:9" customFormat="1" ht="12.75" customHeight="1">
      <c r="F2" s="49"/>
      <c r="G2" s="49"/>
      <c r="H2" s="49"/>
      <c r="I2" s="49"/>
    </row>
    <row r="3" spans="2:9" customFormat="1" ht="37.5">
      <c r="B3" s="44" t="s">
        <v>55</v>
      </c>
      <c r="F3" s="49"/>
      <c r="G3" s="49"/>
      <c r="H3" s="49"/>
      <c r="I3" s="49"/>
    </row>
    <row r="4" spans="2:9" customFormat="1" ht="12.75" customHeight="1">
      <c r="F4" s="49"/>
      <c r="G4" s="49"/>
      <c r="H4" s="49"/>
      <c r="I4" s="49"/>
    </row>
    <row r="5" spans="2:9" customFormat="1" ht="21.75" customHeight="1" outlineLevel="1">
      <c r="B5" s="536" t="s">
        <v>106</v>
      </c>
      <c r="C5" s="536"/>
      <c r="D5" s="536"/>
      <c r="E5" s="536"/>
      <c r="F5" s="49"/>
      <c r="G5" s="49"/>
      <c r="H5" s="49"/>
      <c r="I5" s="49"/>
    </row>
    <row r="6" spans="2:9" customFormat="1" ht="15" customHeight="1" outlineLevel="1">
      <c r="F6" s="49"/>
      <c r="G6" s="49"/>
      <c r="H6" s="49"/>
      <c r="I6" s="49"/>
    </row>
    <row r="7" spans="2:9" customFormat="1" ht="15" customHeight="1" outlineLevel="1">
      <c r="B7" s="47" t="s">
        <v>13</v>
      </c>
      <c r="C7" s="48" t="s">
        <v>105</v>
      </c>
      <c r="D7" s="48" t="s">
        <v>107</v>
      </c>
      <c r="E7" s="48" t="s">
        <v>108</v>
      </c>
      <c r="F7" s="49"/>
      <c r="G7" s="49"/>
      <c r="H7" s="49"/>
      <c r="I7" s="49"/>
    </row>
    <row r="8" spans="2:9" s="45" customFormat="1" ht="15" customHeight="1" outlineLevel="1">
      <c r="B8" s="50" t="s">
        <v>39</v>
      </c>
      <c r="C8" s="51" t="s">
        <v>77</v>
      </c>
      <c r="D8" s="51" t="s">
        <v>109</v>
      </c>
      <c r="E8" s="51"/>
    </row>
    <row r="9" spans="2:9" s="45" customFormat="1" ht="15" customHeight="1" outlineLevel="1">
      <c r="B9" s="50" t="s">
        <v>40</v>
      </c>
      <c r="C9" s="51" t="s">
        <v>77</v>
      </c>
      <c r="D9" s="51" t="s">
        <v>109</v>
      </c>
      <c r="E9" s="51"/>
    </row>
    <row r="10" spans="2:9" s="45" customFormat="1" ht="15" customHeight="1" outlineLevel="1">
      <c r="B10" s="50" t="s">
        <v>59</v>
      </c>
      <c r="C10" s="51" t="s">
        <v>77</v>
      </c>
      <c r="D10" s="51" t="s">
        <v>109</v>
      </c>
      <c r="E10" s="51"/>
    </row>
    <row r="11" spans="2:9" s="45" customFormat="1" ht="15" customHeight="1" outlineLevel="1">
      <c r="B11" s="50" t="s">
        <v>36</v>
      </c>
      <c r="C11" s="51" t="s">
        <v>77</v>
      </c>
      <c r="D11" s="51" t="s">
        <v>109</v>
      </c>
      <c r="E11" s="51"/>
    </row>
    <row r="12" spans="2:9" s="45" customFormat="1" ht="15" customHeight="1" outlineLevel="1">
      <c r="B12" s="50" t="s">
        <v>37</v>
      </c>
      <c r="C12" s="51" t="s">
        <v>77</v>
      </c>
      <c r="D12" s="51" t="s">
        <v>109</v>
      </c>
      <c r="E12" s="51"/>
    </row>
    <row r="13" spans="2:9" s="45" customFormat="1" ht="15" customHeight="1" outlineLevel="1">
      <c r="B13" s="50" t="s">
        <v>42</v>
      </c>
      <c r="C13" s="51" t="s">
        <v>77</v>
      </c>
      <c r="D13" s="51" t="s">
        <v>109</v>
      </c>
      <c r="E13" s="51"/>
    </row>
    <row r="14" spans="2:9" s="45" customFormat="1" ht="15" customHeight="1" outlineLevel="1">
      <c r="B14" s="50" t="s">
        <v>38</v>
      </c>
      <c r="C14" s="51" t="s">
        <v>77</v>
      </c>
      <c r="D14" s="51" t="s">
        <v>109</v>
      </c>
      <c r="E14" s="51"/>
    </row>
    <row r="15" spans="2:9" s="45" customFormat="1" ht="15" customHeight="1" outlineLevel="1">
      <c r="B15" s="50" t="s">
        <v>65</v>
      </c>
      <c r="C15" s="51" t="s">
        <v>77</v>
      </c>
      <c r="D15" s="51" t="s">
        <v>109</v>
      </c>
      <c r="E15" s="51"/>
    </row>
    <row r="16" spans="2:9" s="45" customFormat="1" ht="15" customHeight="1" outlineLevel="1">
      <c r="B16" s="50" t="s">
        <v>41</v>
      </c>
      <c r="C16" s="51" t="s">
        <v>77</v>
      </c>
      <c r="D16" s="51" t="s">
        <v>109</v>
      </c>
      <c r="E16" s="51"/>
    </row>
    <row r="17" spans="2:9" customFormat="1" ht="15" customHeight="1" outlineLevel="1">
      <c r="B17" s="45"/>
      <c r="C17" s="45"/>
      <c r="D17" s="45"/>
      <c r="E17" s="45"/>
    </row>
    <row r="18" spans="2:9" customFormat="1" ht="15" customHeight="1" outlineLevel="1">
      <c r="B18" s="47" t="s">
        <v>111</v>
      </c>
      <c r="C18" s="48" t="s">
        <v>105</v>
      </c>
      <c r="D18" s="48" t="s">
        <v>107</v>
      </c>
      <c r="E18" s="48" t="s">
        <v>108</v>
      </c>
    </row>
    <row r="19" spans="2:9" customFormat="1" ht="15" customHeight="1" outlineLevel="1">
      <c r="B19" s="50" t="s">
        <v>112</v>
      </c>
      <c r="C19" s="254" t="s">
        <v>110</v>
      </c>
      <c r="D19" s="51" t="s">
        <v>109</v>
      </c>
      <c r="E19" s="51"/>
    </row>
    <row r="20" spans="2:9" customFormat="1" ht="15" customHeight="1" outlineLevel="1">
      <c r="B20" s="50" t="s">
        <v>113</v>
      </c>
      <c r="C20" s="254" t="s">
        <v>110</v>
      </c>
      <c r="D20" s="51" t="s">
        <v>109</v>
      </c>
      <c r="E20" s="51"/>
    </row>
    <row r="21" spans="2:9" customFormat="1" ht="15" customHeight="1" outlineLevel="1">
      <c r="B21" s="50" t="s">
        <v>114</v>
      </c>
      <c r="C21" s="254" t="s">
        <v>110</v>
      </c>
      <c r="D21" s="51" t="s">
        <v>109</v>
      </c>
      <c r="E21" s="51"/>
    </row>
    <row r="22" spans="2:9" customFormat="1" ht="12.75" customHeight="1">
      <c r="F22" s="49"/>
      <c r="G22" s="49"/>
      <c r="H22" s="49"/>
      <c r="I22" s="49"/>
    </row>
    <row r="23" spans="2:9" customFormat="1" ht="12.75" customHeight="1">
      <c r="F23" s="49"/>
      <c r="G23" s="49"/>
      <c r="H23" s="49"/>
      <c r="I23" s="49"/>
    </row>
    <row r="24" spans="2:9" customFormat="1" ht="37.5">
      <c r="B24" s="54" t="s">
        <v>56</v>
      </c>
      <c r="F24" s="49"/>
      <c r="G24" s="49"/>
      <c r="H24" s="49"/>
      <c r="I24" s="49"/>
    </row>
    <row r="25" spans="2:9" customFormat="1" ht="12.75" customHeight="1">
      <c r="F25" s="49"/>
      <c r="G25" s="49"/>
      <c r="H25" s="49"/>
      <c r="I25" s="49"/>
    </row>
    <row r="26" spans="2:9" customFormat="1" ht="21.75" customHeight="1" outlineLevel="1">
      <c r="B26" s="537" t="s">
        <v>106</v>
      </c>
      <c r="C26" s="537"/>
      <c r="D26" s="537"/>
      <c r="E26" s="537"/>
      <c r="F26" s="49"/>
      <c r="G26" s="49"/>
      <c r="H26" s="49"/>
      <c r="I26" s="49"/>
    </row>
    <row r="27" spans="2:9" s="45" customFormat="1" ht="15" customHeight="1" outlineLevel="1">
      <c r="F27" s="49"/>
      <c r="G27" s="49"/>
      <c r="H27" s="49"/>
      <c r="I27" s="49"/>
    </row>
    <row r="28" spans="2:9" ht="15" customHeight="1" outlineLevel="1">
      <c r="B28" s="55" t="s">
        <v>21</v>
      </c>
      <c r="C28" s="56" t="s">
        <v>105</v>
      </c>
      <c r="D28" s="56" t="s">
        <v>107</v>
      </c>
      <c r="E28" s="56" t="s">
        <v>108</v>
      </c>
    </row>
    <row r="29" spans="2:9" ht="15" customHeight="1" outlineLevel="1">
      <c r="B29" s="50" t="s">
        <v>66</v>
      </c>
      <c r="C29" s="51" t="s">
        <v>73</v>
      </c>
      <c r="D29" s="51" t="s">
        <v>109</v>
      </c>
      <c r="E29" s="51"/>
    </row>
    <row r="30" spans="2:9" ht="15" customHeight="1" outlineLevel="1">
      <c r="B30" s="50" t="s">
        <v>67</v>
      </c>
      <c r="C30" s="51" t="s">
        <v>73</v>
      </c>
      <c r="D30" s="51" t="s">
        <v>109</v>
      </c>
      <c r="E30" s="51"/>
    </row>
    <row r="31" spans="2:9" ht="15" customHeight="1" outlineLevel="1">
      <c r="B31" s="50" t="s">
        <v>94</v>
      </c>
      <c r="C31" s="51" t="s">
        <v>73</v>
      </c>
      <c r="D31" s="51" t="s">
        <v>109</v>
      </c>
      <c r="E31" s="51"/>
    </row>
    <row r="32" spans="2:9" ht="15" customHeight="1" outlineLevel="1">
      <c r="B32" s="50" t="s">
        <v>95</v>
      </c>
      <c r="C32" s="51" t="s">
        <v>73</v>
      </c>
      <c r="D32" s="51" t="s">
        <v>109</v>
      </c>
      <c r="E32" s="51"/>
    </row>
    <row r="33" spans="2:7" ht="15" customHeight="1" outlineLevel="1">
      <c r="B33" s="50" t="s">
        <v>96</v>
      </c>
      <c r="C33" s="51" t="s">
        <v>73</v>
      </c>
      <c r="D33" s="51" t="s">
        <v>109</v>
      </c>
      <c r="E33" s="51"/>
    </row>
    <row r="34" spans="2:7" ht="15" customHeight="1" outlineLevel="1">
      <c r="B34" s="50" t="s">
        <v>91</v>
      </c>
      <c r="C34" s="51" t="s">
        <v>73</v>
      </c>
      <c r="D34" s="51" t="s">
        <v>109</v>
      </c>
      <c r="E34" s="51"/>
    </row>
    <row r="35" spans="2:7" ht="15" customHeight="1" outlineLevel="1">
      <c r="B35" s="50" t="s">
        <v>92</v>
      </c>
      <c r="C35" s="51" t="s">
        <v>73</v>
      </c>
      <c r="D35" s="51" t="s">
        <v>109</v>
      </c>
      <c r="E35" s="51"/>
    </row>
    <row r="36" spans="2:7" ht="15" customHeight="1" outlineLevel="1">
      <c r="B36" s="50" t="s">
        <v>97</v>
      </c>
      <c r="C36" s="51" t="s">
        <v>73</v>
      </c>
      <c r="D36" s="51" t="s">
        <v>109</v>
      </c>
      <c r="E36" s="51"/>
    </row>
    <row r="37" spans="2:7" ht="15" customHeight="1" outlineLevel="1">
      <c r="B37" s="50" t="s">
        <v>98</v>
      </c>
      <c r="C37" s="51" t="s">
        <v>73</v>
      </c>
      <c r="D37" s="51" t="s">
        <v>109</v>
      </c>
      <c r="E37" s="51"/>
    </row>
    <row r="38" spans="2:7" ht="15" customHeight="1" outlineLevel="1">
      <c r="B38" s="50" t="s">
        <v>93</v>
      </c>
      <c r="C38" s="51" t="s">
        <v>73</v>
      </c>
      <c r="D38" s="51" t="s">
        <v>109</v>
      </c>
      <c r="E38" s="51"/>
      <c r="F38" s="45"/>
      <c r="G38" s="45"/>
    </row>
    <row r="39" spans="2:7" ht="15" customHeight="1" outlineLevel="1">
      <c r="B39" s="50" t="s">
        <v>69</v>
      </c>
      <c r="C39" s="51" t="s">
        <v>73</v>
      </c>
      <c r="D39" s="51" t="s">
        <v>109</v>
      </c>
      <c r="E39" s="51"/>
      <c r="F39" s="45"/>
      <c r="G39" s="45"/>
    </row>
    <row r="40" spans="2:7" ht="15" customHeight="1" outlineLevel="1">
      <c r="B40" s="50" t="s">
        <v>45</v>
      </c>
      <c r="C40" s="51" t="s">
        <v>73</v>
      </c>
      <c r="D40" s="51" t="s">
        <v>109</v>
      </c>
      <c r="E40" s="51"/>
      <c r="F40" s="45"/>
      <c r="G40" s="45"/>
    </row>
    <row r="41" spans="2:7" ht="15" customHeight="1" outlineLevel="1">
      <c r="B41" s="50" t="s">
        <v>26</v>
      </c>
      <c r="C41" s="51" t="s">
        <v>73</v>
      </c>
      <c r="D41" s="51" t="s">
        <v>109</v>
      </c>
      <c r="E41" s="51"/>
      <c r="F41" s="45"/>
      <c r="G41" s="45"/>
    </row>
    <row r="42" spans="2:7" ht="15" customHeight="1" outlineLevel="1">
      <c r="B42" s="50" t="s">
        <v>68</v>
      </c>
      <c r="C42" s="51" t="s">
        <v>73</v>
      </c>
      <c r="D42" s="51" t="s">
        <v>109</v>
      </c>
      <c r="E42" s="51"/>
      <c r="F42" s="45"/>
      <c r="G42" s="45"/>
    </row>
    <row r="43" spans="2:7" ht="15" customHeight="1" outlineLevel="1">
      <c r="B43" s="55" t="s">
        <v>18</v>
      </c>
      <c r="C43" s="56" t="s">
        <v>105</v>
      </c>
      <c r="D43" s="56" t="s">
        <v>107</v>
      </c>
      <c r="E43" s="56" t="s">
        <v>108</v>
      </c>
      <c r="F43" s="45"/>
      <c r="G43" s="45"/>
    </row>
    <row r="44" spans="2:7" ht="15" customHeight="1" outlineLevel="1">
      <c r="B44" s="50" t="s">
        <v>27</v>
      </c>
      <c r="C44" s="51" t="s">
        <v>19</v>
      </c>
      <c r="D44" s="51" t="s">
        <v>109</v>
      </c>
      <c r="E44" s="51"/>
    </row>
    <row r="45" spans="2:7" ht="15" customHeight="1" outlineLevel="1">
      <c r="B45" s="50" t="s">
        <v>20</v>
      </c>
      <c r="C45" s="51" t="s">
        <v>19</v>
      </c>
      <c r="D45" s="51" t="s">
        <v>109</v>
      </c>
      <c r="E45" s="51"/>
    </row>
    <row r="46" spans="2:7" ht="15" customHeight="1" outlineLevel="1">
      <c r="B46" s="50" t="s">
        <v>30</v>
      </c>
      <c r="C46" s="51" t="s">
        <v>19</v>
      </c>
      <c r="D46" s="51" t="s">
        <v>109</v>
      </c>
      <c r="E46" s="51"/>
    </row>
    <row r="47" spans="2:7" ht="15" customHeight="1" outlineLevel="1">
      <c r="B47" s="50" t="s">
        <v>60</v>
      </c>
      <c r="C47" s="51" t="s">
        <v>19</v>
      </c>
      <c r="D47" s="51" t="s">
        <v>109</v>
      </c>
      <c r="E47" s="51"/>
    </row>
    <row r="48" spans="2:7" ht="15" customHeight="1" outlineLevel="1">
      <c r="B48" s="50" t="s">
        <v>31</v>
      </c>
      <c r="C48" s="51" t="s">
        <v>19</v>
      </c>
      <c r="D48" s="51" t="s">
        <v>109</v>
      </c>
      <c r="E48" s="51"/>
    </row>
    <row r="49" spans="2:5" ht="15" customHeight="1" outlineLevel="1">
      <c r="B49" s="50" t="s">
        <v>64</v>
      </c>
      <c r="C49" s="51" t="s">
        <v>540</v>
      </c>
      <c r="D49" s="51" t="s">
        <v>109</v>
      </c>
      <c r="E49" s="51"/>
    </row>
    <row r="50" spans="2:5" ht="15" customHeight="1" outlineLevel="1">
      <c r="B50" s="50" t="s">
        <v>61</v>
      </c>
      <c r="C50" s="51" t="s">
        <v>540</v>
      </c>
      <c r="D50" s="51" t="s">
        <v>109</v>
      </c>
      <c r="E50" s="51"/>
    </row>
    <row r="51" spans="2:5" ht="15" customHeight="1" outlineLevel="1">
      <c r="B51" s="50" t="s">
        <v>62</v>
      </c>
      <c r="C51" s="51" t="s">
        <v>540</v>
      </c>
      <c r="D51" s="51" t="s">
        <v>109</v>
      </c>
      <c r="E51" s="51"/>
    </row>
    <row r="52" spans="2:5" ht="15" customHeight="1" outlineLevel="1">
      <c r="B52" s="50" t="s">
        <v>63</v>
      </c>
      <c r="C52" s="51" t="s">
        <v>540</v>
      </c>
      <c r="D52" s="51" t="s">
        <v>109</v>
      </c>
      <c r="E52" s="51"/>
    </row>
    <row r="53" spans="2:5" ht="15" customHeight="1" outlineLevel="1">
      <c r="B53" s="55" t="s">
        <v>13</v>
      </c>
      <c r="C53" s="56" t="s">
        <v>105</v>
      </c>
      <c r="D53" s="56" t="s">
        <v>107</v>
      </c>
      <c r="E53" s="56" t="s">
        <v>108</v>
      </c>
    </row>
    <row r="54" spans="2:5" ht="15" customHeight="1" outlineLevel="1">
      <c r="B54" s="50" t="s">
        <v>29</v>
      </c>
      <c r="C54" s="51" t="s">
        <v>19</v>
      </c>
      <c r="D54" s="51" t="s">
        <v>109</v>
      </c>
      <c r="E54" s="51"/>
    </row>
    <row r="55" spans="2:5" ht="15" customHeight="1" outlineLevel="1">
      <c r="B55" s="50" t="s">
        <v>70</v>
      </c>
      <c r="C55" s="51" t="s">
        <v>73</v>
      </c>
      <c r="D55" s="51" t="s">
        <v>109</v>
      </c>
      <c r="E55" s="51"/>
    </row>
    <row r="56" spans="2:5" ht="15" customHeight="1" outlineLevel="1">
      <c r="B56" s="50" t="s">
        <v>72</v>
      </c>
      <c r="C56" s="51" t="s">
        <v>73</v>
      </c>
      <c r="D56" s="51" t="s">
        <v>109</v>
      </c>
      <c r="E56" s="51"/>
    </row>
    <row r="57" spans="2:5" ht="15" customHeight="1" outlineLevel="1">
      <c r="B57" s="50" t="s">
        <v>124</v>
      </c>
      <c r="C57" s="51" t="s">
        <v>73</v>
      </c>
      <c r="D57" s="51" t="s">
        <v>109</v>
      </c>
      <c r="E57" s="51"/>
    </row>
    <row r="58" spans="2:5" ht="15" customHeight="1" outlineLevel="1">
      <c r="B58" s="50" t="s">
        <v>117</v>
      </c>
      <c r="C58" s="51" t="s">
        <v>73</v>
      </c>
      <c r="D58" s="51" t="s">
        <v>109</v>
      </c>
      <c r="E58" s="51"/>
    </row>
    <row r="59" spans="2:5" ht="15" customHeight="1" outlineLevel="1">
      <c r="B59" s="50" t="s">
        <v>71</v>
      </c>
      <c r="C59" s="51" t="s">
        <v>73</v>
      </c>
      <c r="D59" s="51" t="s">
        <v>109</v>
      </c>
      <c r="E59" s="51"/>
    </row>
    <row r="60" spans="2:5" ht="15" customHeight="1" outlineLevel="1">
      <c r="B60" s="50" t="s">
        <v>32</v>
      </c>
      <c r="C60" s="51" t="s">
        <v>73</v>
      </c>
      <c r="D60" s="51" t="s">
        <v>109</v>
      </c>
      <c r="E60" s="51"/>
    </row>
    <row r="61" spans="2:5" ht="15" customHeight="1" outlineLevel="1">
      <c r="B61" s="55" t="s">
        <v>17</v>
      </c>
      <c r="C61" s="56" t="s">
        <v>105</v>
      </c>
      <c r="D61" s="56" t="s">
        <v>107</v>
      </c>
      <c r="E61" s="56" t="s">
        <v>108</v>
      </c>
    </row>
    <row r="62" spans="2:5" ht="15" customHeight="1" outlineLevel="1">
      <c r="B62" s="50" t="s">
        <v>79</v>
      </c>
      <c r="C62" s="51" t="s">
        <v>73</v>
      </c>
      <c r="D62" s="51" t="s">
        <v>109</v>
      </c>
      <c r="E62" s="51"/>
    </row>
    <row r="63" spans="2:5" ht="15" customHeight="1" outlineLevel="1">
      <c r="B63" s="50" t="s">
        <v>80</v>
      </c>
      <c r="C63" s="51" t="s">
        <v>73</v>
      </c>
      <c r="D63" s="51" t="s">
        <v>109</v>
      </c>
      <c r="E63" s="51"/>
    </row>
    <row r="64" spans="2:5" ht="15" customHeight="1" outlineLevel="1">
      <c r="B64" s="50" t="s">
        <v>81</v>
      </c>
      <c r="C64" s="51" t="s">
        <v>73</v>
      </c>
      <c r="D64" s="51" t="s">
        <v>109</v>
      </c>
      <c r="E64" s="51"/>
    </row>
    <row r="65" spans="2:9" ht="15" customHeight="1" outlineLevel="1">
      <c r="B65" s="50" t="s">
        <v>82</v>
      </c>
      <c r="C65" s="51" t="s">
        <v>73</v>
      </c>
      <c r="D65" s="51" t="s">
        <v>109</v>
      </c>
      <c r="E65" s="51"/>
    </row>
    <row r="66" spans="2:9" ht="15" customHeight="1" outlineLevel="1">
      <c r="B66" s="50" t="s">
        <v>48</v>
      </c>
      <c r="C66" s="51" t="s">
        <v>73</v>
      </c>
      <c r="D66" s="51" t="s">
        <v>109</v>
      </c>
      <c r="E66" s="51"/>
    </row>
    <row r="67" spans="2:9" ht="15" customHeight="1" outlineLevel="1">
      <c r="B67" s="50" t="s">
        <v>103</v>
      </c>
      <c r="C67" s="51" t="s">
        <v>73</v>
      </c>
      <c r="D67" s="51" t="s">
        <v>109</v>
      </c>
      <c r="E67" s="51"/>
    </row>
    <row r="68" spans="2:9" ht="15" customHeight="1" outlineLevel="1">
      <c r="B68" s="50" t="s">
        <v>104</v>
      </c>
      <c r="C68" s="51" t="s">
        <v>73</v>
      </c>
      <c r="D68" s="51" t="s">
        <v>109</v>
      </c>
      <c r="E68" s="51"/>
    </row>
    <row r="69" spans="2:9" ht="15" customHeight="1" outlineLevel="1">
      <c r="B69" s="50" t="s">
        <v>84</v>
      </c>
      <c r="C69" s="51" t="s">
        <v>73</v>
      </c>
      <c r="D69" s="51" t="s">
        <v>109</v>
      </c>
      <c r="E69" s="51"/>
    </row>
    <row r="70" spans="2:9" ht="15" customHeight="1" outlineLevel="1">
      <c r="B70" s="50" t="s">
        <v>49</v>
      </c>
      <c r="C70" s="51" t="s">
        <v>73</v>
      </c>
      <c r="D70" s="51" t="s">
        <v>109</v>
      </c>
      <c r="E70" s="51"/>
    </row>
    <row r="71" spans="2:9" ht="15" customHeight="1" outlineLevel="1">
      <c r="B71" s="50" t="s">
        <v>47</v>
      </c>
      <c r="C71" s="51" t="s">
        <v>73</v>
      </c>
      <c r="D71" s="51" t="s">
        <v>109</v>
      </c>
      <c r="E71" s="51"/>
    </row>
    <row r="72" spans="2:9" ht="15" customHeight="1" outlineLevel="1">
      <c r="B72" s="50" t="s">
        <v>46</v>
      </c>
      <c r="C72" s="51" t="s">
        <v>73</v>
      </c>
      <c r="D72" s="51" t="s">
        <v>109</v>
      </c>
      <c r="E72" s="51"/>
    </row>
    <row r="73" spans="2:9" ht="15" customHeight="1" outlineLevel="1">
      <c r="B73" s="50" t="s">
        <v>83</v>
      </c>
      <c r="C73" s="51" t="s">
        <v>73</v>
      </c>
      <c r="D73" s="51" t="s">
        <v>109</v>
      </c>
      <c r="E73" s="51"/>
    </row>
    <row r="74" spans="2:9" ht="15" customHeight="1" outlineLevel="1">
      <c r="B74" s="50" t="s">
        <v>50</v>
      </c>
      <c r="C74" s="51" t="s">
        <v>73</v>
      </c>
      <c r="D74" s="51" t="s">
        <v>109</v>
      </c>
      <c r="E74" s="51"/>
    </row>
    <row r="75" spans="2:9" ht="15" customHeight="1" outlineLevel="1">
      <c r="B75" s="50" t="s">
        <v>43</v>
      </c>
      <c r="C75" s="51" t="s">
        <v>73</v>
      </c>
      <c r="D75" s="51" t="s">
        <v>109</v>
      </c>
      <c r="E75" s="51"/>
    </row>
    <row r="76" spans="2:9" ht="15" customHeight="1" outlineLevel="1">
      <c r="B76" s="50" t="s">
        <v>44</v>
      </c>
      <c r="C76" s="51" t="s">
        <v>73</v>
      </c>
      <c r="D76" s="51" t="s">
        <v>109</v>
      </c>
      <c r="E76" s="51"/>
    </row>
    <row r="77" spans="2:9" ht="15" customHeight="1" outlineLevel="1">
      <c r="B77" s="57"/>
      <c r="C77" s="58"/>
      <c r="D77" s="59"/>
      <c r="E77" s="60"/>
    </row>
    <row r="80" spans="2:9" customFormat="1" ht="37.5">
      <c r="B80" s="61" t="s">
        <v>57</v>
      </c>
      <c r="F80" s="49"/>
      <c r="G80" s="49"/>
      <c r="H80" s="49"/>
      <c r="I80" s="49"/>
    </row>
    <row r="81" spans="2:9" customFormat="1" ht="12.75" customHeight="1">
      <c r="F81" s="49"/>
      <c r="G81" s="49"/>
      <c r="H81" s="49"/>
      <c r="I81" s="49"/>
    </row>
    <row r="82" spans="2:9" customFormat="1" ht="21.75" customHeight="1" outlineLevel="1">
      <c r="B82" s="534" t="s">
        <v>106</v>
      </c>
      <c r="C82" s="534"/>
      <c r="D82" s="534"/>
      <c r="E82" s="534"/>
      <c r="F82" s="49"/>
      <c r="G82" s="49"/>
      <c r="H82" s="49"/>
      <c r="I82" s="49"/>
    </row>
    <row r="83" spans="2:9" s="45" customFormat="1" ht="15" customHeight="1" outlineLevel="1">
      <c r="F83" s="49"/>
      <c r="G83" s="49"/>
      <c r="H83" s="49"/>
      <c r="I83" s="49"/>
    </row>
    <row r="84" spans="2:9" s="45" customFormat="1" ht="15" customHeight="1" outlineLevel="1">
      <c r="B84" s="62" t="s">
        <v>21</v>
      </c>
      <c r="C84" s="63" t="s">
        <v>105</v>
      </c>
      <c r="D84" s="63" t="s">
        <v>107</v>
      </c>
      <c r="E84" s="63" t="s">
        <v>108</v>
      </c>
      <c r="F84" s="49"/>
      <c r="G84" s="49"/>
      <c r="H84" s="49"/>
      <c r="I84" s="49"/>
    </row>
    <row r="85" spans="2:9" ht="15" customHeight="1" outlineLevel="1">
      <c r="B85" s="50" t="s">
        <v>85</v>
      </c>
      <c r="C85" s="51" t="s">
        <v>75</v>
      </c>
      <c r="D85" s="51" t="s">
        <v>109</v>
      </c>
      <c r="E85" s="51"/>
    </row>
    <row r="86" spans="2:9" ht="15" customHeight="1" outlineLevel="1">
      <c r="B86" s="50" t="s">
        <v>86</v>
      </c>
      <c r="C86" s="51" t="s">
        <v>75</v>
      </c>
      <c r="D86" s="51" t="s">
        <v>109</v>
      </c>
      <c r="E86" s="51"/>
    </row>
    <row r="87" spans="2:9" ht="15" customHeight="1" outlineLevel="1">
      <c r="B87" s="50" t="s">
        <v>87</v>
      </c>
      <c r="C87" s="51" t="s">
        <v>75</v>
      </c>
      <c r="D87" s="51" t="s">
        <v>109</v>
      </c>
      <c r="E87" s="51"/>
    </row>
    <row r="88" spans="2:9" ht="15" customHeight="1" outlineLevel="1">
      <c r="B88" s="50" t="s">
        <v>88</v>
      </c>
      <c r="C88" s="51" t="s">
        <v>75</v>
      </c>
      <c r="D88" s="51" t="s">
        <v>109</v>
      </c>
      <c r="E88" s="51"/>
    </row>
    <row r="89" spans="2:9" ht="15" customHeight="1" outlineLevel="1">
      <c r="B89" s="50" t="s">
        <v>90</v>
      </c>
      <c r="C89" s="51" t="s">
        <v>75</v>
      </c>
      <c r="D89" s="51" t="s">
        <v>109</v>
      </c>
      <c r="E89" s="51"/>
    </row>
    <row r="90" spans="2:9" ht="15" customHeight="1" outlineLevel="1">
      <c r="B90" s="50" t="s">
        <v>89</v>
      </c>
      <c r="C90" s="51" t="s">
        <v>75</v>
      </c>
      <c r="D90" s="51" t="s">
        <v>109</v>
      </c>
      <c r="E90" s="51"/>
    </row>
    <row r="91" spans="2:9" ht="15" customHeight="1" outlineLevel="1">
      <c r="B91" s="50" t="s">
        <v>99</v>
      </c>
      <c r="C91" s="51" t="s">
        <v>75</v>
      </c>
      <c r="D91" s="51" t="s">
        <v>109</v>
      </c>
      <c r="E91" s="51"/>
    </row>
    <row r="92" spans="2:9" ht="15" customHeight="1" outlineLevel="1">
      <c r="B92" s="62" t="s">
        <v>22</v>
      </c>
      <c r="C92" s="63" t="s">
        <v>105</v>
      </c>
      <c r="D92" s="63" t="s">
        <v>107</v>
      </c>
      <c r="E92" s="63" t="s">
        <v>108</v>
      </c>
    </row>
    <row r="93" spans="2:9" ht="15" customHeight="1" outlineLevel="1">
      <c r="B93" s="50" t="s">
        <v>52</v>
      </c>
      <c r="C93" s="51" t="s">
        <v>75</v>
      </c>
      <c r="D93" s="51" t="s">
        <v>109</v>
      </c>
      <c r="E93" s="51"/>
    </row>
    <row r="94" spans="2:9" ht="15" customHeight="1" outlineLevel="1">
      <c r="B94" s="50" t="s">
        <v>53</v>
      </c>
      <c r="C94" s="51" t="s">
        <v>75</v>
      </c>
      <c r="D94" s="51" t="s">
        <v>109</v>
      </c>
      <c r="E94" s="51"/>
    </row>
    <row r="95" spans="2:9" ht="15" customHeight="1" outlineLevel="1">
      <c r="B95" s="50" t="s">
        <v>54</v>
      </c>
      <c r="C95" s="51" t="s">
        <v>75</v>
      </c>
      <c r="D95" s="51" t="s">
        <v>109</v>
      </c>
      <c r="E95" s="51"/>
    </row>
    <row r="96" spans="2:9" ht="15" customHeight="1" outlineLevel="1">
      <c r="B96" s="50" t="s">
        <v>83</v>
      </c>
      <c r="C96" s="51" t="s">
        <v>75</v>
      </c>
      <c r="D96" s="51" t="s">
        <v>109</v>
      </c>
      <c r="E96" s="51"/>
    </row>
    <row r="97" spans="2:5" ht="15" customHeight="1" outlineLevel="1">
      <c r="B97" s="50" t="s">
        <v>100</v>
      </c>
      <c r="C97" s="51" t="s">
        <v>75</v>
      </c>
      <c r="D97" s="51" t="s">
        <v>109</v>
      </c>
      <c r="E97" s="51"/>
    </row>
    <row r="98" spans="2:5" ht="15" customHeight="1" outlineLevel="1">
      <c r="B98" s="50" t="s">
        <v>101</v>
      </c>
      <c r="C98" s="51" t="s">
        <v>75</v>
      </c>
      <c r="D98" s="51" t="s">
        <v>109</v>
      </c>
      <c r="E98" s="51"/>
    </row>
    <row r="99" spans="2:5" ht="15" customHeight="1" outlineLevel="1">
      <c r="B99" s="50" t="s">
        <v>102</v>
      </c>
      <c r="C99" s="51" t="s">
        <v>75</v>
      </c>
      <c r="D99" s="51" t="s">
        <v>109</v>
      </c>
      <c r="E99" s="51"/>
    </row>
    <row r="100" spans="2:5" ht="15" customHeight="1" outlineLevel="1">
      <c r="B100" s="62" t="s">
        <v>18</v>
      </c>
      <c r="C100" s="63" t="s">
        <v>105</v>
      </c>
      <c r="D100" s="63" t="s">
        <v>107</v>
      </c>
      <c r="E100" s="63" t="s">
        <v>108</v>
      </c>
    </row>
    <row r="101" spans="2:5" ht="15" customHeight="1" outlineLevel="1">
      <c r="B101" s="50" t="s">
        <v>20</v>
      </c>
      <c r="C101" s="51" t="s">
        <v>23</v>
      </c>
      <c r="D101" s="51" t="s">
        <v>109</v>
      </c>
      <c r="E101" s="51"/>
    </row>
    <row r="102" spans="2:5" ht="15" customHeight="1" outlineLevel="1">
      <c r="B102" s="50" t="s">
        <v>27</v>
      </c>
      <c r="C102" s="51" t="s">
        <v>23</v>
      </c>
      <c r="D102" s="51" t="s">
        <v>109</v>
      </c>
      <c r="E102" s="51"/>
    </row>
    <row r="103" spans="2:5" ht="15" customHeight="1" outlineLevel="1">
      <c r="B103" s="50" t="s">
        <v>33</v>
      </c>
      <c r="C103" s="51" t="s">
        <v>23</v>
      </c>
      <c r="D103" s="51" t="s">
        <v>109</v>
      </c>
      <c r="E103" s="51"/>
    </row>
    <row r="104" spans="2:5" ht="15" customHeight="1" outlineLevel="1">
      <c r="B104" s="50" t="s">
        <v>60</v>
      </c>
      <c r="C104" s="51" t="s">
        <v>23</v>
      </c>
      <c r="D104" s="51" t="s">
        <v>109</v>
      </c>
      <c r="E104" s="51"/>
    </row>
    <row r="105" spans="2:5" ht="15" customHeight="1" outlineLevel="1">
      <c r="B105" s="50" t="s">
        <v>78</v>
      </c>
      <c r="C105" s="51" t="s">
        <v>23</v>
      </c>
      <c r="D105" s="51" t="s">
        <v>109</v>
      </c>
      <c r="E105" s="51"/>
    </row>
    <row r="106" spans="2:5" ht="15" customHeight="1" outlineLevel="1">
      <c r="B106" s="50" t="s">
        <v>51</v>
      </c>
      <c r="C106" s="51" t="s">
        <v>75</v>
      </c>
      <c r="D106" s="51" t="s">
        <v>109</v>
      </c>
      <c r="E106" s="51"/>
    </row>
    <row r="107" spans="2:5" ht="15" customHeight="1" outlineLevel="1">
      <c r="B107" s="50" t="s">
        <v>62</v>
      </c>
      <c r="C107" s="51" t="s">
        <v>76</v>
      </c>
      <c r="D107" s="51" t="s">
        <v>109</v>
      </c>
      <c r="E107" s="51"/>
    </row>
    <row r="108" spans="2:5" ht="15" customHeight="1" outlineLevel="1">
      <c r="B108" s="50" t="s">
        <v>63</v>
      </c>
      <c r="C108" s="51" t="s">
        <v>76</v>
      </c>
      <c r="D108" s="51" t="s">
        <v>109</v>
      </c>
      <c r="E108" s="51"/>
    </row>
    <row r="109" spans="2:5" ht="15" customHeight="1" outlineLevel="1">
      <c r="B109" s="50" t="s">
        <v>61</v>
      </c>
      <c r="C109" s="51" t="s">
        <v>76</v>
      </c>
      <c r="D109" s="51" t="s">
        <v>109</v>
      </c>
      <c r="E109" s="51"/>
    </row>
    <row r="110" spans="2:5" ht="15" customHeight="1" outlineLevel="1">
      <c r="B110" s="62" t="s">
        <v>13</v>
      </c>
      <c r="C110" s="63" t="s">
        <v>105</v>
      </c>
      <c r="D110" s="63" t="s">
        <v>107</v>
      </c>
      <c r="E110" s="63" t="s">
        <v>108</v>
      </c>
    </row>
    <row r="111" spans="2:5" ht="15" customHeight="1" outlineLevel="1">
      <c r="B111" s="50" t="s">
        <v>34</v>
      </c>
      <c r="C111" s="51" t="s">
        <v>75</v>
      </c>
      <c r="D111" s="51" t="s">
        <v>109</v>
      </c>
      <c r="E111" s="51"/>
    </row>
    <row r="112" spans="2:5" ht="15" customHeight="1" outlineLevel="1">
      <c r="B112" s="50" t="s">
        <v>70</v>
      </c>
      <c r="C112" s="51" t="s">
        <v>75</v>
      </c>
      <c r="D112" s="51" t="s">
        <v>109</v>
      </c>
      <c r="E112" s="51"/>
    </row>
    <row r="113" spans="2:9" ht="15" customHeight="1" outlineLevel="1">
      <c r="B113" s="50" t="s">
        <v>72</v>
      </c>
      <c r="C113" s="51" t="s">
        <v>75</v>
      </c>
      <c r="D113" s="51" t="s">
        <v>109</v>
      </c>
      <c r="E113" s="51"/>
    </row>
    <row r="114" spans="2:9" ht="15" customHeight="1" outlineLevel="1">
      <c r="B114" s="50" t="s">
        <v>117</v>
      </c>
      <c r="C114" s="51" t="s">
        <v>75</v>
      </c>
      <c r="D114" s="51" t="s">
        <v>109</v>
      </c>
      <c r="E114" s="51"/>
    </row>
    <row r="115" spans="2:9" ht="15" customHeight="1" outlineLevel="1">
      <c r="B115" s="50" t="s">
        <v>124</v>
      </c>
      <c r="C115" s="51" t="s">
        <v>75</v>
      </c>
      <c r="D115" s="51" t="s">
        <v>109</v>
      </c>
      <c r="E115" s="51"/>
    </row>
    <row r="116" spans="2:9" ht="12.75" customHeight="1" outlineLevel="1"/>
    <row r="117" spans="2:9" ht="12.75" customHeight="1" outlineLevel="1"/>
    <row r="120" spans="2:9" customFormat="1" ht="37.5">
      <c r="B120" s="64" t="s">
        <v>58</v>
      </c>
      <c r="F120" s="49"/>
      <c r="G120" s="49"/>
      <c r="H120" s="49"/>
      <c r="I120" s="49"/>
    </row>
    <row r="121" spans="2:9" customFormat="1" ht="12.75" customHeight="1">
      <c r="F121" s="49"/>
      <c r="G121" s="49"/>
      <c r="H121" s="49"/>
      <c r="I121" s="49"/>
    </row>
    <row r="122" spans="2:9" customFormat="1" ht="21.75" customHeight="1" outlineLevel="1">
      <c r="B122" s="535" t="s">
        <v>106</v>
      </c>
      <c r="C122" s="535"/>
      <c r="D122" s="535"/>
      <c r="E122" s="535"/>
      <c r="F122" s="49"/>
      <c r="G122" s="49"/>
      <c r="H122" s="49"/>
      <c r="I122" s="49"/>
    </row>
    <row r="123" spans="2:9" customFormat="1" ht="15" customHeight="1" outlineLevel="1">
      <c r="F123" s="49"/>
      <c r="G123" s="49"/>
      <c r="H123" s="49"/>
      <c r="I123" s="49"/>
    </row>
    <row r="124" spans="2:9" customFormat="1" ht="15" customHeight="1" outlineLevel="1">
      <c r="B124" s="65" t="s">
        <v>21</v>
      </c>
      <c r="C124" s="66" t="s">
        <v>105</v>
      </c>
      <c r="D124" s="66" t="s">
        <v>107</v>
      </c>
      <c r="E124" s="66" t="s">
        <v>108</v>
      </c>
      <c r="F124" s="49"/>
      <c r="G124" s="49"/>
      <c r="H124" s="49"/>
      <c r="I124" s="49"/>
    </row>
    <row r="125" spans="2:9" s="45" customFormat="1" ht="15" customHeight="1" outlineLevel="1">
      <c r="B125" s="50" t="s">
        <v>119</v>
      </c>
      <c r="C125" s="50"/>
      <c r="D125" s="51" t="s">
        <v>109</v>
      </c>
      <c r="E125" s="51"/>
    </row>
    <row r="126" spans="2:9" s="45" customFormat="1" ht="15" customHeight="1" outlineLevel="1">
      <c r="B126" s="50" t="s">
        <v>120</v>
      </c>
      <c r="C126" s="50"/>
      <c r="D126" s="51" t="s">
        <v>109</v>
      </c>
      <c r="E126" s="51"/>
    </row>
    <row r="127" spans="2:9" s="45" customFormat="1" ht="15" customHeight="1" outlineLevel="1">
      <c r="B127" s="50" t="s">
        <v>121</v>
      </c>
      <c r="C127" s="50"/>
      <c r="D127" s="51" t="s">
        <v>109</v>
      </c>
      <c r="E127" s="51"/>
    </row>
    <row r="128" spans="2:9" s="45" customFormat="1" ht="15" customHeight="1" outlineLevel="1">
      <c r="B128" s="50" t="s">
        <v>122</v>
      </c>
      <c r="C128" s="50"/>
      <c r="D128" s="51" t="s">
        <v>109</v>
      </c>
      <c r="E128" s="51"/>
    </row>
    <row r="129" spans="2:5" s="45" customFormat="1" ht="15" customHeight="1" outlineLevel="1">
      <c r="B129" s="50" t="s">
        <v>123</v>
      </c>
      <c r="C129" s="50"/>
      <c r="D129" s="51" t="s">
        <v>109</v>
      </c>
      <c r="E129" s="51"/>
    </row>
    <row r="130" spans="2:5" s="45" customFormat="1" ht="15" customHeight="1" outlineLevel="1">
      <c r="B130" s="65" t="s">
        <v>18</v>
      </c>
      <c r="C130" s="66" t="s">
        <v>105</v>
      </c>
      <c r="D130" s="66" t="s">
        <v>107</v>
      </c>
      <c r="E130" s="66" t="s">
        <v>108</v>
      </c>
    </row>
    <row r="131" spans="2:5" s="45" customFormat="1" ht="15" customHeight="1" outlineLevel="1">
      <c r="B131" s="50" t="s">
        <v>62</v>
      </c>
      <c r="C131" s="50"/>
      <c r="D131" s="51" t="s">
        <v>109</v>
      </c>
      <c r="E131" s="51"/>
    </row>
    <row r="132" spans="2:5" s="45" customFormat="1" ht="15" customHeight="1" outlineLevel="1">
      <c r="B132" s="50" t="s">
        <v>61</v>
      </c>
      <c r="C132" s="50"/>
      <c r="D132" s="51" t="s">
        <v>109</v>
      </c>
      <c r="E132" s="51"/>
    </row>
    <row r="133" spans="2:5" s="45" customFormat="1" ht="15" customHeight="1" outlineLevel="1">
      <c r="B133" s="50" t="s">
        <v>127</v>
      </c>
      <c r="C133" s="50"/>
      <c r="D133" s="51" t="s">
        <v>109</v>
      </c>
      <c r="E133" s="51"/>
    </row>
    <row r="134" spans="2:5" customFormat="1" ht="15" customHeight="1" outlineLevel="1">
      <c r="B134" s="65" t="s">
        <v>13</v>
      </c>
      <c r="C134" s="66" t="s">
        <v>105</v>
      </c>
      <c r="D134" s="66" t="s">
        <v>107</v>
      </c>
      <c r="E134" s="66" t="s">
        <v>108</v>
      </c>
    </row>
    <row r="135" spans="2:5" customFormat="1" ht="15" customHeight="1" outlineLevel="1">
      <c r="B135" s="50" t="s">
        <v>20</v>
      </c>
      <c r="C135" s="50"/>
      <c r="D135" s="51" t="s">
        <v>109</v>
      </c>
      <c r="E135" s="51"/>
    </row>
    <row r="136" spans="2:5" customFormat="1" ht="15" customHeight="1" outlineLevel="1">
      <c r="B136" s="50" t="s">
        <v>24</v>
      </c>
      <c r="C136" s="50"/>
      <c r="D136" s="51" t="s">
        <v>109</v>
      </c>
      <c r="E136" s="51"/>
    </row>
    <row r="137" spans="2:5" customFormat="1" ht="15" customHeight="1" outlineLevel="1">
      <c r="B137" s="50" t="s">
        <v>30</v>
      </c>
      <c r="C137" s="50"/>
      <c r="D137" s="51" t="s">
        <v>109</v>
      </c>
      <c r="E137" s="51"/>
    </row>
    <row r="138" spans="2:5" customFormat="1" ht="15" customHeight="1" outlineLevel="1">
      <c r="B138" s="50" t="s">
        <v>35</v>
      </c>
      <c r="C138" s="50"/>
      <c r="D138" s="51" t="s">
        <v>109</v>
      </c>
      <c r="E138" s="51"/>
    </row>
    <row r="139" spans="2:5" ht="15" customHeight="1" outlineLevel="1">
      <c r="B139" s="50" t="s">
        <v>70</v>
      </c>
      <c r="C139" s="50"/>
      <c r="D139" s="51" t="s">
        <v>109</v>
      </c>
      <c r="E139" s="51"/>
    </row>
    <row r="140" spans="2:5" ht="15" customHeight="1" outlineLevel="1">
      <c r="B140" s="50" t="s">
        <v>115</v>
      </c>
      <c r="C140" s="50"/>
      <c r="D140" s="51" t="s">
        <v>109</v>
      </c>
      <c r="E140" s="51"/>
    </row>
    <row r="141" spans="2:5" ht="15" customHeight="1" outlineLevel="1">
      <c r="B141" s="50" t="s">
        <v>116</v>
      </c>
      <c r="C141" s="50"/>
      <c r="D141" s="51" t="s">
        <v>109</v>
      </c>
      <c r="E141" s="51"/>
    </row>
    <row r="142" spans="2:5" ht="15" customHeight="1" outlineLevel="1">
      <c r="B142" s="50" t="s">
        <v>117</v>
      </c>
      <c r="C142" s="50"/>
      <c r="D142" s="51" t="s">
        <v>109</v>
      </c>
      <c r="E142" s="51"/>
    </row>
    <row r="143" spans="2:5" ht="15" customHeight="1" outlineLevel="1">
      <c r="B143" s="50" t="s">
        <v>118</v>
      </c>
      <c r="C143" s="50"/>
      <c r="D143" s="51" t="s">
        <v>109</v>
      </c>
      <c r="E143" s="51"/>
    </row>
    <row r="144" spans="2:5" ht="15" customHeight="1" outlineLevel="1">
      <c r="B144" s="50" t="s">
        <v>124</v>
      </c>
      <c r="C144" s="50"/>
      <c r="D144" s="51" t="s">
        <v>109</v>
      </c>
      <c r="E144" s="51"/>
    </row>
    <row r="145" spans="2:5" ht="15" customHeight="1" outlineLevel="1">
      <c r="B145" s="50" t="s">
        <v>125</v>
      </c>
      <c r="C145" s="50"/>
      <c r="D145" s="51" t="s">
        <v>109</v>
      </c>
      <c r="E145" s="51"/>
    </row>
    <row r="146" spans="2:5" ht="15" customHeight="1" outlineLevel="1">
      <c r="B146" s="50" t="s">
        <v>126</v>
      </c>
      <c r="C146" s="50"/>
      <c r="D146" s="51" t="s">
        <v>109</v>
      </c>
      <c r="E146" s="51"/>
    </row>
    <row r="147" spans="2:5" ht="12.75" customHeight="1" outlineLevel="1"/>
    <row r="148" spans="2:5" ht="12.75" customHeight="1" outlineLevel="1"/>
  </sheetData>
  <mergeCells count="4">
    <mergeCell ref="B82:E82"/>
    <mergeCell ref="B122:E122"/>
    <mergeCell ref="B5:E5"/>
    <mergeCell ref="B26:E26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5BD0-860B-4EF0-9773-C5839A68C246}">
  <sheetPr>
    <tabColor rgb="FF002060"/>
    <pageSetUpPr fitToPage="1"/>
  </sheetPr>
  <dimension ref="B2:P600"/>
  <sheetViews>
    <sheetView showGridLines="0" zoomScale="90" zoomScaleNormal="90" workbookViewId="0">
      <selection activeCell="B2" sqref="B2:P3"/>
    </sheetView>
  </sheetViews>
  <sheetFormatPr defaultRowHeight="14.25"/>
  <cols>
    <col min="1" max="1" width="2.42578125" style="210" customWidth="1"/>
    <col min="2" max="2" width="7.7109375" style="210" customWidth="1"/>
    <col min="3" max="3" width="43.140625" style="210" customWidth="1"/>
    <col min="4" max="4" width="12.7109375" style="210" customWidth="1"/>
    <col min="5" max="5" width="46.85546875" style="210" customWidth="1"/>
    <col min="6" max="6" width="4.28515625" style="210" customWidth="1"/>
    <col min="7" max="7" width="61.7109375" style="210" bestFit="1" customWidth="1"/>
    <col min="8" max="8" width="3.5703125" style="45" customWidth="1"/>
    <col min="9" max="9" width="22" style="16" customWidth="1"/>
    <col min="10" max="10" width="3.5703125" style="45" customWidth="1"/>
    <col min="11" max="11" width="23" style="16" bestFit="1" customWidth="1"/>
    <col min="12" max="12" width="3.5703125" style="45" customWidth="1"/>
    <col min="13" max="13" width="31.85546875" style="16" customWidth="1"/>
    <col min="14" max="14" width="3.5703125" style="45" customWidth="1"/>
    <col min="15" max="15" width="20.42578125" style="81" customWidth="1"/>
    <col min="16" max="16" width="3.7109375" style="81" customWidth="1"/>
    <col min="17" max="16384" width="9.140625" style="210"/>
  </cols>
  <sheetData>
    <row r="2" spans="2:16" ht="14.25" customHeight="1">
      <c r="B2" s="538" t="s">
        <v>1434</v>
      </c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</row>
    <row r="3" spans="2:16" ht="27.75" customHeight="1"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</row>
    <row r="4" spans="2:16" ht="19.5" customHeight="1">
      <c r="I4" s="79"/>
      <c r="K4" s="79"/>
      <c r="M4" s="79"/>
    </row>
    <row r="5" spans="2:16" ht="15">
      <c r="B5" s="539" t="s">
        <v>406</v>
      </c>
      <c r="C5" s="539" t="s">
        <v>8</v>
      </c>
      <c r="E5" s="221" t="s">
        <v>291</v>
      </c>
      <c r="G5" s="221" t="s">
        <v>1433</v>
      </c>
      <c r="I5" s="221" t="s">
        <v>128</v>
      </c>
      <c r="K5" s="221" t="s">
        <v>130</v>
      </c>
      <c r="M5" s="221" t="s">
        <v>297</v>
      </c>
      <c r="O5" s="221" t="s">
        <v>11</v>
      </c>
      <c r="P5" s="172"/>
    </row>
    <row r="6" spans="2:16" ht="6.75" customHeight="1">
      <c r="B6" s="540"/>
      <c r="C6" s="540"/>
      <c r="E6" s="220"/>
      <c r="G6" s="219"/>
      <c r="H6"/>
      <c r="I6"/>
      <c r="J6"/>
      <c r="K6"/>
      <c r="L6"/>
      <c r="M6"/>
      <c r="N6"/>
      <c r="O6"/>
      <c r="P6"/>
    </row>
    <row r="7" spans="2:16" ht="26.25" customHeight="1">
      <c r="B7" s="228"/>
      <c r="C7" s="228"/>
      <c r="E7" s="541" t="s">
        <v>405</v>
      </c>
      <c r="G7" s="541" t="s">
        <v>404</v>
      </c>
      <c r="H7" s="226"/>
      <c r="I7" s="225"/>
      <c r="J7" s="226"/>
      <c r="K7" s="225"/>
      <c r="L7" s="226"/>
      <c r="M7" s="225"/>
      <c r="N7" s="226"/>
      <c r="O7" s="225"/>
      <c r="P7" s="225"/>
    </row>
    <row r="8" spans="2:16">
      <c r="B8" s="229" t="s">
        <v>423</v>
      </c>
      <c r="C8" s="230"/>
      <c r="E8" s="542"/>
      <c r="G8" s="542"/>
      <c r="H8" s="226"/>
      <c r="I8" s="225"/>
      <c r="J8" s="226"/>
      <c r="K8" s="225" t="s">
        <v>137</v>
      </c>
      <c r="L8" s="226"/>
      <c r="M8" s="225" t="s">
        <v>735</v>
      </c>
      <c r="N8" s="226"/>
      <c r="O8" s="265" t="s">
        <v>268</v>
      </c>
    </row>
    <row r="9" spans="2:16">
      <c r="B9" s="231" t="s">
        <v>403</v>
      </c>
      <c r="C9" s="231" t="s">
        <v>402</v>
      </c>
      <c r="H9" s="226"/>
      <c r="I9" s="329" t="s">
        <v>138</v>
      </c>
      <c r="J9" s="226"/>
      <c r="K9" s="225" t="s">
        <v>1045</v>
      </c>
      <c r="L9" s="226"/>
      <c r="M9" s="225" t="s">
        <v>729</v>
      </c>
      <c r="N9" s="226"/>
      <c r="O9" s="80" t="s">
        <v>144</v>
      </c>
    </row>
    <row r="10" spans="2:16" ht="15">
      <c r="B10" s="233" t="s">
        <v>229</v>
      </c>
      <c r="C10" s="233" t="s">
        <v>196</v>
      </c>
      <c r="E10" s="218" t="s">
        <v>423</v>
      </c>
      <c r="G10" s="239" t="s">
        <v>453</v>
      </c>
      <c r="H10" s="226"/>
      <c r="I10" s="329" t="s">
        <v>136</v>
      </c>
      <c r="J10" s="226"/>
      <c r="K10" s="225" t="s">
        <v>1046</v>
      </c>
      <c r="L10" s="226"/>
      <c r="M10" s="225" t="s">
        <v>730</v>
      </c>
      <c r="N10" s="226"/>
      <c r="O10" s="28"/>
      <c r="P10"/>
    </row>
    <row r="11" spans="2:16">
      <c r="B11" s="233" t="s">
        <v>230</v>
      </c>
      <c r="C11" s="233" t="s">
        <v>447</v>
      </c>
      <c r="E11" s="215" t="s">
        <v>399</v>
      </c>
      <c r="G11" s="217" t="s">
        <v>457</v>
      </c>
      <c r="H11" s="226"/>
      <c r="I11" s="329" t="s">
        <v>534</v>
      </c>
      <c r="J11" s="226"/>
      <c r="K11" s="225" t="s">
        <v>197</v>
      </c>
      <c r="L11" s="226"/>
      <c r="M11" s="225" t="s">
        <v>736</v>
      </c>
      <c r="N11" s="226"/>
      <c r="O11" s="80" t="s">
        <v>135</v>
      </c>
      <c r="P11"/>
    </row>
    <row r="12" spans="2:16" ht="14.25" customHeight="1">
      <c r="B12" s="232"/>
      <c r="C12" s="232"/>
      <c r="E12" s="215" t="s">
        <v>397</v>
      </c>
      <c r="G12" s="245" t="s">
        <v>531</v>
      </c>
      <c r="H12" s="226"/>
      <c r="I12" s="329" t="s">
        <v>637</v>
      </c>
      <c r="J12" s="226"/>
      <c r="K12" s="225" t="s">
        <v>150</v>
      </c>
      <c r="L12" s="226"/>
      <c r="M12" s="225"/>
      <c r="N12" s="226"/>
      <c r="O12" s="80" t="s">
        <v>265</v>
      </c>
      <c r="P12"/>
    </row>
    <row r="13" spans="2:16" ht="14.25" customHeight="1">
      <c r="B13" s="231" t="s">
        <v>401</v>
      </c>
      <c r="C13" s="231" t="s">
        <v>400</v>
      </c>
      <c r="E13" s="215" t="s">
        <v>395</v>
      </c>
      <c r="H13" s="226"/>
      <c r="I13" s="329" t="s">
        <v>131</v>
      </c>
      <c r="J13" s="226"/>
      <c r="K13" s="225" t="s">
        <v>134</v>
      </c>
      <c r="L13" s="226"/>
      <c r="M13" s="225"/>
      <c r="N13" s="226"/>
      <c r="O13" s="266" t="s">
        <v>587</v>
      </c>
      <c r="P13"/>
    </row>
    <row r="14" spans="2:16" ht="15">
      <c r="B14" s="233" t="s">
        <v>245</v>
      </c>
      <c r="C14" s="233" t="s">
        <v>398</v>
      </c>
      <c r="E14" s="215" t="s">
        <v>394</v>
      </c>
      <c r="G14" s="239" t="s">
        <v>444</v>
      </c>
      <c r="H14" s="226"/>
      <c r="I14" s="225"/>
      <c r="J14" s="226"/>
      <c r="K14" s="225" t="s">
        <v>485</v>
      </c>
      <c r="L14" s="226"/>
      <c r="M14" s="225"/>
      <c r="N14" s="226"/>
      <c r="O14" s="267" t="s">
        <v>586</v>
      </c>
      <c r="P14"/>
    </row>
    <row r="15" spans="2:16">
      <c r="B15" s="233" t="s">
        <v>246</v>
      </c>
      <c r="C15" s="233" t="s">
        <v>396</v>
      </c>
      <c r="E15" s="215" t="s">
        <v>391</v>
      </c>
      <c r="G15" s="217" t="s">
        <v>455</v>
      </c>
      <c r="H15" s="226"/>
      <c r="I15" s="225"/>
      <c r="J15" s="226"/>
      <c r="K15" s="225" t="s">
        <v>131</v>
      </c>
      <c r="L15" s="226"/>
      <c r="M15" s="225"/>
      <c r="N15" s="226"/>
      <c r="O15" s="28"/>
      <c r="P15"/>
    </row>
    <row r="16" spans="2:16" ht="14.25" customHeight="1">
      <c r="B16" s="232"/>
      <c r="C16" s="232"/>
      <c r="E16" s="215" t="s">
        <v>390</v>
      </c>
      <c r="G16" s="217" t="s">
        <v>456</v>
      </c>
      <c r="H16" s="226"/>
      <c r="I16" s="225"/>
      <c r="J16" s="226"/>
      <c r="L16" s="226"/>
      <c r="M16" s="225"/>
      <c r="N16" s="226"/>
      <c r="O16" s="268" t="s">
        <v>158</v>
      </c>
      <c r="P16"/>
    </row>
    <row r="17" spans="2:16" ht="14.25" customHeight="1">
      <c r="B17" s="231" t="s">
        <v>393</v>
      </c>
      <c r="C17" s="231" t="s">
        <v>392</v>
      </c>
      <c r="E17" s="215" t="s">
        <v>387</v>
      </c>
      <c r="H17" s="226"/>
      <c r="I17" s="225"/>
      <c r="J17" s="226"/>
      <c r="K17" s="225"/>
      <c r="L17" s="226"/>
      <c r="M17" s="225"/>
      <c r="N17" s="226"/>
      <c r="O17" s="269" t="s">
        <v>151</v>
      </c>
      <c r="P17"/>
    </row>
    <row r="18" spans="2:16" ht="15">
      <c r="B18" s="233" t="s">
        <v>233</v>
      </c>
      <c r="C18" s="233" t="s">
        <v>211</v>
      </c>
      <c r="E18" s="215" t="s">
        <v>386</v>
      </c>
      <c r="G18" s="239" t="s">
        <v>458</v>
      </c>
      <c r="H18" s="226"/>
      <c r="I18" s="225"/>
      <c r="J18" s="226"/>
      <c r="L18" s="226"/>
      <c r="M18" s="225"/>
      <c r="N18" s="226"/>
      <c r="O18" s="269" t="s">
        <v>267</v>
      </c>
      <c r="P18"/>
    </row>
    <row r="19" spans="2:16" ht="14.25" customHeight="1">
      <c r="B19" s="232"/>
      <c r="C19" s="232"/>
      <c r="E19" s="215" t="s">
        <v>383</v>
      </c>
      <c r="G19" s="217" t="s">
        <v>454</v>
      </c>
      <c r="H19" s="226"/>
      <c r="I19" s="225"/>
      <c r="J19" s="226"/>
      <c r="K19" s="225"/>
      <c r="L19" s="226"/>
      <c r="M19" s="225"/>
      <c r="N19" s="226"/>
      <c r="O19" s="269" t="s">
        <v>159</v>
      </c>
      <c r="P19"/>
    </row>
    <row r="20" spans="2:16" ht="14.25" customHeight="1">
      <c r="B20" s="231" t="s">
        <v>389</v>
      </c>
      <c r="C20" s="231" t="s">
        <v>388</v>
      </c>
      <c r="E20" s="216"/>
      <c r="H20" s="226"/>
      <c r="I20" s="225"/>
      <c r="J20" s="226"/>
      <c r="K20" s="225"/>
      <c r="L20" s="226"/>
      <c r="M20" s="225"/>
      <c r="N20" s="226"/>
      <c r="O20" s="269" t="s">
        <v>521</v>
      </c>
      <c r="P20"/>
    </row>
    <row r="21" spans="2:16" ht="15">
      <c r="B21" s="233" t="s">
        <v>237</v>
      </c>
      <c r="C21" s="233" t="s">
        <v>211</v>
      </c>
      <c r="E21" s="214" t="s">
        <v>424</v>
      </c>
      <c r="G21" s="239" t="s">
        <v>459</v>
      </c>
      <c r="H21" s="226"/>
      <c r="I21" s="225"/>
      <c r="J21" s="226"/>
      <c r="K21" s="225"/>
      <c r="L21" s="226"/>
      <c r="M21" s="225"/>
      <c r="N21" s="226"/>
      <c r="O21" s="28"/>
      <c r="P21"/>
    </row>
    <row r="22" spans="2:16">
      <c r="B22" s="232"/>
      <c r="C22" s="234"/>
      <c r="E22" s="212" t="s">
        <v>298</v>
      </c>
      <c r="G22" s="217" t="s">
        <v>460</v>
      </c>
      <c r="H22" s="226"/>
      <c r="I22" s="225"/>
      <c r="J22" s="226"/>
      <c r="K22" s="225"/>
      <c r="L22" s="226"/>
      <c r="M22" s="225"/>
      <c r="N22" s="226"/>
      <c r="O22" s="270" t="s">
        <v>28</v>
      </c>
      <c r="P22"/>
    </row>
    <row r="23" spans="2:16">
      <c r="B23" s="231" t="s">
        <v>385</v>
      </c>
      <c r="C23" s="231" t="s">
        <v>384</v>
      </c>
      <c r="E23" s="212" t="s">
        <v>299</v>
      </c>
      <c r="H23" s="226"/>
      <c r="I23" s="225"/>
      <c r="J23" s="226"/>
      <c r="K23" s="225"/>
      <c r="L23" s="226"/>
      <c r="M23" s="225"/>
      <c r="N23" s="226"/>
      <c r="O23" s="270" t="s">
        <v>160</v>
      </c>
      <c r="P23"/>
    </row>
    <row r="24" spans="2:16" ht="15">
      <c r="B24" s="233" t="s">
        <v>236</v>
      </c>
      <c r="C24" s="233" t="s">
        <v>447</v>
      </c>
      <c r="E24" s="212" t="s">
        <v>300</v>
      </c>
      <c r="G24" s="239" t="s">
        <v>461</v>
      </c>
      <c r="H24" s="226"/>
      <c r="I24" s="225"/>
      <c r="J24" s="226"/>
      <c r="K24" s="225"/>
      <c r="L24" s="226"/>
      <c r="M24" s="225"/>
      <c r="N24" s="226"/>
      <c r="O24" s="270" t="s">
        <v>161</v>
      </c>
      <c r="P24"/>
    </row>
    <row r="25" spans="2:16" ht="14.25" customHeight="1">
      <c r="B25" s="233" t="s">
        <v>238</v>
      </c>
      <c r="C25" s="233" t="s">
        <v>446</v>
      </c>
      <c r="E25" s="212" t="s">
        <v>301</v>
      </c>
      <c r="G25" s="217" t="s">
        <v>462</v>
      </c>
      <c r="H25" s="226"/>
      <c r="I25" s="225"/>
      <c r="J25" s="226"/>
      <c r="K25" s="225"/>
      <c r="L25" s="226"/>
      <c r="M25" s="225"/>
      <c r="N25" s="226"/>
      <c r="O25" s="270" t="s">
        <v>207</v>
      </c>
      <c r="P25"/>
    </row>
    <row r="26" spans="2:16" ht="15">
      <c r="B26" s="232"/>
      <c r="C26" s="232"/>
      <c r="E26" s="213" t="s">
        <v>302</v>
      </c>
      <c r="G26" s="217" t="s">
        <v>463</v>
      </c>
      <c r="H26" s="223"/>
      <c r="I26" s="224"/>
      <c r="J26" s="223"/>
      <c r="K26" s="222"/>
      <c r="L26" s="223"/>
      <c r="M26" s="222"/>
      <c r="N26" s="223"/>
      <c r="O26" s="270" t="s">
        <v>266</v>
      </c>
      <c r="P26"/>
    </row>
    <row r="27" spans="2:16" ht="15">
      <c r="B27" s="231" t="s">
        <v>382</v>
      </c>
      <c r="C27" s="231" t="s">
        <v>381</v>
      </c>
      <c r="E27" s="242" t="s">
        <v>507</v>
      </c>
      <c r="H27" s="223"/>
      <c r="I27" s="224"/>
      <c r="J27" s="223"/>
      <c r="K27" s="222"/>
      <c r="L27" s="223"/>
      <c r="M27" s="222"/>
      <c r="N27" s="223"/>
      <c r="O27"/>
      <c r="P27"/>
    </row>
    <row r="28" spans="2:16" ht="15">
      <c r="B28" s="233" t="s">
        <v>448</v>
      </c>
      <c r="C28" s="233" t="s">
        <v>211</v>
      </c>
      <c r="E28" s="242" t="s">
        <v>508</v>
      </c>
      <c r="G28" s="239" t="s">
        <v>464</v>
      </c>
      <c r="H28" s="223"/>
      <c r="I28" s="224"/>
      <c r="J28" s="223"/>
      <c r="K28" s="222"/>
      <c r="L28" s="223"/>
      <c r="M28" s="222"/>
      <c r="N28" s="223"/>
      <c r="O28"/>
      <c r="P28"/>
    </row>
    <row r="29" spans="2:16" ht="15">
      <c r="B29" s="232"/>
      <c r="C29" s="232"/>
      <c r="E29" s="242" t="s">
        <v>509</v>
      </c>
      <c r="G29" s="217" t="s">
        <v>465</v>
      </c>
      <c r="H29" s="223"/>
      <c r="I29" s="224"/>
      <c r="J29" s="223"/>
      <c r="K29" s="222"/>
      <c r="L29" s="223"/>
      <c r="M29" s="222"/>
      <c r="N29" s="223"/>
      <c r="O29"/>
      <c r="P29"/>
    </row>
    <row r="30" spans="2:16" ht="15">
      <c r="B30" s="231" t="s">
        <v>380</v>
      </c>
      <c r="C30" s="231" t="s">
        <v>379</v>
      </c>
      <c r="E30" s="242" t="s">
        <v>510</v>
      </c>
      <c r="H30" s="223"/>
      <c r="I30" s="224"/>
      <c r="J30" s="223"/>
      <c r="K30" s="222"/>
      <c r="L30" s="223"/>
      <c r="M30" s="222"/>
      <c r="N30" s="223"/>
      <c r="O30"/>
      <c r="P30"/>
    </row>
    <row r="31" spans="2:16" ht="15">
      <c r="B31" s="233" t="s">
        <v>449</v>
      </c>
      <c r="C31" s="233" t="s">
        <v>211</v>
      </c>
      <c r="G31" s="239" t="s">
        <v>466</v>
      </c>
      <c r="I31" s="79"/>
    </row>
    <row r="32" spans="2:16">
      <c r="B32" s="232"/>
      <c r="C32" s="232"/>
      <c r="G32" s="217" t="s">
        <v>467</v>
      </c>
      <c r="I32" s="79"/>
      <c r="O32" s="16"/>
      <c r="P32" s="16"/>
    </row>
    <row r="33" spans="2:16">
      <c r="B33" s="231" t="s">
        <v>378</v>
      </c>
      <c r="C33" s="231" t="s">
        <v>377</v>
      </c>
      <c r="I33" s="79"/>
      <c r="O33" s="16"/>
      <c r="P33" s="16"/>
    </row>
    <row r="34" spans="2:16" ht="15">
      <c r="B34" s="233" t="s">
        <v>450</v>
      </c>
      <c r="C34" s="233" t="s">
        <v>447</v>
      </c>
      <c r="G34" s="239" t="s">
        <v>470</v>
      </c>
      <c r="I34" s="79"/>
      <c r="O34" s="16"/>
      <c r="P34" s="16"/>
    </row>
    <row r="35" spans="2:16">
      <c r="B35" s="233" t="s">
        <v>451</v>
      </c>
      <c r="C35" s="233" t="s">
        <v>446</v>
      </c>
      <c r="G35" s="217" t="s">
        <v>468</v>
      </c>
      <c r="I35" s="79"/>
      <c r="O35" s="16"/>
      <c r="P35" s="16"/>
    </row>
    <row r="36" spans="2:16">
      <c r="B36" s="232"/>
      <c r="C36" s="232"/>
      <c r="G36" s="217" t="s">
        <v>469</v>
      </c>
      <c r="I36" s="105"/>
      <c r="O36" s="16"/>
      <c r="P36" s="16"/>
    </row>
    <row r="37" spans="2:16">
      <c r="B37" s="231" t="s">
        <v>376</v>
      </c>
      <c r="C37" s="231" t="s">
        <v>375</v>
      </c>
      <c r="I37" s="79"/>
      <c r="O37" s="16"/>
      <c r="P37" s="16"/>
    </row>
    <row r="38" spans="2:16" ht="15">
      <c r="B38" s="233" t="s">
        <v>452</v>
      </c>
      <c r="C38" s="233" t="s">
        <v>211</v>
      </c>
      <c r="G38" s="239" t="s">
        <v>472</v>
      </c>
      <c r="I38" s="79"/>
      <c r="O38" s="16"/>
      <c r="P38" s="16"/>
    </row>
    <row r="39" spans="2:16">
      <c r="B39" s="234"/>
      <c r="C39" s="234"/>
      <c r="G39" s="217" t="s">
        <v>471</v>
      </c>
      <c r="I39" s="79"/>
      <c r="O39" s="16"/>
      <c r="P39" s="16"/>
    </row>
    <row r="40" spans="2:16">
      <c r="B40" s="235" t="s">
        <v>424</v>
      </c>
      <c r="C40" s="235"/>
      <c r="I40" s="79"/>
      <c r="O40" s="16"/>
      <c r="P40" s="16"/>
    </row>
    <row r="41" spans="2:16" ht="15">
      <c r="B41" s="236" t="s">
        <v>512</v>
      </c>
      <c r="C41" s="236" t="s">
        <v>481</v>
      </c>
      <c r="G41" s="240" t="s">
        <v>418</v>
      </c>
      <c r="I41" s="79"/>
      <c r="O41" s="16"/>
      <c r="P41" s="16"/>
    </row>
    <row r="42" spans="2:16">
      <c r="B42" s="237" t="s">
        <v>519</v>
      </c>
      <c r="C42" s="237" t="s">
        <v>373</v>
      </c>
      <c r="G42" s="243" t="s">
        <v>513</v>
      </c>
      <c r="I42" s="79"/>
      <c r="O42" s="16"/>
      <c r="P42" s="16"/>
    </row>
    <row r="43" spans="2:16">
      <c r="B43" s="237" t="s">
        <v>374</v>
      </c>
      <c r="C43" s="237" t="s">
        <v>371</v>
      </c>
      <c r="G43" s="243" t="s">
        <v>514</v>
      </c>
      <c r="I43" s="79"/>
      <c r="O43" s="16"/>
      <c r="P43" s="16"/>
    </row>
    <row r="44" spans="2:16">
      <c r="B44" s="237" t="s">
        <v>372</v>
      </c>
      <c r="C44" s="237" t="s">
        <v>442</v>
      </c>
      <c r="G44" s="243" t="s">
        <v>515</v>
      </c>
      <c r="I44" s="79"/>
      <c r="O44" s="16"/>
      <c r="P44" s="16"/>
    </row>
    <row r="45" spans="2:16">
      <c r="B45" s="237" t="s">
        <v>370</v>
      </c>
      <c r="C45" s="237" t="s">
        <v>443</v>
      </c>
      <c r="G45" s="243" t="s">
        <v>516</v>
      </c>
      <c r="I45" s="79"/>
      <c r="O45" s="16"/>
      <c r="P45" s="16"/>
    </row>
    <row r="46" spans="2:16">
      <c r="B46" s="237" t="s">
        <v>368</v>
      </c>
      <c r="C46" s="237" t="s">
        <v>369</v>
      </c>
      <c r="G46" s="243" t="s">
        <v>517</v>
      </c>
      <c r="I46" s="79"/>
      <c r="O46" s="16"/>
      <c r="P46" s="16"/>
    </row>
    <row r="47" spans="2:16">
      <c r="B47" s="237" t="s">
        <v>366</v>
      </c>
      <c r="C47" s="237" t="s">
        <v>367</v>
      </c>
      <c r="G47" s="243" t="s">
        <v>439</v>
      </c>
      <c r="I47" s="79"/>
      <c r="O47" s="16"/>
      <c r="P47" s="16"/>
    </row>
    <row r="48" spans="2:16">
      <c r="B48" s="237" t="s">
        <v>427</v>
      </c>
      <c r="C48" s="237" t="s">
        <v>429</v>
      </c>
      <c r="G48" s="243" t="s">
        <v>518</v>
      </c>
      <c r="I48" s="79"/>
      <c r="O48" s="16"/>
      <c r="P48" s="16"/>
    </row>
    <row r="49" spans="2:16">
      <c r="B49" s="237" t="s">
        <v>441</v>
      </c>
      <c r="C49" s="237" t="s">
        <v>428</v>
      </c>
      <c r="G49" s="243" t="s">
        <v>440</v>
      </c>
      <c r="I49" s="79"/>
      <c r="O49" s="16"/>
      <c r="P49" s="16"/>
    </row>
    <row r="50" spans="2:16">
      <c r="B50" s="234"/>
      <c r="C50" s="234"/>
      <c r="I50" s="79"/>
      <c r="O50" s="16"/>
      <c r="P50" s="16"/>
    </row>
    <row r="51" spans="2:16" ht="15">
      <c r="B51" s="236" t="s">
        <v>365</v>
      </c>
      <c r="C51" s="236" t="s">
        <v>364</v>
      </c>
      <c r="G51" s="240" t="s">
        <v>419</v>
      </c>
      <c r="I51" s="79"/>
      <c r="O51" s="16"/>
      <c r="P51" s="16"/>
    </row>
    <row r="52" spans="2:16">
      <c r="B52" s="237" t="s">
        <v>363</v>
      </c>
      <c r="C52" s="237" t="s">
        <v>552</v>
      </c>
      <c r="G52" s="262" t="s">
        <v>553</v>
      </c>
      <c r="I52" s="79"/>
      <c r="O52" s="16"/>
      <c r="P52" s="16"/>
    </row>
    <row r="53" spans="2:16">
      <c r="B53" s="237" t="s">
        <v>362</v>
      </c>
      <c r="C53" s="237" t="s">
        <v>415</v>
      </c>
      <c r="G53" s="262" t="s">
        <v>554</v>
      </c>
      <c r="I53" s="79"/>
      <c r="O53" s="16"/>
      <c r="P53" s="16"/>
    </row>
    <row r="54" spans="2:16">
      <c r="B54" s="237" t="s">
        <v>361</v>
      </c>
      <c r="C54" s="237" t="s">
        <v>360</v>
      </c>
      <c r="G54" s="211" t="s">
        <v>303</v>
      </c>
      <c r="I54" s="79"/>
      <c r="M54"/>
      <c r="O54" s="16"/>
      <c r="P54" s="16"/>
    </row>
    <row r="55" spans="2:16">
      <c r="B55" s="237" t="s">
        <v>537</v>
      </c>
      <c r="C55" s="237" t="s">
        <v>551</v>
      </c>
      <c r="G55" s="262" t="s">
        <v>555</v>
      </c>
      <c r="I55" s="79"/>
      <c r="O55" s="16"/>
      <c r="P55" s="16"/>
    </row>
    <row r="56" spans="2:16">
      <c r="B56" s="237" t="s">
        <v>550</v>
      </c>
      <c r="C56" s="237" t="s">
        <v>538</v>
      </c>
      <c r="G56" s="262" t="s">
        <v>556</v>
      </c>
      <c r="I56" s="79"/>
      <c r="O56" s="16"/>
      <c r="P56" s="16"/>
    </row>
    <row r="57" spans="2:16">
      <c r="B57" s="234"/>
      <c r="C57" s="234"/>
      <c r="I57" s="79"/>
      <c r="O57" s="16"/>
      <c r="P57" s="16"/>
    </row>
    <row r="58" spans="2:16" ht="15">
      <c r="B58" s="236" t="s">
        <v>359</v>
      </c>
      <c r="C58" s="236" t="s">
        <v>358</v>
      </c>
      <c r="G58" s="240" t="s">
        <v>420</v>
      </c>
      <c r="I58" s="79"/>
      <c r="O58" s="16"/>
      <c r="P58" s="16"/>
    </row>
    <row r="59" spans="2:16">
      <c r="B59" s="237" t="s">
        <v>357</v>
      </c>
      <c r="C59" s="237" t="s">
        <v>356</v>
      </c>
      <c r="G59" s="211" t="s">
        <v>304</v>
      </c>
      <c r="I59" s="79"/>
      <c r="O59" s="16"/>
      <c r="P59" s="16"/>
    </row>
    <row r="60" spans="2:16">
      <c r="B60" s="237" t="s">
        <v>355</v>
      </c>
      <c r="C60" s="237" t="s">
        <v>354</v>
      </c>
      <c r="G60" s="211" t="s">
        <v>305</v>
      </c>
      <c r="I60" s="79"/>
      <c r="O60" s="16"/>
      <c r="P60" s="16"/>
    </row>
    <row r="61" spans="2:16">
      <c r="B61" s="237" t="s">
        <v>353</v>
      </c>
      <c r="C61" s="237" t="s">
        <v>352</v>
      </c>
      <c r="G61" s="211" t="s">
        <v>306</v>
      </c>
      <c r="I61" s="79"/>
      <c r="O61" s="16"/>
      <c r="P61" s="16"/>
    </row>
    <row r="62" spans="2:16">
      <c r="B62" s="237" t="s">
        <v>351</v>
      </c>
      <c r="C62" s="237" t="s">
        <v>431</v>
      </c>
      <c r="G62" s="211" t="s">
        <v>432</v>
      </c>
      <c r="I62" s="79"/>
      <c r="O62" s="16"/>
      <c r="P62" s="16"/>
    </row>
    <row r="63" spans="2:16">
      <c r="B63" s="237" t="s">
        <v>349</v>
      </c>
      <c r="C63" s="237" t="s">
        <v>350</v>
      </c>
      <c r="G63" s="211" t="s">
        <v>433</v>
      </c>
      <c r="I63" s="79"/>
      <c r="O63" s="16"/>
      <c r="P63" s="16"/>
    </row>
    <row r="64" spans="2:16">
      <c r="B64" s="237" t="s">
        <v>347</v>
      </c>
      <c r="C64" s="237" t="s">
        <v>479</v>
      </c>
      <c r="G64" s="211" t="s">
        <v>478</v>
      </c>
      <c r="I64" s="79"/>
      <c r="O64" s="16"/>
      <c r="P64" s="16"/>
    </row>
    <row r="65" spans="2:16">
      <c r="B65" s="237" t="s">
        <v>409</v>
      </c>
      <c r="C65" s="237" t="s">
        <v>417</v>
      </c>
      <c r="G65" s="211" t="s">
        <v>438</v>
      </c>
      <c r="I65" s="79"/>
      <c r="O65" s="16"/>
      <c r="P65" s="16"/>
    </row>
    <row r="66" spans="2:16">
      <c r="B66" s="237" t="s">
        <v>430</v>
      </c>
      <c r="C66" s="237" t="s">
        <v>474</v>
      </c>
      <c r="G66" s="211" t="s">
        <v>477</v>
      </c>
      <c r="I66" s="79"/>
      <c r="O66" s="16"/>
      <c r="P66" s="16"/>
    </row>
    <row r="67" spans="2:16">
      <c r="B67" s="237" t="s">
        <v>437</v>
      </c>
      <c r="C67" s="237" t="s">
        <v>348</v>
      </c>
      <c r="G67" s="211" t="s">
        <v>475</v>
      </c>
      <c r="I67" s="79"/>
      <c r="O67" s="16"/>
      <c r="P67" s="16"/>
    </row>
    <row r="68" spans="2:16">
      <c r="B68" s="237" t="s">
        <v>473</v>
      </c>
      <c r="C68" s="237" t="s">
        <v>346</v>
      </c>
      <c r="G68" s="211" t="s">
        <v>476</v>
      </c>
      <c r="I68" s="79"/>
      <c r="O68" s="16"/>
      <c r="P68" s="79"/>
    </row>
    <row r="69" spans="2:16">
      <c r="B69" s="532" t="s">
        <v>1429</v>
      </c>
      <c r="C69" s="532" t="s">
        <v>1430</v>
      </c>
      <c r="G69" s="531" t="s">
        <v>1386</v>
      </c>
      <c r="I69" s="79"/>
      <c r="O69" s="16"/>
      <c r="P69" s="79"/>
    </row>
    <row r="70" spans="2:16">
      <c r="B70" s="234"/>
      <c r="C70" s="234"/>
      <c r="I70" s="79"/>
      <c r="O70" s="79"/>
      <c r="P70" s="79"/>
    </row>
    <row r="71" spans="2:16" ht="15">
      <c r="B71" s="236" t="s">
        <v>345</v>
      </c>
      <c r="C71" s="236" t="s">
        <v>344</v>
      </c>
      <c r="G71" s="240" t="s">
        <v>421</v>
      </c>
      <c r="I71" s="79"/>
      <c r="O71" s="79"/>
      <c r="P71" s="79"/>
    </row>
    <row r="72" spans="2:16">
      <c r="B72" s="237" t="s">
        <v>343</v>
      </c>
      <c r="C72" s="237" t="s">
        <v>342</v>
      </c>
      <c r="G72" s="211" t="s">
        <v>307</v>
      </c>
      <c r="I72" s="79"/>
      <c r="O72" s="79"/>
      <c r="P72" s="79"/>
    </row>
    <row r="73" spans="2:16">
      <c r="B73" s="237" t="s">
        <v>341</v>
      </c>
      <c r="C73" s="237" t="s">
        <v>340</v>
      </c>
      <c r="G73" s="211" t="s">
        <v>308</v>
      </c>
      <c r="I73" s="79"/>
      <c r="O73" s="79"/>
      <c r="P73" s="79"/>
    </row>
    <row r="74" spans="2:16">
      <c r="B74" s="237" t="s">
        <v>339</v>
      </c>
      <c r="C74" s="237" t="s">
        <v>411</v>
      </c>
      <c r="G74" s="211" t="s">
        <v>413</v>
      </c>
      <c r="I74" s="79"/>
      <c r="O74" s="79"/>
      <c r="P74" s="79"/>
    </row>
    <row r="75" spans="2:16">
      <c r="B75" s="237" t="s">
        <v>407</v>
      </c>
      <c r="C75" s="237" t="s">
        <v>410</v>
      </c>
      <c r="G75" s="244" t="s">
        <v>414</v>
      </c>
      <c r="I75" s="79"/>
      <c r="O75" s="79"/>
      <c r="P75" s="79"/>
    </row>
    <row r="76" spans="2:16">
      <c r="B76" s="237" t="s">
        <v>412</v>
      </c>
      <c r="C76" s="237" t="s">
        <v>524</v>
      </c>
      <c r="G76" s="244" t="s">
        <v>527</v>
      </c>
      <c r="I76" s="79"/>
      <c r="O76" s="79"/>
      <c r="P76" s="79"/>
    </row>
    <row r="77" spans="2:16">
      <c r="B77" s="237" t="s">
        <v>522</v>
      </c>
      <c r="C77" s="237" t="s">
        <v>525</v>
      </c>
      <c r="G77" s="244" t="s">
        <v>528</v>
      </c>
      <c r="I77" s="79"/>
      <c r="O77" s="79"/>
      <c r="P77" s="79"/>
    </row>
    <row r="78" spans="2:16">
      <c r="B78" s="237" t="s">
        <v>523</v>
      </c>
      <c r="C78" s="237" t="s">
        <v>408</v>
      </c>
      <c r="G78" s="244" t="s">
        <v>526</v>
      </c>
      <c r="I78" s="79"/>
      <c r="K78" s="79"/>
      <c r="M78" s="79"/>
      <c r="O78" s="79"/>
      <c r="P78" s="79"/>
    </row>
    <row r="79" spans="2:16">
      <c r="B79" s="234"/>
      <c r="C79" s="234"/>
      <c r="I79" s="79"/>
      <c r="K79" s="79"/>
      <c r="M79" s="79"/>
      <c r="O79" s="79"/>
      <c r="P79" s="79"/>
    </row>
    <row r="80" spans="2:16" ht="15">
      <c r="B80" s="238" t="s">
        <v>338</v>
      </c>
      <c r="C80" s="236" t="s">
        <v>337</v>
      </c>
      <c r="G80" s="240" t="s">
        <v>422</v>
      </c>
      <c r="I80" s="79"/>
      <c r="K80" s="79"/>
      <c r="M80" s="79"/>
      <c r="O80" s="79"/>
      <c r="P80" s="79"/>
    </row>
    <row r="81" spans="2:16">
      <c r="B81" s="237" t="s">
        <v>336</v>
      </c>
      <c r="C81" s="237" t="s">
        <v>335</v>
      </c>
      <c r="G81" s="211" t="s">
        <v>309</v>
      </c>
      <c r="I81" s="79"/>
      <c r="K81" s="79"/>
      <c r="M81" s="79"/>
      <c r="O81" s="79"/>
      <c r="P81" s="79"/>
    </row>
    <row r="82" spans="2:16">
      <c r="B82" s="237" t="s">
        <v>334</v>
      </c>
      <c r="C82" s="237" t="s">
        <v>435</v>
      </c>
      <c r="G82" s="211" t="s">
        <v>436</v>
      </c>
      <c r="I82" s="79"/>
      <c r="K82" s="79"/>
      <c r="M82" s="79"/>
      <c r="O82" s="79"/>
      <c r="P82" s="79"/>
    </row>
    <row r="83" spans="2:16">
      <c r="B83" s="237" t="s">
        <v>333</v>
      </c>
      <c r="C83" s="237" t="s">
        <v>332</v>
      </c>
      <c r="G83" s="211" t="s">
        <v>310</v>
      </c>
      <c r="I83" s="79"/>
      <c r="K83" s="79"/>
      <c r="M83" s="79"/>
      <c r="O83" s="79"/>
      <c r="P83" s="79"/>
    </row>
    <row r="84" spans="2:16">
      <c r="B84" s="532" t="s">
        <v>1431</v>
      </c>
      <c r="C84" s="532" t="s">
        <v>1432</v>
      </c>
      <c r="G84" s="531" t="s">
        <v>1408</v>
      </c>
      <c r="I84" s="79"/>
      <c r="K84" s="79"/>
      <c r="M84" s="79"/>
      <c r="O84" s="79"/>
      <c r="P84" s="79"/>
    </row>
    <row r="85" spans="2:16">
      <c r="B85" s="234"/>
      <c r="C85" s="234"/>
      <c r="I85" s="79"/>
      <c r="K85" s="79"/>
      <c r="M85" s="79"/>
      <c r="O85" s="79"/>
      <c r="P85" s="79"/>
    </row>
    <row r="86" spans="2:16" ht="15">
      <c r="B86" s="238" t="s">
        <v>331</v>
      </c>
      <c r="C86" s="236" t="s">
        <v>488</v>
      </c>
      <c r="G86" s="240" t="s">
        <v>493</v>
      </c>
      <c r="I86" s="79"/>
      <c r="K86" s="79"/>
      <c r="M86" s="79"/>
      <c r="O86" s="79"/>
      <c r="P86" s="79"/>
    </row>
    <row r="87" spans="2:16">
      <c r="B87" s="237" t="s">
        <v>330</v>
      </c>
      <c r="C87" s="237" t="s">
        <v>327</v>
      </c>
      <c r="G87" s="241" t="s">
        <v>494</v>
      </c>
      <c r="I87" s="79"/>
      <c r="K87" s="79"/>
      <c r="M87" s="79"/>
      <c r="O87" s="79"/>
      <c r="P87" s="79"/>
    </row>
    <row r="88" spans="2:16">
      <c r="B88" s="234"/>
      <c r="C88" s="234"/>
      <c r="I88" s="79"/>
      <c r="K88" s="79"/>
      <c r="M88" s="79"/>
      <c r="O88" s="79"/>
      <c r="P88" s="79"/>
    </row>
    <row r="89" spans="2:16" ht="15">
      <c r="B89" s="238" t="s">
        <v>326</v>
      </c>
      <c r="C89" s="236" t="s">
        <v>487</v>
      </c>
      <c r="G89" s="240" t="s">
        <v>495</v>
      </c>
      <c r="I89" s="79"/>
      <c r="K89" s="79"/>
      <c r="M89" s="79"/>
      <c r="O89" s="79"/>
      <c r="P89" s="79"/>
    </row>
    <row r="90" spans="2:16">
      <c r="B90" s="237" t="s">
        <v>324</v>
      </c>
      <c r="C90" s="237" t="s">
        <v>329</v>
      </c>
      <c r="G90" s="241" t="s">
        <v>496</v>
      </c>
      <c r="I90" s="79"/>
      <c r="K90" s="79"/>
      <c r="M90" s="79"/>
      <c r="O90" s="79"/>
      <c r="P90" s="79"/>
    </row>
    <row r="91" spans="2:16">
      <c r="B91" s="237" t="s">
        <v>322</v>
      </c>
      <c r="C91" s="237" t="s">
        <v>328</v>
      </c>
      <c r="G91" s="241" t="s">
        <v>497</v>
      </c>
      <c r="I91" s="79"/>
      <c r="K91" s="79"/>
      <c r="M91" s="79"/>
      <c r="O91" s="79"/>
      <c r="P91" s="79"/>
    </row>
    <row r="92" spans="2:16">
      <c r="B92" s="237" t="s">
        <v>320</v>
      </c>
      <c r="C92" s="237" t="s">
        <v>416</v>
      </c>
      <c r="G92" s="241" t="s">
        <v>498</v>
      </c>
      <c r="I92" s="79"/>
      <c r="K92" s="79"/>
      <c r="M92" s="79"/>
      <c r="O92" s="79"/>
      <c r="P92" s="79"/>
    </row>
    <row r="93" spans="2:16">
      <c r="I93" s="79"/>
      <c r="K93" s="79"/>
      <c r="M93" s="79"/>
      <c r="O93" s="79"/>
      <c r="P93" s="79"/>
    </row>
    <row r="94" spans="2:16" ht="15">
      <c r="B94" s="238" t="s">
        <v>318</v>
      </c>
      <c r="C94" s="236" t="s">
        <v>325</v>
      </c>
      <c r="G94" s="240" t="s">
        <v>499</v>
      </c>
      <c r="I94" s="79"/>
      <c r="K94" s="79"/>
      <c r="M94" s="79"/>
      <c r="O94" s="79"/>
      <c r="P94" s="79"/>
    </row>
    <row r="95" spans="2:16">
      <c r="B95" s="237" t="s">
        <v>316</v>
      </c>
      <c r="C95" s="237" t="s">
        <v>323</v>
      </c>
      <c r="G95" s="241" t="s">
        <v>500</v>
      </c>
      <c r="I95" s="79"/>
      <c r="K95" s="79"/>
      <c r="M95" s="79"/>
      <c r="O95" s="79"/>
      <c r="P95" s="79"/>
    </row>
    <row r="96" spans="2:16">
      <c r="B96" s="237" t="s">
        <v>314</v>
      </c>
      <c r="C96" s="237" t="s">
        <v>321</v>
      </c>
      <c r="G96" s="241" t="s">
        <v>501</v>
      </c>
      <c r="I96" s="79"/>
      <c r="K96" s="79"/>
      <c r="M96" s="79"/>
      <c r="O96" s="79"/>
      <c r="P96" s="79"/>
    </row>
    <row r="97" spans="2:16">
      <c r="B97" s="237" t="s">
        <v>312</v>
      </c>
      <c r="C97" s="237" t="s">
        <v>319</v>
      </c>
      <c r="G97" s="241" t="s">
        <v>502</v>
      </c>
      <c r="I97" s="79"/>
      <c r="K97" s="79"/>
      <c r="M97" s="79"/>
      <c r="O97" s="79"/>
      <c r="P97" s="79"/>
    </row>
    <row r="98" spans="2:16">
      <c r="B98" s="234"/>
      <c r="C98" s="234"/>
      <c r="I98" s="79"/>
      <c r="K98" s="79"/>
      <c r="M98" s="79"/>
      <c r="O98" s="79"/>
      <c r="P98" s="79"/>
    </row>
    <row r="99" spans="2:16" ht="15">
      <c r="B99" s="238" t="s">
        <v>489</v>
      </c>
      <c r="C99" s="236" t="s">
        <v>317</v>
      </c>
      <c r="G99" s="240" t="s">
        <v>503</v>
      </c>
      <c r="I99" s="79"/>
      <c r="K99" s="79"/>
      <c r="M99" s="79"/>
      <c r="O99" s="79"/>
      <c r="P99" s="79"/>
    </row>
    <row r="100" spans="2:16">
      <c r="B100" s="237" t="s">
        <v>490</v>
      </c>
      <c r="C100" s="237" t="s">
        <v>315</v>
      </c>
      <c r="G100" s="241" t="s">
        <v>504</v>
      </c>
      <c r="I100" s="79"/>
      <c r="K100" s="79"/>
      <c r="M100" s="79"/>
      <c r="O100" s="79"/>
      <c r="P100" s="79"/>
    </row>
    <row r="101" spans="2:16">
      <c r="B101" s="237" t="s">
        <v>491</v>
      </c>
      <c r="C101" s="237" t="s">
        <v>313</v>
      </c>
      <c r="G101" s="241" t="s">
        <v>505</v>
      </c>
      <c r="I101" s="79"/>
      <c r="K101" s="79"/>
      <c r="M101" s="79"/>
      <c r="O101" s="79"/>
      <c r="P101" s="79"/>
    </row>
    <row r="102" spans="2:16">
      <c r="B102" s="237" t="s">
        <v>492</v>
      </c>
      <c r="C102" s="237" t="s">
        <v>311</v>
      </c>
      <c r="G102" s="241" t="s">
        <v>506</v>
      </c>
      <c r="I102" s="79"/>
      <c r="K102" s="79"/>
      <c r="M102" s="79"/>
      <c r="O102" s="79"/>
      <c r="P102" s="79"/>
    </row>
    <row r="103" spans="2:16">
      <c r="I103" s="79"/>
      <c r="K103" s="79"/>
      <c r="M103" s="79"/>
      <c r="O103" s="79"/>
      <c r="P103" s="79"/>
    </row>
    <row r="104" spans="2:16">
      <c r="I104" s="79"/>
      <c r="K104" s="79"/>
      <c r="M104" s="79"/>
      <c r="O104" s="79"/>
      <c r="P104" s="79"/>
    </row>
    <row r="105" spans="2:16">
      <c r="I105" s="79"/>
      <c r="K105" s="79"/>
      <c r="M105" s="79"/>
      <c r="O105" s="79"/>
      <c r="P105" s="79"/>
    </row>
    <row r="106" spans="2:16">
      <c r="I106" s="79"/>
      <c r="K106" s="79"/>
      <c r="M106" s="79"/>
      <c r="O106" s="79"/>
      <c r="P106" s="79"/>
    </row>
    <row r="107" spans="2:16">
      <c r="I107" s="79"/>
      <c r="K107" s="79"/>
      <c r="M107" s="79"/>
      <c r="O107" s="79"/>
      <c r="P107" s="79"/>
    </row>
    <row r="108" spans="2:16">
      <c r="I108" s="79"/>
      <c r="K108" s="79"/>
      <c r="M108" s="79"/>
      <c r="O108" s="79"/>
      <c r="P108" s="79"/>
    </row>
    <row r="109" spans="2:16">
      <c r="I109" s="79"/>
      <c r="K109" s="79"/>
      <c r="M109" s="79"/>
      <c r="O109" s="79"/>
      <c r="P109" s="79"/>
    </row>
    <row r="110" spans="2:16">
      <c r="I110" s="79"/>
      <c r="K110" s="79"/>
      <c r="M110" s="79"/>
      <c r="O110" s="79"/>
      <c r="P110" s="79"/>
    </row>
    <row r="111" spans="2:16">
      <c r="I111" s="79"/>
      <c r="K111" s="79"/>
      <c r="M111" s="79"/>
      <c r="O111" s="79"/>
      <c r="P111" s="79"/>
    </row>
    <row r="112" spans="2:16">
      <c r="I112" s="79"/>
      <c r="K112" s="79"/>
      <c r="M112" s="79"/>
      <c r="O112" s="79"/>
      <c r="P112" s="79"/>
    </row>
    <row r="113" spans="9:16">
      <c r="I113" s="79"/>
      <c r="K113" s="79"/>
      <c r="M113" s="79"/>
      <c r="O113" s="79"/>
      <c r="P113" s="79"/>
    </row>
    <row r="114" spans="9:16">
      <c r="I114" s="79"/>
      <c r="K114" s="79"/>
      <c r="M114" s="79"/>
      <c r="O114" s="79"/>
      <c r="P114" s="79"/>
    </row>
    <row r="115" spans="9:16">
      <c r="I115" s="79"/>
      <c r="K115" s="79"/>
      <c r="M115" s="79"/>
      <c r="O115" s="79"/>
      <c r="P115" s="79"/>
    </row>
    <row r="116" spans="9:16">
      <c r="I116" s="79"/>
      <c r="K116" s="79"/>
      <c r="M116" s="79"/>
      <c r="O116" s="79"/>
      <c r="P116" s="79"/>
    </row>
    <row r="117" spans="9:16">
      <c r="I117" s="79"/>
      <c r="K117" s="79"/>
      <c r="M117" s="79"/>
      <c r="O117" s="79"/>
      <c r="P117" s="79"/>
    </row>
    <row r="118" spans="9:16">
      <c r="I118" s="79"/>
      <c r="K118" s="79"/>
      <c r="M118" s="79"/>
      <c r="O118" s="79"/>
      <c r="P118" s="79"/>
    </row>
    <row r="119" spans="9:16">
      <c r="I119" s="79"/>
      <c r="K119" s="79"/>
      <c r="M119" s="79"/>
      <c r="O119" s="79"/>
      <c r="P119" s="79"/>
    </row>
    <row r="120" spans="9:16">
      <c r="I120" s="79"/>
      <c r="K120" s="79"/>
      <c r="M120" s="79"/>
      <c r="O120" s="79"/>
      <c r="P120" s="79"/>
    </row>
    <row r="121" spans="9:16">
      <c r="I121" s="79"/>
      <c r="K121" s="79"/>
      <c r="M121" s="79"/>
      <c r="O121" s="79"/>
      <c r="P121" s="79"/>
    </row>
    <row r="122" spans="9:16">
      <c r="I122" s="79"/>
      <c r="K122" s="79"/>
      <c r="M122" s="79"/>
      <c r="O122" s="79"/>
      <c r="P122" s="79"/>
    </row>
    <row r="123" spans="9:16">
      <c r="I123" s="79"/>
      <c r="K123" s="79"/>
      <c r="M123" s="79"/>
      <c r="O123" s="79"/>
      <c r="P123" s="79"/>
    </row>
    <row r="124" spans="9:16">
      <c r="I124" s="79"/>
      <c r="K124" s="79"/>
      <c r="M124" s="79"/>
      <c r="O124" s="79"/>
      <c r="P124" s="79"/>
    </row>
    <row r="125" spans="9:16">
      <c r="I125" s="79"/>
      <c r="K125" s="79"/>
      <c r="M125" s="79"/>
      <c r="O125" s="79"/>
      <c r="P125" s="79"/>
    </row>
    <row r="126" spans="9:16">
      <c r="I126" s="79"/>
      <c r="K126" s="79"/>
      <c r="M126" s="79"/>
      <c r="O126" s="79"/>
      <c r="P126" s="79"/>
    </row>
    <row r="127" spans="9:16">
      <c r="I127" s="79"/>
      <c r="K127" s="79"/>
      <c r="M127" s="79"/>
      <c r="O127" s="79"/>
      <c r="P127" s="79"/>
    </row>
    <row r="128" spans="9:16">
      <c r="I128" s="79"/>
      <c r="K128" s="79"/>
      <c r="M128" s="79"/>
      <c r="O128" s="79"/>
      <c r="P128" s="79"/>
    </row>
    <row r="129" spans="9:16">
      <c r="I129" s="79"/>
      <c r="K129" s="79"/>
      <c r="M129" s="79"/>
      <c r="O129" s="79"/>
      <c r="P129" s="79"/>
    </row>
    <row r="130" spans="9:16">
      <c r="I130" s="79"/>
      <c r="K130" s="79"/>
      <c r="M130" s="79"/>
      <c r="O130" s="79"/>
      <c r="P130" s="79"/>
    </row>
    <row r="131" spans="9:16">
      <c r="I131" s="79"/>
      <c r="K131" s="79"/>
      <c r="M131" s="79"/>
      <c r="O131" s="79"/>
      <c r="P131" s="79"/>
    </row>
    <row r="132" spans="9:16">
      <c r="I132" s="79"/>
      <c r="K132" s="79"/>
      <c r="M132" s="79"/>
      <c r="O132" s="79"/>
      <c r="P132" s="79"/>
    </row>
    <row r="133" spans="9:16">
      <c r="I133" s="79"/>
      <c r="K133" s="79"/>
      <c r="M133" s="79"/>
      <c r="O133" s="79"/>
      <c r="P133" s="79"/>
    </row>
    <row r="134" spans="9:16">
      <c r="I134" s="79"/>
      <c r="K134" s="79"/>
      <c r="M134" s="79"/>
      <c r="O134" s="79"/>
      <c r="P134" s="79"/>
    </row>
    <row r="135" spans="9:16">
      <c r="I135" s="79"/>
      <c r="K135" s="79"/>
      <c r="M135" s="79"/>
      <c r="O135" s="79"/>
      <c r="P135" s="79"/>
    </row>
    <row r="136" spans="9:16">
      <c r="I136" s="79"/>
      <c r="K136" s="79"/>
      <c r="M136" s="79"/>
      <c r="O136" s="79"/>
      <c r="P136" s="79"/>
    </row>
    <row r="137" spans="9:16">
      <c r="I137" s="79"/>
      <c r="K137" s="79"/>
      <c r="M137" s="79"/>
      <c r="O137" s="79"/>
      <c r="P137" s="79"/>
    </row>
    <row r="138" spans="9:16">
      <c r="I138" s="79"/>
      <c r="K138" s="79"/>
      <c r="M138" s="79"/>
      <c r="O138" s="79"/>
      <c r="P138" s="79"/>
    </row>
    <row r="139" spans="9:16">
      <c r="I139" s="79"/>
      <c r="K139" s="79"/>
      <c r="M139" s="79"/>
      <c r="O139" s="79"/>
      <c r="P139" s="79"/>
    </row>
    <row r="140" spans="9:16">
      <c r="I140" s="79"/>
      <c r="K140" s="79"/>
      <c r="M140" s="79"/>
      <c r="O140" s="79"/>
      <c r="P140" s="79"/>
    </row>
    <row r="141" spans="9:16">
      <c r="I141" s="79"/>
      <c r="K141" s="79"/>
      <c r="M141" s="79"/>
      <c r="O141" s="79"/>
      <c r="P141" s="79"/>
    </row>
    <row r="142" spans="9:16">
      <c r="I142" s="79"/>
      <c r="K142" s="79"/>
      <c r="M142" s="79"/>
      <c r="O142" s="79"/>
      <c r="P142" s="79"/>
    </row>
    <row r="143" spans="9:16">
      <c r="I143" s="79"/>
      <c r="K143" s="79"/>
      <c r="M143" s="79"/>
      <c r="O143" s="79"/>
      <c r="P143" s="79"/>
    </row>
    <row r="144" spans="9:16">
      <c r="I144" s="79"/>
      <c r="K144" s="79"/>
      <c r="M144" s="79"/>
      <c r="O144" s="79"/>
      <c r="P144" s="79"/>
    </row>
    <row r="145" spans="9:16">
      <c r="I145" s="79"/>
      <c r="K145" s="79"/>
      <c r="M145" s="79"/>
      <c r="O145" s="79"/>
      <c r="P145" s="79"/>
    </row>
    <row r="146" spans="9:16">
      <c r="I146" s="79"/>
      <c r="K146" s="79"/>
      <c r="M146" s="79"/>
      <c r="O146" s="79"/>
      <c r="P146" s="79"/>
    </row>
    <row r="147" spans="9:16">
      <c r="I147" s="79"/>
      <c r="K147" s="79"/>
      <c r="M147" s="79"/>
      <c r="O147" s="79"/>
      <c r="P147" s="79"/>
    </row>
    <row r="148" spans="9:16">
      <c r="I148" s="79"/>
      <c r="K148" s="79"/>
      <c r="M148" s="79"/>
      <c r="O148" s="79"/>
      <c r="P148" s="79"/>
    </row>
    <row r="149" spans="9:16">
      <c r="I149" s="79"/>
      <c r="K149" s="79"/>
      <c r="M149" s="79"/>
      <c r="O149" s="79"/>
      <c r="P149" s="79"/>
    </row>
    <row r="150" spans="9:16">
      <c r="I150" s="79"/>
      <c r="K150" s="79"/>
      <c r="M150" s="79"/>
      <c r="O150" s="79"/>
      <c r="P150" s="79"/>
    </row>
    <row r="151" spans="9:16">
      <c r="I151" s="79"/>
      <c r="K151" s="79"/>
      <c r="M151" s="79"/>
      <c r="O151" s="79"/>
      <c r="P151" s="79"/>
    </row>
    <row r="152" spans="9:16">
      <c r="I152" s="79"/>
      <c r="K152" s="79"/>
      <c r="M152" s="79"/>
      <c r="O152" s="79"/>
      <c r="P152" s="79"/>
    </row>
    <row r="153" spans="9:16">
      <c r="I153" s="79"/>
      <c r="K153" s="79"/>
      <c r="M153" s="79"/>
      <c r="O153" s="79"/>
      <c r="P153" s="79"/>
    </row>
    <row r="154" spans="9:16">
      <c r="I154" s="79"/>
      <c r="K154" s="79"/>
      <c r="M154" s="79"/>
      <c r="O154" s="79"/>
      <c r="P154" s="79"/>
    </row>
    <row r="155" spans="9:16">
      <c r="I155" s="79"/>
      <c r="K155" s="79"/>
      <c r="M155" s="79"/>
      <c r="O155" s="79"/>
      <c r="P155" s="79"/>
    </row>
    <row r="156" spans="9:16">
      <c r="I156" s="79"/>
      <c r="K156" s="79"/>
      <c r="M156" s="79"/>
      <c r="O156" s="79"/>
      <c r="P156" s="79"/>
    </row>
    <row r="157" spans="9:16">
      <c r="I157" s="79"/>
      <c r="K157" s="79"/>
      <c r="M157" s="79"/>
      <c r="O157" s="79"/>
      <c r="P157" s="79"/>
    </row>
    <row r="158" spans="9:16">
      <c r="I158" s="79"/>
      <c r="K158" s="79"/>
      <c r="M158" s="79"/>
      <c r="O158" s="79"/>
      <c r="P158" s="79"/>
    </row>
    <row r="159" spans="9:16">
      <c r="I159" s="79"/>
      <c r="K159" s="79"/>
      <c r="M159" s="79"/>
      <c r="O159" s="79"/>
      <c r="P159" s="79"/>
    </row>
    <row r="160" spans="9:16">
      <c r="I160" s="79"/>
      <c r="K160" s="79"/>
      <c r="M160" s="79"/>
      <c r="O160" s="79"/>
      <c r="P160" s="79"/>
    </row>
    <row r="161" spans="9:16">
      <c r="I161" s="79"/>
      <c r="K161" s="79"/>
      <c r="M161" s="79"/>
      <c r="O161" s="79"/>
      <c r="P161" s="79"/>
    </row>
    <row r="162" spans="9:16">
      <c r="I162" s="79"/>
      <c r="K162" s="79"/>
      <c r="M162" s="79"/>
      <c r="O162" s="79"/>
      <c r="P162" s="79"/>
    </row>
    <row r="163" spans="9:16">
      <c r="I163" s="79"/>
      <c r="K163" s="79"/>
      <c r="M163" s="79"/>
      <c r="O163" s="79"/>
      <c r="P163" s="79"/>
    </row>
    <row r="164" spans="9:16">
      <c r="I164" s="79"/>
      <c r="K164" s="79"/>
      <c r="M164" s="79"/>
      <c r="O164" s="79"/>
      <c r="P164" s="79"/>
    </row>
    <row r="165" spans="9:16">
      <c r="I165" s="79"/>
      <c r="K165" s="79"/>
      <c r="M165" s="79"/>
      <c r="O165" s="79"/>
      <c r="P165" s="79"/>
    </row>
    <row r="166" spans="9:16">
      <c r="I166" s="79"/>
      <c r="K166" s="79"/>
      <c r="M166" s="79"/>
      <c r="O166" s="79"/>
      <c r="P166" s="79"/>
    </row>
    <row r="167" spans="9:16">
      <c r="I167" s="79"/>
      <c r="K167" s="79"/>
      <c r="M167" s="79"/>
      <c r="O167" s="79"/>
      <c r="P167" s="79"/>
    </row>
    <row r="168" spans="9:16">
      <c r="I168" s="79"/>
      <c r="K168" s="79"/>
      <c r="M168" s="79"/>
      <c r="O168" s="79"/>
      <c r="P168" s="79"/>
    </row>
    <row r="169" spans="9:16">
      <c r="I169" s="79"/>
      <c r="K169" s="79"/>
      <c r="M169" s="79"/>
      <c r="O169" s="79"/>
      <c r="P169" s="79"/>
    </row>
    <row r="170" spans="9:16">
      <c r="I170" s="79"/>
      <c r="K170" s="79"/>
      <c r="M170" s="79"/>
      <c r="O170" s="79"/>
      <c r="P170" s="79"/>
    </row>
    <row r="171" spans="9:16">
      <c r="I171" s="79"/>
      <c r="K171" s="79"/>
      <c r="M171" s="79"/>
      <c r="O171" s="79"/>
      <c r="P171" s="79"/>
    </row>
    <row r="172" spans="9:16">
      <c r="I172" s="79"/>
      <c r="K172" s="79"/>
      <c r="M172" s="79"/>
      <c r="O172" s="79"/>
      <c r="P172" s="79"/>
    </row>
    <row r="173" spans="9:16">
      <c r="I173" s="79"/>
      <c r="K173" s="79"/>
      <c r="M173" s="79"/>
      <c r="O173" s="79"/>
      <c r="P173" s="79"/>
    </row>
    <row r="174" spans="9:16">
      <c r="I174" s="79"/>
      <c r="K174" s="79"/>
      <c r="M174" s="79"/>
      <c r="O174" s="79"/>
      <c r="P174" s="79"/>
    </row>
    <row r="175" spans="9:16">
      <c r="K175" s="79"/>
      <c r="M175" s="79"/>
      <c r="O175" s="79"/>
      <c r="P175" s="79"/>
    </row>
    <row r="176" spans="9:16">
      <c r="K176" s="79"/>
      <c r="M176" s="79"/>
      <c r="O176" s="79"/>
      <c r="P176" s="79"/>
    </row>
    <row r="177" spans="11:16">
      <c r="K177" s="79"/>
      <c r="M177" s="79"/>
      <c r="O177" s="79"/>
      <c r="P177" s="79"/>
    </row>
    <row r="178" spans="11:16">
      <c r="K178" s="79"/>
      <c r="M178" s="79"/>
      <c r="O178" s="79"/>
      <c r="P178" s="79"/>
    </row>
    <row r="179" spans="11:16">
      <c r="K179" s="79"/>
      <c r="M179" s="79"/>
      <c r="O179" s="79"/>
      <c r="P179" s="79"/>
    </row>
    <row r="180" spans="11:16">
      <c r="K180" s="79"/>
      <c r="M180" s="79"/>
      <c r="O180" s="79"/>
      <c r="P180" s="79"/>
    </row>
    <row r="181" spans="11:16">
      <c r="K181" s="79"/>
      <c r="M181" s="79"/>
      <c r="O181" s="79"/>
      <c r="P181" s="79"/>
    </row>
    <row r="182" spans="11:16">
      <c r="K182" s="79"/>
      <c r="M182" s="79"/>
      <c r="O182" s="79"/>
      <c r="P182" s="79"/>
    </row>
    <row r="183" spans="11:16">
      <c r="K183" s="79"/>
      <c r="M183" s="79"/>
      <c r="O183" s="79"/>
      <c r="P183" s="79"/>
    </row>
    <row r="184" spans="11:16">
      <c r="K184" s="79"/>
      <c r="M184" s="79"/>
      <c r="O184" s="79"/>
      <c r="P184" s="79"/>
    </row>
    <row r="185" spans="11:16">
      <c r="K185" s="79"/>
      <c r="M185" s="79"/>
      <c r="O185" s="79"/>
      <c r="P185" s="79"/>
    </row>
    <row r="186" spans="11:16">
      <c r="K186" s="79"/>
      <c r="M186" s="79"/>
      <c r="O186" s="79"/>
      <c r="P186" s="79"/>
    </row>
    <row r="187" spans="11:16">
      <c r="K187" s="79"/>
      <c r="M187" s="79"/>
      <c r="O187" s="79"/>
      <c r="P187" s="79"/>
    </row>
    <row r="188" spans="11:16">
      <c r="K188" s="79"/>
      <c r="M188" s="79"/>
      <c r="O188" s="79"/>
      <c r="P188" s="79"/>
    </row>
    <row r="189" spans="11:16">
      <c r="K189" s="79"/>
      <c r="M189" s="79"/>
      <c r="O189" s="79"/>
      <c r="P189" s="79"/>
    </row>
    <row r="190" spans="11:16">
      <c r="K190" s="79"/>
      <c r="M190" s="79"/>
      <c r="O190" s="79"/>
      <c r="P190" s="79"/>
    </row>
    <row r="191" spans="11:16">
      <c r="K191" s="79"/>
      <c r="M191" s="79"/>
      <c r="O191" s="79"/>
      <c r="P191" s="79"/>
    </row>
    <row r="192" spans="11:16">
      <c r="K192" s="79"/>
      <c r="M192" s="79"/>
      <c r="O192" s="79"/>
      <c r="P192" s="79"/>
    </row>
    <row r="193" spans="11:16">
      <c r="K193" s="79"/>
      <c r="M193" s="79"/>
      <c r="O193" s="79"/>
      <c r="P193" s="79"/>
    </row>
    <row r="194" spans="11:16">
      <c r="K194" s="79"/>
      <c r="M194" s="79"/>
      <c r="O194" s="79"/>
      <c r="P194" s="79"/>
    </row>
    <row r="195" spans="11:16">
      <c r="K195" s="79"/>
      <c r="M195" s="79"/>
      <c r="O195" s="79"/>
      <c r="P195" s="79"/>
    </row>
    <row r="196" spans="11:16">
      <c r="K196" s="79"/>
      <c r="M196" s="79"/>
      <c r="O196" s="79"/>
      <c r="P196" s="79"/>
    </row>
    <row r="197" spans="11:16">
      <c r="K197" s="79"/>
      <c r="M197" s="79"/>
      <c r="O197" s="79"/>
      <c r="P197" s="79"/>
    </row>
    <row r="198" spans="11:16">
      <c r="K198" s="79"/>
      <c r="M198" s="79"/>
      <c r="O198" s="79"/>
      <c r="P198" s="79"/>
    </row>
    <row r="199" spans="11:16">
      <c r="K199" s="79"/>
      <c r="M199" s="79"/>
      <c r="O199" s="79"/>
      <c r="P199" s="16"/>
    </row>
    <row r="200" spans="11:16">
      <c r="K200" s="79"/>
      <c r="M200" s="79"/>
      <c r="O200" s="16"/>
      <c r="P200" s="79"/>
    </row>
    <row r="201" spans="11:16">
      <c r="M201" s="79"/>
      <c r="O201" s="79"/>
      <c r="P201" s="16"/>
    </row>
    <row r="202" spans="11:16">
      <c r="M202" s="79"/>
      <c r="O202" s="16"/>
      <c r="P202" s="16"/>
    </row>
    <row r="203" spans="11:16">
      <c r="M203" s="79"/>
      <c r="O203" s="16"/>
      <c r="P203" s="16"/>
    </row>
    <row r="204" spans="11:16">
      <c r="O204" s="16"/>
      <c r="P204" s="16"/>
    </row>
    <row r="205" spans="11:16">
      <c r="O205" s="16"/>
      <c r="P205" s="16"/>
    </row>
    <row r="206" spans="11:16">
      <c r="O206" s="16"/>
      <c r="P206" s="16"/>
    </row>
    <row r="207" spans="11:16">
      <c r="O207" s="16"/>
      <c r="P207" s="16"/>
    </row>
    <row r="208" spans="11:16">
      <c r="O208" s="16"/>
      <c r="P208" s="79"/>
    </row>
    <row r="209" spans="15:16">
      <c r="O209" s="79"/>
      <c r="P209" s="16"/>
    </row>
    <row r="210" spans="15:16">
      <c r="O210" s="16"/>
      <c r="P210" s="16"/>
    </row>
    <row r="211" spans="15:16">
      <c r="O211" s="16"/>
      <c r="P211" s="16"/>
    </row>
    <row r="212" spans="15:16">
      <c r="O212" s="16"/>
      <c r="P212" s="16"/>
    </row>
    <row r="213" spans="15:16">
      <c r="O213" s="16"/>
      <c r="P213" s="16"/>
    </row>
    <row r="214" spans="15:16">
      <c r="O214" s="16"/>
      <c r="P214" s="16"/>
    </row>
    <row r="215" spans="15:16">
      <c r="O215" s="16"/>
      <c r="P215" s="16"/>
    </row>
    <row r="216" spans="15:16">
      <c r="O216" s="16"/>
      <c r="P216" s="16"/>
    </row>
    <row r="217" spans="15:16">
      <c r="O217" s="16"/>
      <c r="P217" s="16"/>
    </row>
    <row r="218" spans="15:16">
      <c r="O218" s="16"/>
      <c r="P218" s="16"/>
    </row>
    <row r="219" spans="15:16">
      <c r="O219" s="16"/>
      <c r="P219" s="16"/>
    </row>
    <row r="220" spans="15:16">
      <c r="O220" s="16"/>
      <c r="P220" s="16"/>
    </row>
    <row r="221" spans="15:16">
      <c r="O221" s="16"/>
      <c r="P221" s="16"/>
    </row>
    <row r="222" spans="15:16">
      <c r="O222" s="16"/>
      <c r="P222" s="16"/>
    </row>
    <row r="223" spans="15:16">
      <c r="O223" s="16"/>
      <c r="P223" s="16"/>
    </row>
    <row r="224" spans="15:16">
      <c r="O224" s="16"/>
      <c r="P224" s="16"/>
    </row>
    <row r="225" spans="11:16">
      <c r="O225" s="16"/>
      <c r="P225" s="16"/>
    </row>
    <row r="226" spans="11:16">
      <c r="O226" s="16"/>
      <c r="P226" s="16"/>
    </row>
    <row r="227" spans="11:16">
      <c r="O227" s="16"/>
      <c r="P227" s="16"/>
    </row>
    <row r="228" spans="11:16">
      <c r="O228" s="16"/>
      <c r="P228" s="16"/>
    </row>
    <row r="229" spans="11:16">
      <c r="O229" s="16"/>
      <c r="P229" s="16"/>
    </row>
    <row r="230" spans="11:16">
      <c r="O230" s="16"/>
      <c r="P230" s="16"/>
    </row>
    <row r="231" spans="11:16">
      <c r="O231" s="16"/>
      <c r="P231" s="16"/>
    </row>
    <row r="232" spans="11:16">
      <c r="K232" s="79"/>
      <c r="O232" s="16"/>
      <c r="P232" s="16"/>
    </row>
    <row r="233" spans="11:16">
      <c r="O233" s="16"/>
      <c r="P233" s="16"/>
    </row>
    <row r="234" spans="11:16">
      <c r="O234" s="16"/>
      <c r="P234" s="16"/>
    </row>
    <row r="235" spans="11:16">
      <c r="M235" s="79"/>
      <c r="O235" s="16"/>
      <c r="P235" s="16"/>
    </row>
    <row r="236" spans="11:16">
      <c r="O236" s="16"/>
      <c r="P236" s="16"/>
    </row>
    <row r="237" spans="11:16">
      <c r="O237" s="16"/>
      <c r="P237" s="16"/>
    </row>
    <row r="238" spans="11:16">
      <c r="O238" s="16"/>
      <c r="P238" s="16"/>
    </row>
    <row r="239" spans="11:16">
      <c r="O239" s="16"/>
      <c r="P239" s="16"/>
    </row>
    <row r="240" spans="11:16">
      <c r="O240" s="16"/>
      <c r="P240" s="16"/>
    </row>
    <row r="241" spans="15:16">
      <c r="O241" s="16"/>
      <c r="P241" s="16"/>
    </row>
    <row r="242" spans="15:16">
      <c r="O242" s="16"/>
      <c r="P242" s="16"/>
    </row>
    <row r="243" spans="15:16">
      <c r="O243" s="16"/>
      <c r="P243" s="16"/>
    </row>
    <row r="244" spans="15:16">
      <c r="O244" s="16"/>
      <c r="P244" s="16"/>
    </row>
    <row r="245" spans="15:16">
      <c r="O245" s="16"/>
      <c r="P245" s="16"/>
    </row>
    <row r="246" spans="15:16">
      <c r="O246" s="16"/>
      <c r="P246" s="16"/>
    </row>
    <row r="247" spans="15:16">
      <c r="O247" s="16"/>
      <c r="P247" s="16"/>
    </row>
    <row r="248" spans="15:16">
      <c r="O248" s="16"/>
      <c r="P248" s="16"/>
    </row>
    <row r="249" spans="15:16">
      <c r="O249" s="16"/>
      <c r="P249" s="16"/>
    </row>
    <row r="250" spans="15:16">
      <c r="O250" s="16"/>
      <c r="P250" s="16"/>
    </row>
    <row r="251" spans="15:16">
      <c r="O251" s="16"/>
      <c r="P251" s="16"/>
    </row>
    <row r="252" spans="15:16">
      <c r="O252" s="16"/>
      <c r="P252" s="16"/>
    </row>
    <row r="253" spans="15:16">
      <c r="O253" s="16"/>
      <c r="P253" s="16"/>
    </row>
    <row r="254" spans="15:16">
      <c r="O254" s="16"/>
      <c r="P254" s="16"/>
    </row>
    <row r="255" spans="15:16">
      <c r="O255" s="16"/>
      <c r="P255" s="16"/>
    </row>
    <row r="256" spans="15:16">
      <c r="O256" s="16"/>
      <c r="P256" s="16"/>
    </row>
    <row r="257" spans="15:16">
      <c r="O257" s="16"/>
      <c r="P257" s="16"/>
    </row>
    <row r="258" spans="15:16">
      <c r="O258" s="16"/>
      <c r="P258" s="16"/>
    </row>
    <row r="259" spans="15:16">
      <c r="O259" s="16"/>
      <c r="P259" s="16"/>
    </row>
    <row r="260" spans="15:16">
      <c r="O260" s="16"/>
      <c r="P260" s="16"/>
    </row>
    <row r="261" spans="15:16">
      <c r="O261" s="16"/>
      <c r="P261" s="16"/>
    </row>
    <row r="262" spans="15:16">
      <c r="O262" s="16"/>
      <c r="P262" s="16"/>
    </row>
    <row r="263" spans="15:16">
      <c r="O263" s="16"/>
      <c r="P263" s="16"/>
    </row>
    <row r="264" spans="15:16">
      <c r="O264" s="16"/>
      <c r="P264" s="16"/>
    </row>
    <row r="265" spans="15:16">
      <c r="O265" s="16"/>
      <c r="P265" s="16"/>
    </row>
    <row r="266" spans="15:16">
      <c r="O266" s="16"/>
      <c r="P266" s="16"/>
    </row>
    <row r="267" spans="15:16">
      <c r="O267" s="16"/>
      <c r="P267" s="16"/>
    </row>
    <row r="268" spans="15:16">
      <c r="O268" s="16"/>
      <c r="P268" s="16"/>
    </row>
    <row r="269" spans="15:16">
      <c r="O269" s="16"/>
      <c r="P269" s="16"/>
    </row>
    <row r="270" spans="15:16">
      <c r="O270" s="16"/>
      <c r="P270" s="16"/>
    </row>
    <row r="271" spans="15:16">
      <c r="O271" s="16"/>
      <c r="P271" s="16"/>
    </row>
    <row r="272" spans="15:16">
      <c r="O272" s="16"/>
      <c r="P272" s="16"/>
    </row>
    <row r="273" spans="15:16">
      <c r="O273" s="16"/>
      <c r="P273" s="16"/>
    </row>
    <row r="274" spans="15:16">
      <c r="O274" s="16"/>
      <c r="P274" s="16"/>
    </row>
    <row r="275" spans="15:16">
      <c r="O275" s="16"/>
      <c r="P275" s="16"/>
    </row>
    <row r="276" spans="15:16">
      <c r="O276" s="16"/>
      <c r="P276" s="16"/>
    </row>
    <row r="277" spans="15:16">
      <c r="O277" s="16"/>
      <c r="P277" s="16"/>
    </row>
    <row r="278" spans="15:16">
      <c r="O278" s="16"/>
      <c r="P278" s="16"/>
    </row>
    <row r="279" spans="15:16">
      <c r="O279" s="16"/>
      <c r="P279" s="16"/>
    </row>
    <row r="280" spans="15:16">
      <c r="O280" s="16"/>
      <c r="P280" s="16"/>
    </row>
    <row r="281" spans="15:16">
      <c r="O281" s="16"/>
      <c r="P281" s="16"/>
    </row>
    <row r="282" spans="15:16">
      <c r="O282" s="16"/>
      <c r="P282" s="16"/>
    </row>
    <row r="283" spans="15:16">
      <c r="O283" s="16"/>
      <c r="P283" s="16"/>
    </row>
    <row r="284" spans="15:16">
      <c r="O284" s="16"/>
      <c r="P284" s="16"/>
    </row>
    <row r="285" spans="15:16">
      <c r="O285" s="16"/>
      <c r="P285" s="16"/>
    </row>
    <row r="286" spans="15:16">
      <c r="O286" s="16"/>
      <c r="P286" s="16"/>
    </row>
    <row r="287" spans="15:16">
      <c r="O287" s="16"/>
      <c r="P287" s="16"/>
    </row>
    <row r="288" spans="15:16">
      <c r="O288" s="16"/>
      <c r="P288" s="16"/>
    </row>
    <row r="289" spans="15:16">
      <c r="O289" s="16"/>
      <c r="P289" s="16"/>
    </row>
    <row r="290" spans="15:16">
      <c r="O290" s="16"/>
      <c r="P290" s="16"/>
    </row>
    <row r="291" spans="15:16">
      <c r="O291" s="16"/>
      <c r="P291" s="16"/>
    </row>
    <row r="292" spans="15:16">
      <c r="O292" s="16"/>
      <c r="P292" s="16"/>
    </row>
    <row r="293" spans="15:16">
      <c r="O293" s="16"/>
      <c r="P293" s="16"/>
    </row>
    <row r="294" spans="15:16">
      <c r="O294" s="16"/>
      <c r="P294" s="16"/>
    </row>
    <row r="295" spans="15:16">
      <c r="O295" s="16"/>
      <c r="P295" s="16"/>
    </row>
    <row r="296" spans="15:16">
      <c r="O296" s="16"/>
      <c r="P296" s="16"/>
    </row>
    <row r="297" spans="15:16">
      <c r="O297" s="16"/>
      <c r="P297" s="16"/>
    </row>
    <row r="298" spans="15:16">
      <c r="O298" s="16"/>
      <c r="P298" s="16"/>
    </row>
    <row r="299" spans="15:16">
      <c r="O299" s="16"/>
      <c r="P299" s="16"/>
    </row>
    <row r="300" spans="15:16">
      <c r="O300" s="16"/>
      <c r="P300" s="16"/>
    </row>
    <row r="301" spans="15:16">
      <c r="O301" s="16"/>
      <c r="P301" s="16"/>
    </row>
    <row r="302" spans="15:16">
      <c r="O302" s="16"/>
      <c r="P302" s="16"/>
    </row>
    <row r="303" spans="15:16">
      <c r="O303" s="16"/>
      <c r="P303" s="16"/>
    </row>
    <row r="304" spans="15:16">
      <c r="O304" s="16"/>
      <c r="P304" s="16"/>
    </row>
    <row r="305" spans="15:16">
      <c r="O305" s="16"/>
      <c r="P305" s="16"/>
    </row>
    <row r="306" spans="15:16">
      <c r="O306" s="16"/>
      <c r="P306" s="16"/>
    </row>
    <row r="307" spans="15:16">
      <c r="O307" s="16"/>
      <c r="P307" s="16"/>
    </row>
    <row r="308" spans="15:16">
      <c r="O308" s="16"/>
      <c r="P308" s="16"/>
    </row>
    <row r="309" spans="15:16">
      <c r="O309" s="16"/>
      <c r="P309" s="16"/>
    </row>
    <row r="310" spans="15:16">
      <c r="O310" s="16"/>
      <c r="P310" s="16"/>
    </row>
    <row r="311" spans="15:16">
      <c r="O311" s="16"/>
      <c r="P311" s="16"/>
    </row>
    <row r="312" spans="15:16">
      <c r="O312" s="16"/>
      <c r="P312" s="16"/>
    </row>
    <row r="313" spans="15:16">
      <c r="O313" s="16"/>
      <c r="P313" s="16"/>
    </row>
    <row r="314" spans="15:16">
      <c r="O314" s="16"/>
      <c r="P314" s="16"/>
    </row>
    <row r="315" spans="15:16">
      <c r="O315" s="16"/>
      <c r="P315" s="16"/>
    </row>
    <row r="316" spans="15:16">
      <c r="O316" s="16"/>
      <c r="P316" s="16"/>
    </row>
    <row r="317" spans="15:16">
      <c r="O317" s="16"/>
      <c r="P317" s="16"/>
    </row>
    <row r="318" spans="15:16">
      <c r="O318" s="16"/>
      <c r="P318" s="16"/>
    </row>
    <row r="319" spans="15:16">
      <c r="O319" s="16"/>
      <c r="P319" s="16"/>
    </row>
    <row r="320" spans="15:16">
      <c r="O320" s="16"/>
      <c r="P320" s="16"/>
    </row>
    <row r="321" spans="15:16">
      <c r="O321" s="16"/>
      <c r="P321" s="16"/>
    </row>
    <row r="322" spans="15:16">
      <c r="O322" s="16"/>
      <c r="P322" s="16"/>
    </row>
    <row r="323" spans="15:16">
      <c r="O323" s="16"/>
      <c r="P323" s="16"/>
    </row>
    <row r="324" spans="15:16">
      <c r="O324" s="16"/>
      <c r="P324" s="16"/>
    </row>
    <row r="325" spans="15:16">
      <c r="O325" s="16"/>
      <c r="P325" s="16"/>
    </row>
    <row r="326" spans="15:16">
      <c r="O326" s="16"/>
      <c r="P326" s="16"/>
    </row>
    <row r="327" spans="15:16">
      <c r="O327" s="16"/>
      <c r="P327" s="16"/>
    </row>
    <row r="328" spans="15:16">
      <c r="O328" s="16"/>
      <c r="P328" s="16"/>
    </row>
    <row r="329" spans="15:16">
      <c r="O329" s="16"/>
      <c r="P329" s="16"/>
    </row>
    <row r="330" spans="15:16">
      <c r="O330" s="16"/>
      <c r="P330" s="16"/>
    </row>
    <row r="331" spans="15:16">
      <c r="O331" s="16"/>
      <c r="P331" s="16"/>
    </row>
    <row r="332" spans="15:16">
      <c r="O332" s="16"/>
      <c r="P332" s="16"/>
    </row>
    <row r="333" spans="15:16">
      <c r="O333" s="16"/>
      <c r="P333" s="16"/>
    </row>
    <row r="334" spans="15:16">
      <c r="O334" s="16"/>
      <c r="P334" s="16"/>
    </row>
    <row r="335" spans="15:16">
      <c r="O335" s="16"/>
      <c r="P335" s="16"/>
    </row>
    <row r="336" spans="15:16">
      <c r="O336" s="16"/>
      <c r="P336" s="16"/>
    </row>
    <row r="337" spans="9:16">
      <c r="O337" s="16"/>
      <c r="P337" s="16"/>
    </row>
    <row r="338" spans="9:16">
      <c r="O338" s="16"/>
      <c r="P338" s="16"/>
    </row>
    <row r="339" spans="9:16">
      <c r="O339" s="16"/>
      <c r="P339" s="16"/>
    </row>
    <row r="340" spans="9:16">
      <c r="O340" s="16"/>
      <c r="P340" s="16"/>
    </row>
    <row r="341" spans="9:16">
      <c r="O341" s="16"/>
      <c r="P341" s="16"/>
    </row>
    <row r="342" spans="9:16">
      <c r="O342" s="16"/>
      <c r="P342" s="16"/>
    </row>
    <row r="343" spans="9:16">
      <c r="O343" s="16"/>
      <c r="P343" s="16"/>
    </row>
    <row r="344" spans="9:16">
      <c r="O344" s="16"/>
      <c r="P344" s="16"/>
    </row>
    <row r="345" spans="9:16">
      <c r="O345" s="16"/>
      <c r="P345" s="16"/>
    </row>
    <row r="346" spans="9:16">
      <c r="O346" s="16"/>
      <c r="P346" s="16"/>
    </row>
    <row r="347" spans="9:16">
      <c r="O347" s="16"/>
      <c r="P347" s="16"/>
    </row>
    <row r="348" spans="9:16">
      <c r="O348" s="16"/>
      <c r="P348" s="16"/>
    </row>
    <row r="349" spans="9:16">
      <c r="I349" s="79"/>
      <c r="O349" s="16"/>
      <c r="P349" s="16"/>
    </row>
    <row r="350" spans="9:16">
      <c r="I350" s="79"/>
      <c r="O350" s="16"/>
      <c r="P350" s="16"/>
    </row>
    <row r="351" spans="9:16">
      <c r="I351" s="79"/>
      <c r="O351" s="16"/>
      <c r="P351" s="16"/>
    </row>
    <row r="352" spans="9:16">
      <c r="O352" s="16"/>
      <c r="P352" s="16"/>
    </row>
    <row r="353" spans="9:16">
      <c r="I353" s="79"/>
      <c r="O353" s="16"/>
      <c r="P353" s="16"/>
    </row>
    <row r="354" spans="9:16">
      <c r="I354" s="79"/>
      <c r="K354" s="79"/>
      <c r="O354" s="16"/>
      <c r="P354" s="16"/>
    </row>
    <row r="355" spans="9:16">
      <c r="I355" s="79"/>
      <c r="K355" s="79"/>
      <c r="O355" s="16"/>
      <c r="P355" s="16"/>
    </row>
    <row r="356" spans="9:16">
      <c r="K356" s="79"/>
      <c r="O356" s="16"/>
    </row>
    <row r="357" spans="9:16">
      <c r="M357" s="79"/>
    </row>
    <row r="358" spans="9:16">
      <c r="M358" s="79"/>
    </row>
    <row r="359" spans="9:16">
      <c r="M359" s="79"/>
    </row>
    <row r="361" spans="9:16">
      <c r="P361" s="79"/>
    </row>
    <row r="362" spans="9:16">
      <c r="O362" s="79"/>
      <c r="P362" s="79"/>
    </row>
    <row r="363" spans="9:16">
      <c r="O363" s="79"/>
      <c r="P363" s="79"/>
    </row>
    <row r="364" spans="9:16">
      <c r="O364" s="79"/>
    </row>
    <row r="365" spans="9:16">
      <c r="P365" s="79"/>
    </row>
    <row r="366" spans="9:16">
      <c r="O366" s="79"/>
      <c r="P366" s="79"/>
    </row>
    <row r="367" spans="9:16">
      <c r="O367" s="79"/>
      <c r="P367" s="79"/>
    </row>
    <row r="368" spans="9:16">
      <c r="O368" s="79"/>
      <c r="P368" s="16"/>
    </row>
    <row r="369" spans="9:16">
      <c r="O369" s="16"/>
    </row>
    <row r="371" spans="9:16">
      <c r="I371" s="79"/>
    </row>
    <row r="372" spans="9:16">
      <c r="K372" s="79"/>
    </row>
    <row r="375" spans="9:16">
      <c r="M375" s="79"/>
    </row>
    <row r="384" spans="9:16">
      <c r="P384" s="79"/>
    </row>
    <row r="385" spans="15:16">
      <c r="O385" s="79"/>
    </row>
    <row r="387" spans="15:16">
      <c r="P387" s="16"/>
    </row>
    <row r="388" spans="15:16">
      <c r="O388" s="16"/>
      <c r="P388" s="16"/>
    </row>
    <row r="389" spans="15:16">
      <c r="O389" s="16"/>
      <c r="P389" s="16"/>
    </row>
    <row r="390" spans="15:16">
      <c r="O390" s="16"/>
      <c r="P390" s="16"/>
    </row>
    <row r="391" spans="15:16">
      <c r="O391" s="16"/>
      <c r="P391" s="16"/>
    </row>
    <row r="392" spans="15:16">
      <c r="O392" s="16"/>
      <c r="P392" s="16"/>
    </row>
    <row r="393" spans="15:16">
      <c r="O393" s="16"/>
      <c r="P393" s="16"/>
    </row>
    <row r="394" spans="15:16">
      <c r="O394" s="16"/>
      <c r="P394" s="16"/>
    </row>
    <row r="395" spans="15:16">
      <c r="O395" s="16"/>
      <c r="P395" s="16"/>
    </row>
    <row r="396" spans="15:16">
      <c r="O396" s="16"/>
      <c r="P396" s="16"/>
    </row>
    <row r="397" spans="15:16">
      <c r="O397" s="16"/>
      <c r="P397" s="16"/>
    </row>
    <row r="398" spans="15:16">
      <c r="O398" s="16"/>
      <c r="P398" s="16"/>
    </row>
    <row r="399" spans="15:16">
      <c r="O399" s="16"/>
      <c r="P399" s="16"/>
    </row>
    <row r="400" spans="15:16">
      <c r="O400" s="16"/>
      <c r="P400" s="16"/>
    </row>
    <row r="401" spans="15:16">
      <c r="O401" s="16"/>
      <c r="P401" s="16"/>
    </row>
    <row r="402" spans="15:16">
      <c r="O402" s="16"/>
      <c r="P402" s="16"/>
    </row>
    <row r="403" spans="15:16">
      <c r="O403" s="16"/>
      <c r="P403" s="16"/>
    </row>
    <row r="404" spans="15:16">
      <c r="O404" s="16"/>
      <c r="P404" s="16"/>
    </row>
    <row r="405" spans="15:16">
      <c r="O405" s="16"/>
      <c r="P405" s="16"/>
    </row>
    <row r="406" spans="15:16">
      <c r="O406" s="16"/>
      <c r="P406" s="16"/>
    </row>
    <row r="407" spans="15:16">
      <c r="O407" s="16"/>
      <c r="P407" s="16"/>
    </row>
    <row r="408" spans="15:16">
      <c r="O408" s="16"/>
      <c r="P408" s="16"/>
    </row>
    <row r="409" spans="15:16">
      <c r="O409" s="16"/>
      <c r="P409" s="16"/>
    </row>
    <row r="410" spans="15:16">
      <c r="O410" s="16"/>
      <c r="P410" s="16"/>
    </row>
    <row r="411" spans="15:16">
      <c r="O411" s="16"/>
      <c r="P411" s="16"/>
    </row>
    <row r="412" spans="15:16">
      <c r="O412" s="16"/>
      <c r="P412" s="16"/>
    </row>
    <row r="413" spans="15:16">
      <c r="O413" s="16"/>
      <c r="P413" s="16"/>
    </row>
    <row r="414" spans="15:16">
      <c r="O414" s="16"/>
      <c r="P414" s="16"/>
    </row>
    <row r="415" spans="15:16">
      <c r="O415" s="16"/>
      <c r="P415" s="16"/>
    </row>
    <row r="416" spans="15:16">
      <c r="O416" s="16"/>
      <c r="P416" s="16"/>
    </row>
    <row r="417" spans="15:16">
      <c r="O417" s="16"/>
      <c r="P417" s="16"/>
    </row>
    <row r="418" spans="15:16">
      <c r="O418" s="16"/>
      <c r="P418" s="16"/>
    </row>
    <row r="419" spans="15:16">
      <c r="O419" s="16"/>
      <c r="P419" s="16"/>
    </row>
    <row r="420" spans="15:16">
      <c r="O420" s="16"/>
      <c r="P420" s="16"/>
    </row>
    <row r="421" spans="15:16">
      <c r="O421" s="16"/>
      <c r="P421" s="16"/>
    </row>
    <row r="422" spans="15:16">
      <c r="O422" s="16"/>
      <c r="P422" s="16"/>
    </row>
    <row r="423" spans="15:16">
      <c r="O423" s="16"/>
      <c r="P423" s="16"/>
    </row>
    <row r="424" spans="15:16">
      <c r="O424" s="16"/>
      <c r="P424" s="16"/>
    </row>
    <row r="425" spans="15:16">
      <c r="O425" s="16"/>
      <c r="P425" s="16"/>
    </row>
    <row r="426" spans="15:16">
      <c r="O426" s="16"/>
      <c r="P426" s="16"/>
    </row>
    <row r="427" spans="15:16">
      <c r="O427" s="16"/>
      <c r="P427" s="16"/>
    </row>
    <row r="428" spans="15:16">
      <c r="O428" s="16"/>
      <c r="P428" s="16"/>
    </row>
    <row r="429" spans="15:16">
      <c r="O429" s="16"/>
      <c r="P429" s="16"/>
    </row>
    <row r="430" spans="15:16">
      <c r="O430" s="16"/>
      <c r="P430" s="16"/>
    </row>
    <row r="431" spans="15:16">
      <c r="O431" s="16"/>
      <c r="P431" s="16"/>
    </row>
    <row r="432" spans="15:16">
      <c r="O432" s="16"/>
      <c r="P432" s="16"/>
    </row>
    <row r="433" spans="15:16">
      <c r="O433" s="16"/>
      <c r="P433" s="16"/>
    </row>
    <row r="434" spans="15:16">
      <c r="O434" s="16"/>
      <c r="P434" s="16"/>
    </row>
    <row r="435" spans="15:16">
      <c r="O435" s="16"/>
      <c r="P435" s="16"/>
    </row>
    <row r="436" spans="15:16">
      <c r="O436" s="16"/>
      <c r="P436" s="16"/>
    </row>
    <row r="437" spans="15:16">
      <c r="O437" s="16"/>
      <c r="P437" s="16"/>
    </row>
    <row r="438" spans="15:16">
      <c r="O438" s="16"/>
      <c r="P438" s="16"/>
    </row>
    <row r="439" spans="15:16">
      <c r="O439" s="16"/>
      <c r="P439" s="16"/>
    </row>
    <row r="440" spans="15:16">
      <c r="O440" s="16"/>
      <c r="P440" s="16"/>
    </row>
    <row r="441" spans="15:16">
      <c r="O441" s="16"/>
      <c r="P441" s="16"/>
    </row>
    <row r="442" spans="15:16">
      <c r="O442" s="16"/>
      <c r="P442" s="16"/>
    </row>
    <row r="443" spans="15:16">
      <c r="O443" s="16"/>
      <c r="P443" s="16"/>
    </row>
    <row r="444" spans="15:16">
      <c r="O444" s="16"/>
      <c r="P444" s="16"/>
    </row>
    <row r="445" spans="15:16">
      <c r="O445" s="16"/>
      <c r="P445" s="16"/>
    </row>
    <row r="446" spans="15:16">
      <c r="O446" s="16"/>
      <c r="P446" s="16"/>
    </row>
    <row r="447" spans="15:16">
      <c r="O447" s="16"/>
      <c r="P447" s="16"/>
    </row>
    <row r="448" spans="15:16">
      <c r="O448" s="16"/>
      <c r="P448" s="16"/>
    </row>
    <row r="449" spans="15:16">
      <c r="O449" s="16"/>
      <c r="P449" s="16"/>
    </row>
    <row r="450" spans="15:16">
      <c r="O450" s="16"/>
      <c r="P450" s="16"/>
    </row>
    <row r="451" spans="15:16">
      <c r="O451" s="16"/>
      <c r="P451" s="16"/>
    </row>
    <row r="452" spans="15:16">
      <c r="O452" s="16"/>
      <c r="P452" s="16"/>
    </row>
    <row r="453" spans="15:16">
      <c r="O453" s="16"/>
      <c r="P453" s="16"/>
    </row>
    <row r="454" spans="15:16">
      <c r="O454" s="16"/>
      <c r="P454" s="16"/>
    </row>
    <row r="455" spans="15:16">
      <c r="O455" s="16"/>
      <c r="P455" s="16"/>
    </row>
    <row r="456" spans="15:16">
      <c r="O456" s="16"/>
      <c r="P456" s="16"/>
    </row>
    <row r="457" spans="15:16">
      <c r="O457" s="16"/>
      <c r="P457" s="16"/>
    </row>
    <row r="458" spans="15:16">
      <c r="O458" s="16"/>
      <c r="P458" s="16"/>
    </row>
    <row r="459" spans="15:16">
      <c r="O459" s="16"/>
      <c r="P459" s="16"/>
    </row>
    <row r="460" spans="15:16">
      <c r="O460" s="16"/>
      <c r="P460" s="16"/>
    </row>
    <row r="461" spans="15:16">
      <c r="O461" s="16"/>
      <c r="P461" s="16"/>
    </row>
    <row r="462" spans="15:16">
      <c r="O462" s="16"/>
      <c r="P462" s="16"/>
    </row>
    <row r="463" spans="15:16">
      <c r="O463" s="16"/>
      <c r="P463" s="16"/>
    </row>
    <row r="464" spans="15:16">
      <c r="O464" s="16"/>
      <c r="P464" s="16"/>
    </row>
    <row r="465" spans="15:16">
      <c r="O465" s="16"/>
      <c r="P465" s="16"/>
    </row>
    <row r="466" spans="15:16">
      <c r="O466" s="16"/>
      <c r="P466" s="16"/>
    </row>
    <row r="467" spans="15:16">
      <c r="O467" s="16"/>
      <c r="P467" s="16"/>
    </row>
    <row r="468" spans="15:16">
      <c r="O468" s="16"/>
      <c r="P468" s="16"/>
    </row>
    <row r="469" spans="15:16">
      <c r="O469" s="16"/>
      <c r="P469" s="16"/>
    </row>
    <row r="470" spans="15:16">
      <c r="O470" s="16"/>
      <c r="P470" s="16"/>
    </row>
    <row r="471" spans="15:16">
      <c r="O471" s="16"/>
      <c r="P471" s="16"/>
    </row>
    <row r="472" spans="15:16">
      <c r="O472" s="16"/>
      <c r="P472" s="16"/>
    </row>
    <row r="473" spans="15:16">
      <c r="O473" s="16"/>
      <c r="P473" s="16"/>
    </row>
    <row r="474" spans="15:16">
      <c r="O474" s="16"/>
      <c r="P474" s="16"/>
    </row>
    <row r="475" spans="15:16">
      <c r="O475" s="16"/>
      <c r="P475" s="16"/>
    </row>
    <row r="476" spans="15:16">
      <c r="O476" s="16"/>
      <c r="P476" s="16"/>
    </row>
    <row r="477" spans="15:16">
      <c r="O477" s="16"/>
      <c r="P477" s="16"/>
    </row>
    <row r="478" spans="15:16">
      <c r="O478" s="16"/>
      <c r="P478" s="16"/>
    </row>
    <row r="479" spans="15:16">
      <c r="O479" s="16"/>
      <c r="P479" s="16"/>
    </row>
    <row r="480" spans="15:16">
      <c r="O480" s="16"/>
      <c r="P480" s="16"/>
    </row>
    <row r="481" spans="15:16">
      <c r="O481" s="16"/>
      <c r="P481" s="16"/>
    </row>
    <row r="482" spans="15:16">
      <c r="O482" s="16"/>
      <c r="P482" s="16"/>
    </row>
    <row r="483" spans="15:16">
      <c r="O483" s="16"/>
      <c r="P483" s="16"/>
    </row>
    <row r="484" spans="15:16">
      <c r="O484" s="16"/>
      <c r="P484" s="16"/>
    </row>
    <row r="485" spans="15:16">
      <c r="O485" s="16"/>
      <c r="P485" s="16"/>
    </row>
    <row r="486" spans="15:16">
      <c r="O486" s="16"/>
      <c r="P486" s="16"/>
    </row>
    <row r="487" spans="15:16">
      <c r="O487" s="16"/>
      <c r="P487" s="16"/>
    </row>
    <row r="488" spans="15:16">
      <c r="O488" s="16"/>
      <c r="P488" s="16"/>
    </row>
    <row r="489" spans="15:16">
      <c r="O489" s="16"/>
      <c r="P489" s="16"/>
    </row>
    <row r="490" spans="15:16">
      <c r="O490" s="16"/>
      <c r="P490" s="16"/>
    </row>
    <row r="491" spans="15:16">
      <c r="O491" s="16"/>
      <c r="P491" s="16"/>
    </row>
    <row r="492" spans="15:16">
      <c r="O492" s="16"/>
      <c r="P492" s="16"/>
    </row>
    <row r="493" spans="15:16">
      <c r="O493" s="16"/>
      <c r="P493" s="16"/>
    </row>
    <row r="494" spans="15:16">
      <c r="O494" s="16"/>
      <c r="P494" s="16"/>
    </row>
    <row r="495" spans="15:16">
      <c r="O495" s="16"/>
      <c r="P495" s="16"/>
    </row>
    <row r="496" spans="15:16">
      <c r="O496" s="16"/>
      <c r="P496" s="16"/>
    </row>
    <row r="497" spans="15:16">
      <c r="O497" s="16"/>
      <c r="P497" s="16"/>
    </row>
    <row r="498" spans="15:16">
      <c r="O498" s="16"/>
      <c r="P498" s="16"/>
    </row>
    <row r="499" spans="15:16">
      <c r="O499" s="16"/>
      <c r="P499" s="16"/>
    </row>
    <row r="500" spans="15:16">
      <c r="O500" s="16"/>
      <c r="P500" s="16"/>
    </row>
    <row r="501" spans="15:16">
      <c r="O501" s="16"/>
      <c r="P501" s="16"/>
    </row>
    <row r="502" spans="15:16">
      <c r="O502" s="16"/>
      <c r="P502" s="16"/>
    </row>
    <row r="503" spans="15:16">
      <c r="O503" s="16"/>
      <c r="P503" s="16"/>
    </row>
    <row r="504" spans="15:16">
      <c r="O504" s="16"/>
      <c r="P504" s="16"/>
    </row>
    <row r="505" spans="15:16">
      <c r="O505" s="16"/>
      <c r="P505" s="16"/>
    </row>
    <row r="506" spans="15:16">
      <c r="O506" s="16"/>
      <c r="P506" s="16"/>
    </row>
    <row r="507" spans="15:16">
      <c r="O507" s="16"/>
      <c r="P507" s="16"/>
    </row>
    <row r="508" spans="15:16">
      <c r="O508" s="16"/>
      <c r="P508" s="16"/>
    </row>
    <row r="509" spans="15:16">
      <c r="O509" s="16"/>
      <c r="P509" s="16"/>
    </row>
    <row r="510" spans="15:16">
      <c r="O510" s="16"/>
      <c r="P510" s="16"/>
    </row>
    <row r="511" spans="15:16">
      <c r="O511" s="16"/>
      <c r="P511" s="16"/>
    </row>
    <row r="512" spans="15:16">
      <c r="O512" s="16"/>
      <c r="P512" s="16"/>
    </row>
    <row r="513" spans="15:16">
      <c r="O513" s="16"/>
      <c r="P513" s="16"/>
    </row>
    <row r="514" spans="15:16">
      <c r="O514" s="16"/>
      <c r="P514" s="16"/>
    </row>
    <row r="515" spans="15:16">
      <c r="O515" s="16"/>
      <c r="P515" s="16"/>
    </row>
    <row r="516" spans="15:16">
      <c r="O516" s="16"/>
      <c r="P516" s="16"/>
    </row>
    <row r="517" spans="15:16">
      <c r="O517" s="16"/>
      <c r="P517" s="16"/>
    </row>
    <row r="518" spans="15:16">
      <c r="O518" s="16"/>
      <c r="P518" s="16"/>
    </row>
    <row r="519" spans="15:16">
      <c r="O519" s="16"/>
      <c r="P519" s="16"/>
    </row>
    <row r="520" spans="15:16">
      <c r="O520" s="16"/>
      <c r="P520" s="16"/>
    </row>
    <row r="521" spans="15:16">
      <c r="O521" s="16"/>
      <c r="P521" s="16"/>
    </row>
    <row r="522" spans="15:16">
      <c r="O522" s="16"/>
      <c r="P522" s="16"/>
    </row>
    <row r="523" spans="15:16">
      <c r="O523" s="16"/>
      <c r="P523" s="16"/>
    </row>
    <row r="524" spans="15:16">
      <c r="O524" s="16"/>
      <c r="P524" s="16"/>
    </row>
    <row r="525" spans="15:16">
      <c r="O525" s="16"/>
      <c r="P525" s="16"/>
    </row>
    <row r="526" spans="15:16">
      <c r="O526" s="16"/>
      <c r="P526" s="16"/>
    </row>
    <row r="527" spans="15:16">
      <c r="O527" s="16"/>
      <c r="P527" s="16"/>
    </row>
    <row r="528" spans="15:16">
      <c r="O528" s="16"/>
      <c r="P528" s="16"/>
    </row>
    <row r="529" spans="15:16">
      <c r="O529" s="16"/>
      <c r="P529" s="16"/>
    </row>
    <row r="530" spans="15:16">
      <c r="O530" s="16"/>
      <c r="P530" s="16"/>
    </row>
    <row r="531" spans="15:16">
      <c r="O531" s="16"/>
      <c r="P531" s="16"/>
    </row>
    <row r="532" spans="15:16">
      <c r="O532" s="16"/>
      <c r="P532" s="16"/>
    </row>
    <row r="533" spans="15:16">
      <c r="O533" s="16"/>
      <c r="P533" s="16"/>
    </row>
    <row r="534" spans="15:16">
      <c r="O534" s="16"/>
      <c r="P534" s="16"/>
    </row>
    <row r="535" spans="15:16">
      <c r="O535" s="16"/>
      <c r="P535" s="16"/>
    </row>
    <row r="536" spans="15:16">
      <c r="O536" s="16"/>
      <c r="P536" s="16"/>
    </row>
    <row r="537" spans="15:16">
      <c r="O537" s="16"/>
      <c r="P537" s="16"/>
    </row>
    <row r="538" spans="15:16">
      <c r="O538" s="16"/>
      <c r="P538" s="16"/>
    </row>
    <row r="539" spans="15:16">
      <c r="O539" s="16"/>
      <c r="P539" s="16"/>
    </row>
    <row r="540" spans="15:16">
      <c r="O540" s="16"/>
      <c r="P540" s="16"/>
    </row>
    <row r="541" spans="15:16">
      <c r="O541" s="16"/>
      <c r="P541" s="16"/>
    </row>
    <row r="542" spans="15:16">
      <c r="O542" s="16"/>
      <c r="P542" s="16"/>
    </row>
    <row r="543" spans="15:16">
      <c r="O543" s="16"/>
      <c r="P543" s="16"/>
    </row>
    <row r="544" spans="15:16">
      <c r="O544" s="16"/>
      <c r="P544" s="16"/>
    </row>
    <row r="545" spans="15:16">
      <c r="O545" s="16"/>
      <c r="P545" s="16"/>
    </row>
    <row r="546" spans="15:16">
      <c r="O546" s="16"/>
      <c r="P546" s="16"/>
    </row>
    <row r="547" spans="15:16">
      <c r="O547" s="16"/>
      <c r="P547" s="16"/>
    </row>
    <row r="548" spans="15:16">
      <c r="O548" s="16"/>
      <c r="P548" s="16"/>
    </row>
    <row r="549" spans="15:16">
      <c r="O549" s="16"/>
      <c r="P549" s="16"/>
    </row>
    <row r="550" spans="15:16">
      <c r="O550" s="16"/>
      <c r="P550" s="16"/>
    </row>
    <row r="551" spans="15:16">
      <c r="O551" s="16"/>
      <c r="P551" s="16"/>
    </row>
    <row r="552" spans="15:16">
      <c r="O552" s="16"/>
      <c r="P552" s="16"/>
    </row>
    <row r="553" spans="15:16">
      <c r="O553" s="16"/>
      <c r="P553" s="16"/>
    </row>
    <row r="554" spans="15:16">
      <c r="O554" s="16"/>
      <c r="P554" s="16"/>
    </row>
    <row r="555" spans="15:16">
      <c r="O555" s="16"/>
      <c r="P555" s="16"/>
    </row>
    <row r="556" spans="15:16">
      <c r="O556" s="16"/>
      <c r="P556" s="16"/>
    </row>
    <row r="557" spans="15:16">
      <c r="O557" s="16"/>
      <c r="P557" s="16"/>
    </row>
    <row r="558" spans="15:16">
      <c r="O558" s="16"/>
      <c r="P558" s="16"/>
    </row>
    <row r="559" spans="15:16">
      <c r="O559" s="16"/>
      <c r="P559" s="16"/>
    </row>
    <row r="560" spans="15:16">
      <c r="O560" s="16"/>
      <c r="P560" s="16"/>
    </row>
    <row r="561" spans="15:16">
      <c r="O561" s="16"/>
      <c r="P561" s="16"/>
    </row>
    <row r="562" spans="15:16">
      <c r="O562" s="16"/>
      <c r="P562" s="16"/>
    </row>
    <row r="563" spans="15:16">
      <c r="O563" s="16"/>
      <c r="P563" s="16"/>
    </row>
    <row r="564" spans="15:16">
      <c r="O564" s="16"/>
      <c r="P564" s="16"/>
    </row>
    <row r="565" spans="15:16">
      <c r="O565" s="16"/>
      <c r="P565" s="16"/>
    </row>
    <row r="566" spans="15:16">
      <c r="O566" s="16"/>
      <c r="P566" s="16"/>
    </row>
    <row r="567" spans="15:16">
      <c r="O567" s="16"/>
      <c r="P567" s="16"/>
    </row>
    <row r="568" spans="15:16">
      <c r="O568" s="16"/>
      <c r="P568" s="16"/>
    </row>
    <row r="569" spans="15:16">
      <c r="O569" s="16"/>
      <c r="P569" s="16"/>
    </row>
    <row r="570" spans="15:16">
      <c r="O570" s="16"/>
      <c r="P570" s="16"/>
    </row>
    <row r="571" spans="15:16">
      <c r="O571" s="16"/>
      <c r="P571" s="16"/>
    </row>
    <row r="572" spans="15:16">
      <c r="O572" s="16"/>
      <c r="P572" s="16"/>
    </row>
    <row r="573" spans="15:16">
      <c r="O573" s="16"/>
      <c r="P573" s="16"/>
    </row>
    <row r="574" spans="15:16">
      <c r="O574" s="16"/>
      <c r="P574" s="16"/>
    </row>
    <row r="575" spans="15:16">
      <c r="O575" s="16"/>
      <c r="P575" s="16"/>
    </row>
    <row r="576" spans="15:16">
      <c r="O576" s="16"/>
      <c r="P576" s="16"/>
    </row>
    <row r="577" spans="9:16">
      <c r="O577" s="16"/>
      <c r="P577" s="16"/>
    </row>
    <row r="578" spans="9:16">
      <c r="O578" s="16"/>
      <c r="P578" s="16"/>
    </row>
    <row r="579" spans="9:16">
      <c r="O579" s="16"/>
      <c r="P579" s="16"/>
    </row>
    <row r="580" spans="9:16">
      <c r="O580" s="16"/>
      <c r="P580" s="16"/>
    </row>
    <row r="581" spans="9:16">
      <c r="O581" s="16"/>
      <c r="P581" s="16"/>
    </row>
    <row r="582" spans="9:16">
      <c r="I582" s="79"/>
      <c r="O582" s="16"/>
      <c r="P582" s="16"/>
    </row>
    <row r="583" spans="9:16">
      <c r="K583" s="79"/>
      <c r="O583" s="16"/>
      <c r="P583" s="16"/>
    </row>
    <row r="584" spans="9:16">
      <c r="O584" s="16"/>
      <c r="P584" s="16"/>
    </row>
    <row r="585" spans="9:16">
      <c r="O585" s="16"/>
      <c r="P585" s="16"/>
    </row>
    <row r="586" spans="9:16">
      <c r="I586" s="79"/>
      <c r="M586" s="79"/>
      <c r="O586" s="16"/>
      <c r="P586" s="16"/>
    </row>
    <row r="587" spans="9:16">
      <c r="I587" s="79"/>
      <c r="O587" s="16"/>
      <c r="P587" s="16"/>
    </row>
    <row r="588" spans="9:16">
      <c r="O588" s="16"/>
    </row>
    <row r="594" spans="15:16">
      <c r="P594" s="79"/>
    </row>
    <row r="595" spans="15:16">
      <c r="O595" s="79"/>
    </row>
    <row r="598" spans="15:16">
      <c r="P598" s="79"/>
    </row>
    <row r="599" spans="15:16">
      <c r="O599" s="79"/>
      <c r="P599" s="16"/>
    </row>
    <row r="600" spans="15:16">
      <c r="O600" s="16"/>
    </row>
  </sheetData>
  <mergeCells count="5">
    <mergeCell ref="B2:P3"/>
    <mergeCell ref="B5:B6"/>
    <mergeCell ref="C5:C6"/>
    <mergeCell ref="E7:E8"/>
    <mergeCell ref="G7:G8"/>
  </mergeCells>
  <phoneticPr fontId="78" type="noConversion"/>
  <conditionalFormatting sqref="O9">
    <cfRule type="containsText" dxfId="169" priority="34" operator="containsText" text="A resgatar">
      <formula>NOT(ISERROR(SEARCH("A resgatar",O9)))</formula>
    </cfRule>
    <cfRule type="containsText" dxfId="168" priority="35" operator="containsText" text="Provisionado">
      <formula>NOT(ISERROR(SEARCH("Provisionado",O9)))</formula>
    </cfRule>
    <cfRule type="containsText" dxfId="167" priority="36" operator="containsText" text="Saldo inicial">
      <formula>NOT(ISERROR(SEARCH("Saldo inicial",O9)))</formula>
    </cfRule>
    <cfRule type="containsText" dxfId="166" priority="37" operator="containsText" text="A repassar">
      <formula>NOT(ISERROR(SEARCH("A repassar",O9)))</formula>
    </cfRule>
    <cfRule type="containsText" dxfId="165" priority="38" operator="containsText" text="Repassado">
      <formula>NOT(ISERROR(SEARCH("Repassado",O9)))</formula>
    </cfRule>
    <cfRule type="containsText" dxfId="164" priority="39" operator="containsText" text="Provisionado DL">
      <formula>NOT(ISERROR(SEARCH("Provisionado DL",O9)))</formula>
    </cfRule>
    <cfRule type="containsText" dxfId="163" priority="40" operator="containsText" text="Provisionado">
      <formula>NOT(ISERROR(SEARCH("Provisionado",O9)))</formula>
    </cfRule>
    <cfRule type="containsText" dxfId="162" priority="41" operator="containsText" text="Provisionado">
      <formula>NOT(ISERROR(SEARCH("Provisionado",O9)))</formula>
    </cfRule>
    <cfRule type="containsText" dxfId="161" priority="42" operator="containsText" text="Resgate">
      <formula>NOT(ISERROR(SEARCH("Resgate",O9)))</formula>
    </cfRule>
    <cfRule type="containsText" dxfId="160" priority="43" operator="containsText" text="Aplicação">
      <formula>NOT(ISERROR(SEARCH("Aplicação",O9)))</formula>
    </cfRule>
    <cfRule type="containsText" dxfId="159" priority="44" operator="containsText" text="A Aplicar">
      <formula>NOT(ISERROR(SEARCH("A Aplicar",O9)))</formula>
    </cfRule>
    <cfRule type="containsText" dxfId="158" priority="45" operator="containsText" text="A receber">
      <formula>NOT(ISERROR(SEARCH("A receber",O9)))</formula>
    </cfRule>
    <cfRule type="containsText" dxfId="157" priority="46" operator="containsText" text="Recebido">
      <formula>NOT(ISERROR(SEARCH("Recebido",O9)))</formula>
    </cfRule>
    <cfRule type="containsText" dxfId="156" priority="47" operator="containsText" text="A pagar">
      <formula>NOT(ISERROR(SEARCH("A pagar",O9)))</formula>
    </cfRule>
    <cfRule type="containsText" dxfId="155" priority="48" operator="containsText" text="Pago">
      <formula>NOT(ISERROR(SEARCH("Pago",O9)))</formula>
    </cfRule>
  </conditionalFormatting>
  <conditionalFormatting sqref="O11">
    <cfRule type="containsText" dxfId="154" priority="22" operator="containsText" text="Saldo inicial">
      <formula>NOT(ISERROR(SEARCH("Saldo inicial",O11)))</formula>
    </cfRule>
    <cfRule type="containsText" dxfId="153" priority="23" operator="containsText" text="A repassar">
      <formula>NOT(ISERROR(SEARCH("A repassar",O11)))</formula>
    </cfRule>
    <cfRule type="containsText" dxfId="152" priority="24" operator="containsText" text="Repassado">
      <formula>NOT(ISERROR(SEARCH("Repassado",O11)))</formula>
    </cfRule>
    <cfRule type="containsText" dxfId="151" priority="25" operator="containsText" text="Provisionado DL">
      <formula>NOT(ISERROR(SEARCH("Provisionado DL",O11)))</formula>
    </cfRule>
    <cfRule type="containsText" dxfId="150" priority="26" operator="containsText" text="Provisionado">
      <formula>NOT(ISERROR(SEARCH("Provisionado",O11)))</formula>
    </cfRule>
    <cfRule type="containsText" dxfId="149" priority="27" operator="containsText" text="Resgate">
      <formula>NOT(ISERROR(SEARCH("Resgate",O11)))</formula>
    </cfRule>
    <cfRule type="containsText" dxfId="148" priority="28" operator="containsText" text="Aplicação">
      <formula>NOT(ISERROR(SEARCH("Aplicação",O11)))</formula>
    </cfRule>
    <cfRule type="containsText" dxfId="147" priority="29" operator="containsText" text="A Aplicar">
      <formula>NOT(ISERROR(SEARCH("A Aplicar",O11)))</formula>
    </cfRule>
    <cfRule type="containsText" dxfId="146" priority="30" operator="containsText" text="A receber">
      <formula>NOT(ISERROR(SEARCH("A receber",O11)))</formula>
    </cfRule>
    <cfRule type="containsText" dxfId="145" priority="31" operator="containsText" text="Recebido">
      <formula>NOT(ISERROR(SEARCH("Recebido",O11)))</formula>
    </cfRule>
    <cfRule type="containsText" dxfId="144" priority="32" operator="containsText" text="A pagar">
      <formula>NOT(ISERROR(SEARCH("A pagar",O11)))</formula>
    </cfRule>
    <cfRule type="containsText" dxfId="143" priority="33" operator="containsText" text="Pago">
      <formula>NOT(ISERROR(SEARCH("Pago",O11)))</formula>
    </cfRule>
  </conditionalFormatting>
  <conditionalFormatting sqref="O11:O12">
    <cfRule type="containsText" dxfId="142" priority="15" operator="containsText" text="Provisionado">
      <formula>NOT(ISERROR(SEARCH("Provisionado",O11)))</formula>
    </cfRule>
  </conditionalFormatting>
  <conditionalFormatting sqref="O11:O14">
    <cfRule type="containsText" dxfId="141" priority="1" operator="containsText" text="A resgatar">
      <formula>NOT(ISERROR(SEARCH("A resgatar",O11)))</formula>
    </cfRule>
  </conditionalFormatting>
  <conditionalFormatting sqref="O12">
    <cfRule type="containsText" dxfId="140" priority="16" operator="containsText" text="Aplicação">
      <formula>NOT(ISERROR(SEARCH("Aplicação",O12)))</formula>
    </cfRule>
    <cfRule type="containsText" dxfId="139" priority="17" operator="containsText" text="A Aplicar">
      <formula>NOT(ISERROR(SEARCH("A Aplicar",O12)))</formula>
    </cfRule>
    <cfRule type="containsText" dxfId="138" priority="18" operator="containsText" text="A receber">
      <formula>NOT(ISERROR(SEARCH("A receber",O12)))</formula>
    </cfRule>
    <cfRule type="containsText" dxfId="137" priority="19" operator="containsText" text="Recebido">
      <formula>NOT(ISERROR(SEARCH("Recebido",O12)))</formula>
    </cfRule>
    <cfRule type="containsText" dxfId="136" priority="20" operator="containsText" text="A pagar">
      <formula>NOT(ISERROR(SEARCH("A pagar",O12)))</formula>
    </cfRule>
    <cfRule type="containsText" dxfId="135" priority="21" operator="containsText" text="Pago">
      <formula>NOT(ISERROR(SEARCH("Pago",O12)))</formula>
    </cfRule>
  </conditionalFormatting>
  <conditionalFormatting sqref="O12:O14">
    <cfRule type="containsText" dxfId="134" priority="2" operator="containsText" text="Provisionado">
      <formula>NOT(ISERROR(SEARCH("Provisionado",O12)))</formula>
    </cfRule>
    <cfRule type="containsText" dxfId="133" priority="3" operator="containsText" text="Saldo inicial">
      <formula>NOT(ISERROR(SEARCH("Saldo inicial",O12)))</formula>
    </cfRule>
    <cfRule type="containsText" dxfId="132" priority="4" operator="containsText" text="A repassar">
      <formula>NOT(ISERROR(SEARCH("A repassar",O12)))</formula>
    </cfRule>
    <cfRule type="containsText" dxfId="131" priority="5" operator="containsText" text="Repassado">
      <formula>NOT(ISERROR(SEARCH("Repassado",O12)))</formula>
    </cfRule>
    <cfRule type="containsText" dxfId="130" priority="6" operator="containsText" text="Provisionado DL">
      <formula>NOT(ISERROR(SEARCH("Provisionado DL",O12)))</formula>
    </cfRule>
    <cfRule type="containsText" dxfId="129" priority="7" operator="containsText" text="Provisionado">
      <formula>NOT(ISERROR(SEARCH("Provisionado",O12)))</formula>
    </cfRule>
    <cfRule type="containsText" dxfId="128" priority="8" operator="containsText" text="Resgate">
      <formula>NOT(ISERROR(SEARCH("Resgate",O12)))</formula>
    </cfRule>
  </conditionalFormatting>
  <conditionalFormatting sqref="O13:O14">
    <cfRule type="containsText" dxfId="127" priority="9" operator="containsText" text="Aplicação">
      <formula>NOT(ISERROR(SEARCH("Aplicação",O13)))</formula>
    </cfRule>
    <cfRule type="containsText" dxfId="126" priority="10" operator="containsText" text="A Aplicar">
      <formula>NOT(ISERROR(SEARCH("A Aplicar",O13)))</formula>
    </cfRule>
    <cfRule type="containsText" dxfId="125" priority="11" operator="containsText" text="A receber">
      <formula>NOT(ISERROR(SEARCH("A receber",O13)))</formula>
    </cfRule>
    <cfRule type="containsText" dxfId="124" priority="12" operator="containsText" text="Recebido">
      <formula>NOT(ISERROR(SEARCH("Recebido",O13)))</formula>
    </cfRule>
    <cfRule type="containsText" dxfId="123" priority="13" operator="containsText" text="A pagar">
      <formula>NOT(ISERROR(SEARCH("A pagar",O13)))</formula>
    </cfRule>
    <cfRule type="containsText" dxfId="122" priority="14" operator="containsText" text="Pago">
      <formula>NOT(ISERROR(SEARCH("Pago",O13)))</formula>
    </cfRule>
  </conditionalFormatting>
  <pageMargins left="0.11811023622047245" right="0.05" top="0.47" bottom="0.74803149606299213" header="0.39370078740157483" footer="0.31496062992125984"/>
  <pageSetup paperSize="9" scale="1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5AAB-8438-4A4A-AF36-49616A785DF7}">
  <sheetPr>
    <tabColor theme="1"/>
    <pageSetUpPr fitToPage="1"/>
  </sheetPr>
  <dimension ref="A1:AN57"/>
  <sheetViews>
    <sheetView showGridLines="0" topLeftCell="A7" zoomScale="85" zoomScaleNormal="85" workbookViewId="0">
      <selection activeCell="V12" sqref="V12"/>
    </sheetView>
  </sheetViews>
  <sheetFormatPr defaultRowHeight="12.75"/>
  <cols>
    <col min="1" max="1" width="0.7109375" style="45" customWidth="1"/>
    <col min="2" max="2" width="3.85546875" style="45" customWidth="1"/>
    <col min="3" max="3" width="4" style="45" customWidth="1"/>
    <col min="4" max="4" width="36.5703125" style="45" customWidth="1"/>
    <col min="5" max="5" width="3.85546875" style="45" customWidth="1"/>
    <col min="6" max="6" width="19.85546875" style="45" bestFit="1" customWidth="1"/>
    <col min="7" max="7" width="3.5703125" style="45" customWidth="1"/>
    <col min="8" max="8" width="17.85546875" style="45" customWidth="1"/>
    <col min="9" max="9" width="3.5703125" style="45" customWidth="1"/>
    <col min="10" max="10" width="20.28515625" style="45" bestFit="1" customWidth="1"/>
    <col min="11" max="11" width="3.5703125" style="45" customWidth="1"/>
    <col min="12" max="12" width="20.28515625" style="45" customWidth="1"/>
    <col min="13" max="13" width="3.5703125" style="45" customWidth="1"/>
    <col min="14" max="14" width="18.140625" style="45" bestFit="1" customWidth="1"/>
    <col min="15" max="15" width="3.5703125" style="45" customWidth="1"/>
    <col min="16" max="16" width="20" style="45" customWidth="1"/>
    <col min="17" max="17" width="3.5703125" style="45" customWidth="1"/>
    <col min="18" max="18" width="22" style="45" customWidth="1"/>
    <col min="19" max="19" width="3.5703125" style="45" customWidth="1"/>
    <col min="20" max="20" width="18.7109375" style="45" customWidth="1"/>
    <col min="21" max="21" width="3.5703125" style="45" customWidth="1"/>
    <col min="22" max="22" width="21.85546875" style="45" bestFit="1" customWidth="1"/>
    <col min="23" max="23" width="3.5703125" style="45" customWidth="1"/>
    <col min="24" max="24" width="23.85546875" style="45" bestFit="1" customWidth="1"/>
    <col min="25" max="25" width="3.5703125" style="45" customWidth="1"/>
    <col min="26" max="26" width="18.7109375" style="45" customWidth="1"/>
    <col min="27" max="27" width="3.5703125" style="45" customWidth="1"/>
    <col min="28" max="28" width="19.28515625" style="45" bestFit="1" customWidth="1"/>
    <col min="29" max="29" width="3.5703125" style="45" customWidth="1"/>
    <col min="30" max="30" width="19.28515625" style="45" bestFit="1" customWidth="1"/>
    <col min="31" max="31" width="2.42578125" style="45" customWidth="1"/>
    <col min="32" max="32" width="3" style="45" customWidth="1"/>
    <col min="33" max="33" width="5.42578125" style="45" customWidth="1"/>
    <col min="34" max="34" width="19.42578125" style="45" customWidth="1"/>
    <col min="35" max="35" width="9.140625" style="45"/>
    <col min="36" max="36" width="11.85546875" style="45" customWidth="1"/>
    <col min="37" max="37" width="13.42578125" style="45" customWidth="1"/>
    <col min="38" max="38" width="5.85546875" style="45" customWidth="1"/>
    <col min="39" max="39" width="9.140625" style="45"/>
    <col min="40" max="40" width="11.5703125" style="45" bestFit="1" customWidth="1"/>
    <col min="41" max="16384" width="9.140625" style="45"/>
  </cols>
  <sheetData>
    <row r="1" spans="1:38" ht="1.5" customHeight="1">
      <c r="A1" s="153"/>
    </row>
    <row r="2" spans="1:38" ht="8.25" customHeight="1"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</row>
    <row r="3" spans="1:38" ht="9.75" customHeight="1"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</row>
    <row r="4" spans="1:38" ht="12.75" customHeight="1"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</row>
    <row r="5" spans="1:38" ht="18" customHeight="1"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</row>
    <row r="6" spans="1:38" ht="18.75" customHeight="1" thickBot="1"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</row>
    <row r="7" spans="1:38" ht="15.75">
      <c r="B7" s="153"/>
      <c r="C7" s="153"/>
      <c r="D7" s="177"/>
      <c r="E7" s="153"/>
      <c r="F7" s="153"/>
      <c r="G7" s="153"/>
      <c r="H7" s="153"/>
      <c r="I7" s="153"/>
      <c r="J7" s="153"/>
      <c r="K7" s="153"/>
      <c r="L7" s="178"/>
      <c r="M7" s="153"/>
      <c r="N7" s="153"/>
      <c r="O7" s="153"/>
      <c r="P7" s="153"/>
      <c r="Q7" s="153"/>
      <c r="R7" s="153"/>
      <c r="S7" s="153"/>
      <c r="T7" s="153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  <c r="AK7" s="178"/>
      <c r="AL7" s="153"/>
    </row>
    <row r="8" spans="1:38" s="60" customFormat="1" ht="15.75">
      <c r="B8" s="185"/>
      <c r="C8" s="545"/>
      <c r="D8" s="545"/>
      <c r="E8" s="185"/>
      <c r="F8" s="185"/>
      <c r="G8" s="185"/>
      <c r="H8" s="185"/>
      <c r="I8" s="185"/>
      <c r="J8" s="185"/>
      <c r="K8" s="185"/>
      <c r="L8" s="178"/>
      <c r="M8" s="185"/>
      <c r="N8" s="185"/>
      <c r="O8" s="185"/>
      <c r="P8" s="185"/>
      <c r="Q8" s="185"/>
      <c r="R8" s="185"/>
      <c r="S8" s="185"/>
      <c r="T8" s="185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85"/>
      <c r="AI8" s="185"/>
      <c r="AJ8" s="185"/>
      <c r="AK8" s="185"/>
      <c r="AL8" s="185"/>
    </row>
    <row r="9" spans="1:38" ht="15.75">
      <c r="B9" s="153"/>
      <c r="C9" s="153"/>
      <c r="D9" s="153"/>
      <c r="E9" s="546" t="s">
        <v>585</v>
      </c>
      <c r="F9" s="546"/>
      <c r="G9" s="546"/>
      <c r="H9" s="153"/>
      <c r="I9" s="153"/>
      <c r="J9" s="180" t="s">
        <v>739</v>
      </c>
      <c r="K9" s="181"/>
      <c r="L9" s="178"/>
      <c r="M9" s="153"/>
      <c r="N9" s="180" t="s">
        <v>740</v>
      </c>
      <c r="O9" s="153"/>
      <c r="P9" s="153"/>
      <c r="Q9" s="153"/>
      <c r="R9" s="180" t="s">
        <v>294</v>
      </c>
      <c r="S9" s="153"/>
      <c r="T9" s="153"/>
      <c r="U9" s="153"/>
      <c r="V9" s="180" t="s">
        <v>296</v>
      </c>
      <c r="W9" s="153"/>
      <c r="X9" s="153"/>
      <c r="Y9" s="178"/>
      <c r="Z9" s="180" t="s">
        <v>295</v>
      </c>
      <c r="AA9" s="178"/>
      <c r="AB9" s="178"/>
      <c r="AC9" s="178"/>
      <c r="AD9" s="180" t="s">
        <v>293</v>
      </c>
      <c r="AE9" s="178"/>
      <c r="AF9" s="178"/>
      <c r="AG9" s="153"/>
      <c r="AH9" s="153"/>
      <c r="AI9" s="153"/>
      <c r="AJ9" s="153"/>
      <c r="AK9" s="153"/>
      <c r="AL9" s="153"/>
    </row>
    <row r="10" spans="1:38" ht="15.75">
      <c r="B10" s="153"/>
      <c r="C10" s="153"/>
      <c r="D10" s="153"/>
      <c r="E10" s="544">
        <f>SUMIFS(Aramburu_Mensal!$O$6:$O$1098,Aramburu_Mensal!$M$6:$M$1098,"Banco Cora (0001)",Aramburu_Mensal!$N$6:$N$1098,"saldo inicial")+SUMIFS(Aramburu_Mensal!$O$6:$O$1098,Aramburu_Mensal!$M$6:$M$1098,"Banco Cora (0001)",Aramburu_Mensal!$N$6:$N$1098,"pago")+SUMIFS(Aramburu_Mensal!$O$6:$O$1098,Aramburu_Mensal!$M$6:$M$1098,"Banco Cora (0001)",Aramburu_Mensal!$N$6:$N$1098,"Recebido")+SUMIFS(Aramburu_Mensal!$O$6:$O$1098,Aramburu_Mensal!$M$6:$M$1098,"Banco Cora (0001)",Aramburu_Mensal!$N$6:$N$1098,"Aplicado")+SUMIFS(Aramburu_Mensal!$O$6:$O$1098,Aramburu_Mensal!$M$6:$M$1098,"Banco Cora (0001)",Aramburu_Mensal!$N$6:$N$1098,"Resgatado")+SUMIFS(Aramburu_Mensal!$O$6:$O$1098,Aramburu_Mensal!$M$6:$M$1098,"Banco Cora (0001)",Aramburu_Mensal!$N$6:$N$1098,"Repassado")</f>
        <v>1324843.3119999999</v>
      </c>
      <c r="F10" s="544"/>
      <c r="G10" s="153"/>
      <c r="H10" s="153"/>
      <c r="I10" s="153"/>
      <c r="J10" s="544">
        <f>SUMIFS(Aramburu_Mensal!$O$6:$O$1098,Aramburu_Mensal!$M$6:$M$1098,"Cooperativa Sicredi (0902)",Aramburu_Mensal!$N$6:$N$1098,"saldo inicial")+SUMIFS(Aramburu_Mensal!$O$6:$O$1098,Aramburu_Mensal!$M$6:$M$1098,"Cooperativa Sicredi (0902)",Aramburu_Mensal!$N$6:$N$1098,"pago")+SUMIFS(Aramburu_Mensal!$O$6:$O$1098,Aramburu_Mensal!$M$6:$M$1098,"Cooperativa Sicredi (0902)",Aramburu_Mensal!$N$6:$N$1098,"Recebido")+SUMIFS(Aramburu_Mensal!$O$6:$O$1098,Aramburu_Mensal!$M$6:$M$1098,"Cooperativa Sicredi (0902)",Aramburu_Mensal!$N$6:$N$1098,"Aplicado")+SUMIFS(Aramburu_Mensal!$O$6:$O$1098,Aramburu_Mensal!$M$6:$M$1098,"Cooperativa Sicredi (0902)",Aramburu_Mensal!$N$6:$N$1098,"Resgatado")+SUMIFS(Aramburu_Mensal!$O$6:$O$1098,Aramburu_Mensal!$M$6:$M$1098,"Cooperativa Sicredi (0902)",Aramburu_Mensal!$N$6:$N$1098,"Repassado")</f>
        <v>-2.9103830456733704E-11</v>
      </c>
      <c r="K10" s="181"/>
      <c r="L10" s="178"/>
      <c r="M10" s="153"/>
      <c r="N10" s="544">
        <f>SUMIFS(Aramburu_Mensal!$O$6:$O$1098,Aramburu_Mensal!$M$6:$M$1098,"Cooperativa Sicredi (0913)",Aramburu_Mensal!$N$6:$N$1098,"saldo inicial")+SUMIFS(Aramburu_Mensal!$O$6:$O$1098,Aramburu_Mensal!$M$6:$M$1098,"Cooperativa Sicredi (0913)",Aramburu_Mensal!$N$6:$N$1098,"pago")+SUMIFS(Aramburu_Mensal!$O$6:$O$1098,Aramburu_Mensal!$M$6:$M$1098,"Cooperativa Sicredi (0913)",Aramburu_Mensal!$N$6:$N$1098,"Recebido")+SUMIFS(Aramburu_Mensal!$O$6:$O$1098,Aramburu_Mensal!$M$6:$M$1098,"Cooperativa Sicredi (0913)",Aramburu_Mensal!$N$6:$N$1098,"Aplicado")+SUMIFS(Aramburu_Mensal!$O$6:$O$1098,Aramburu_Mensal!$M$6:$M$1098,"Cooperativa Sicredi (0913)",Aramburu_Mensal!$N$6:$N$1098,"Resgatado")+SUMIFS(Aramburu_Mensal!$O$6:$O$1098,Aramburu_Mensal!$M$6:$M$1098,"Cooperativa Sicredi (0913)",Aramburu_Mensal!$N$6:$N$1098,"Repassado")</f>
        <v>1350.0599999999977</v>
      </c>
      <c r="O10" s="153"/>
      <c r="P10" s="153"/>
      <c r="Q10" s="153"/>
      <c r="R10" s="544">
        <v>187799.81</v>
      </c>
      <c r="S10" s="153"/>
      <c r="T10" s="153"/>
      <c r="U10" s="153"/>
      <c r="V10" s="544">
        <v>132103.34</v>
      </c>
      <c r="W10" s="153"/>
      <c r="X10" s="153"/>
      <c r="Y10" s="178"/>
      <c r="Z10" s="544">
        <v>1000</v>
      </c>
      <c r="AA10" s="178"/>
      <c r="AB10" s="178"/>
      <c r="AC10" s="178"/>
      <c r="AD10" s="544">
        <f>1899472.09</f>
        <v>1899472.09</v>
      </c>
      <c r="AE10" s="178"/>
      <c r="AF10" s="178"/>
      <c r="AG10" s="153"/>
      <c r="AH10" s="248"/>
      <c r="AI10" s="153"/>
      <c r="AJ10" s="153"/>
      <c r="AK10" s="153"/>
      <c r="AL10" s="153"/>
    </row>
    <row r="11" spans="1:38" ht="15.75">
      <c r="B11" s="153"/>
      <c r="C11" s="153"/>
      <c r="D11" s="153"/>
      <c r="E11" s="544"/>
      <c r="F11" s="544"/>
      <c r="G11" s="153"/>
      <c r="H11" s="153"/>
      <c r="I11" s="153"/>
      <c r="J11" s="544"/>
      <c r="K11" s="181"/>
      <c r="L11" s="178"/>
      <c r="M11" s="153"/>
      <c r="N11" s="544"/>
      <c r="O11" s="153"/>
      <c r="P11" s="153"/>
      <c r="Q11" s="153"/>
      <c r="R11" s="544"/>
      <c r="S11" s="153"/>
      <c r="T11" s="153"/>
      <c r="U11" s="153"/>
      <c r="V11" s="544"/>
      <c r="W11" s="153"/>
      <c r="X11" s="153"/>
      <c r="Y11" s="178"/>
      <c r="Z11" s="544"/>
      <c r="AA11" s="178"/>
      <c r="AB11" s="178"/>
      <c r="AC11" s="178"/>
      <c r="AD11" s="544"/>
      <c r="AE11" s="178"/>
      <c r="AF11" s="178"/>
      <c r="AG11" s="153"/>
      <c r="AH11" s="249"/>
      <c r="AI11" s="153"/>
      <c r="AJ11" s="153"/>
      <c r="AK11" s="153"/>
      <c r="AL11" s="153"/>
    </row>
    <row r="12" spans="1:38" ht="15.75">
      <c r="B12" s="153"/>
      <c r="C12" s="153"/>
      <c r="D12" s="394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77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53"/>
      <c r="AH12" s="153"/>
      <c r="AI12" s="153"/>
      <c r="AJ12" s="153"/>
      <c r="AK12" s="153"/>
      <c r="AL12" s="153"/>
    </row>
    <row r="13" spans="1:38" ht="15.75">
      <c r="B13" s="185"/>
      <c r="C13" s="185"/>
      <c r="D13" s="185"/>
      <c r="E13" s="153"/>
      <c r="F13" s="153"/>
      <c r="G13" s="153"/>
      <c r="H13" s="153"/>
      <c r="I13" s="153"/>
      <c r="J13" s="153"/>
      <c r="K13" s="153"/>
      <c r="L13" s="153"/>
      <c r="M13" s="153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53"/>
      <c r="AH13" s="153"/>
      <c r="AI13" s="153"/>
      <c r="AJ13" s="153"/>
      <c r="AK13" s="153"/>
      <c r="AL13" s="153"/>
    </row>
    <row r="14" spans="1:38">
      <c r="B14" s="187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153"/>
      <c r="AH14" s="153"/>
      <c r="AI14" s="153"/>
      <c r="AJ14" s="153"/>
      <c r="AK14" s="153"/>
      <c r="AL14" s="153"/>
    </row>
    <row r="15" spans="1:38" s="107" customFormat="1" ht="18" customHeight="1">
      <c r="B15" s="187"/>
      <c r="C15" s="142"/>
      <c r="D15" s="142"/>
      <c r="E15" s="143"/>
      <c r="F15" s="144" t="s">
        <v>165</v>
      </c>
      <c r="G15" s="144"/>
      <c r="H15" s="144" t="s">
        <v>166</v>
      </c>
      <c r="I15" s="144"/>
      <c r="J15" s="144" t="s">
        <v>167</v>
      </c>
      <c r="K15" s="144"/>
      <c r="L15" s="144" t="s">
        <v>168</v>
      </c>
      <c r="M15" s="144"/>
      <c r="N15" s="144" t="s">
        <v>169</v>
      </c>
      <c r="O15" s="144"/>
      <c r="P15" s="144" t="s">
        <v>170</v>
      </c>
      <c r="Q15" s="144"/>
      <c r="R15" s="144" t="s">
        <v>171</v>
      </c>
      <c r="S15" s="144"/>
      <c r="T15" s="144" t="s">
        <v>172</v>
      </c>
      <c r="U15" s="144"/>
      <c r="V15" s="144" t="s">
        <v>173</v>
      </c>
      <c r="W15" s="144"/>
      <c r="X15" s="144" t="s">
        <v>174</v>
      </c>
      <c r="Y15" s="144"/>
      <c r="Z15" s="144" t="s">
        <v>175</v>
      </c>
      <c r="AA15" s="144"/>
      <c r="AB15" s="144" t="s">
        <v>176</v>
      </c>
      <c r="AC15" s="144"/>
      <c r="AD15" s="144" t="s">
        <v>195</v>
      </c>
      <c r="AE15" s="144"/>
      <c r="AF15" s="142"/>
      <c r="AG15" s="154"/>
      <c r="AH15" s="543" t="s">
        <v>742</v>
      </c>
      <c r="AI15" s="543"/>
      <c r="AJ15" s="543"/>
      <c r="AK15" s="543"/>
      <c r="AL15" s="153"/>
    </row>
    <row r="16" spans="1:38" ht="5.25" customHeight="1">
      <c r="B16" s="187"/>
      <c r="C16" s="60"/>
      <c r="D16" s="145"/>
      <c r="E16" s="145"/>
      <c r="F16" s="145"/>
      <c r="G16" s="145"/>
      <c r="H16" s="145"/>
      <c r="I16" s="145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60"/>
      <c r="AG16" s="153"/>
      <c r="AH16" s="153"/>
      <c r="AI16" s="153"/>
      <c r="AJ16" s="153"/>
      <c r="AK16" s="153"/>
      <c r="AL16" s="153"/>
    </row>
    <row r="17" spans="2:39" ht="15">
      <c r="B17" s="187"/>
      <c r="C17" s="60"/>
      <c r="D17" s="247" t="s">
        <v>737</v>
      </c>
      <c r="E17" s="147"/>
      <c r="F17" s="193">
        <f>SUMIFS(Aramburu_Mensal!$O$6:$O$981,Aramburu_Mensal!$N$6:$N$981,"Saldo Inicial",Aramburu_Mensal!$M$6:$M$981,"Banco Cora (0001)")</f>
        <v>383184.43</v>
      </c>
      <c r="G17" s="147"/>
      <c r="H17" s="193">
        <f>F33</f>
        <v>1086493.0899999999</v>
      </c>
      <c r="I17" s="147"/>
      <c r="J17" s="193">
        <f>H33</f>
        <v>965011.07999999984</v>
      </c>
      <c r="K17" s="147"/>
      <c r="L17" s="193">
        <f>J33</f>
        <v>2274703.6619999995</v>
      </c>
      <c r="M17" s="147"/>
      <c r="N17" s="193">
        <f>L33</f>
        <v>1324843.3119999995</v>
      </c>
      <c r="O17" s="147"/>
      <c r="P17" s="193">
        <f>N33</f>
        <v>1052395.8389999995</v>
      </c>
      <c r="Q17" s="147"/>
      <c r="R17" s="193">
        <f>P33</f>
        <v>917304.15899999952</v>
      </c>
      <c r="S17" s="147"/>
      <c r="T17" s="193">
        <f>R33</f>
        <v>1517793.9305999996</v>
      </c>
      <c r="U17" s="147"/>
      <c r="V17" s="193">
        <f>T33</f>
        <v>997050.36059999955</v>
      </c>
      <c r="W17" s="147"/>
      <c r="X17" s="193">
        <f>V33</f>
        <v>708271.30059999949</v>
      </c>
      <c r="Y17" s="147"/>
      <c r="Z17" s="193">
        <f>X33</f>
        <v>479027.10059999954</v>
      </c>
      <c r="AA17" s="147"/>
      <c r="AB17" s="193">
        <f>Z33</f>
        <v>308873.67059999955</v>
      </c>
      <c r="AC17" s="149"/>
      <c r="AD17" s="148"/>
      <c r="AE17" s="149"/>
      <c r="AF17" s="60"/>
      <c r="AG17" s="153"/>
      <c r="AH17" s="162"/>
      <c r="AI17" s="259"/>
      <c r="AJ17" s="153"/>
      <c r="AK17" s="153"/>
      <c r="AL17" s="153"/>
    </row>
    <row r="18" spans="2:39" ht="15">
      <c r="B18" s="187"/>
      <c r="C18" s="60"/>
      <c r="D18" s="247" t="s">
        <v>731</v>
      </c>
      <c r="E18" s="147"/>
      <c r="F18" s="193">
        <f>SUMIFS(Aramburu_Mensal!$O$6:$O$981,Aramburu_Mensal!$N$6:$N$981,"Saldo Inicial",Aramburu_Mensal!$M$6:$M$981,"Cooperativa Sicredi (0902)")</f>
        <v>51.15</v>
      </c>
      <c r="G18" s="147"/>
      <c r="H18" s="193">
        <f>F34</f>
        <v>832.25</v>
      </c>
      <c r="I18" s="147"/>
      <c r="J18" s="193">
        <f>H34</f>
        <v>713.35</v>
      </c>
      <c r="K18" s="147"/>
      <c r="L18" s="193">
        <f>J34</f>
        <v>0</v>
      </c>
      <c r="M18" s="147"/>
      <c r="N18" s="193">
        <f>L34</f>
        <v>0</v>
      </c>
      <c r="O18" s="147"/>
      <c r="P18" s="193">
        <f>N34</f>
        <v>0</v>
      </c>
      <c r="Q18" s="147"/>
      <c r="R18" s="193">
        <f>P34</f>
        <v>0</v>
      </c>
      <c r="S18" s="147"/>
      <c r="T18" s="193">
        <f>R34</f>
        <v>0</v>
      </c>
      <c r="U18" s="147"/>
      <c r="V18" s="193">
        <f>T34</f>
        <v>0</v>
      </c>
      <c r="W18" s="147"/>
      <c r="X18" s="193">
        <f>V34</f>
        <v>0</v>
      </c>
      <c r="Y18" s="147"/>
      <c r="Z18" s="193">
        <f>X34</f>
        <v>0</v>
      </c>
      <c r="AA18" s="147"/>
      <c r="AB18" s="193">
        <f>Z34</f>
        <v>0</v>
      </c>
      <c r="AC18" s="149"/>
      <c r="AD18" s="148"/>
      <c r="AE18" s="149"/>
      <c r="AF18" s="60"/>
      <c r="AG18" s="153"/>
      <c r="AH18" s="162">
        <f>AD21</f>
        <v>5078214.9436000017</v>
      </c>
      <c r="AI18" s="259" t="s">
        <v>545</v>
      </c>
      <c r="AJ18" s="153"/>
      <c r="AK18" s="153"/>
      <c r="AL18" s="153"/>
    </row>
    <row r="19" spans="2:39" ht="15">
      <c r="B19" s="187"/>
      <c r="C19" s="60"/>
      <c r="D19" s="247" t="s">
        <v>732</v>
      </c>
      <c r="E19" s="147"/>
      <c r="F19" s="193">
        <f>SUMIFS(Aramburu_Mensal!$O$6:$O$981,Aramburu_Mensal!$N$6:$N$981,"Saldo Inicial",Aramburu_Mensal!$M$6:$M$981,"Cooperativa Sicredi (0913)")</f>
        <v>100</v>
      </c>
      <c r="G19" s="147"/>
      <c r="H19" s="193">
        <f>F35</f>
        <v>1819.56</v>
      </c>
      <c r="I19" s="147"/>
      <c r="J19" s="193">
        <f>H35</f>
        <v>1663.06</v>
      </c>
      <c r="K19" s="147"/>
      <c r="L19" s="193">
        <f>J35</f>
        <v>1506.56</v>
      </c>
      <c r="M19" s="147"/>
      <c r="N19" s="193">
        <f>L35</f>
        <v>1350.06</v>
      </c>
      <c r="O19" s="147"/>
      <c r="P19" s="193">
        <f>N35</f>
        <v>1181.06</v>
      </c>
      <c r="Q19" s="147"/>
      <c r="R19" s="193">
        <f>P35</f>
        <v>1012.07</v>
      </c>
      <c r="S19" s="147"/>
      <c r="T19" s="193">
        <f>R35</f>
        <v>843.07</v>
      </c>
      <c r="U19" s="147"/>
      <c r="V19" s="193">
        <f>T35</f>
        <v>674.07</v>
      </c>
      <c r="W19" s="147"/>
      <c r="X19" s="193">
        <f>V35</f>
        <v>505.07</v>
      </c>
      <c r="Y19" s="147"/>
      <c r="Z19" s="193">
        <f>X35</f>
        <v>336.07</v>
      </c>
      <c r="AA19" s="147"/>
      <c r="AB19" s="193">
        <f>Z35</f>
        <v>167.07</v>
      </c>
      <c r="AC19" s="149"/>
      <c r="AD19" s="148"/>
      <c r="AE19" s="149"/>
      <c r="AF19" s="60"/>
      <c r="AG19" s="153"/>
      <c r="AH19" s="162">
        <f>AD26</f>
        <v>-4953509.6030000001</v>
      </c>
      <c r="AI19" s="260" t="s">
        <v>546</v>
      </c>
      <c r="AJ19" s="153"/>
      <c r="AK19" s="153"/>
      <c r="AL19" s="153"/>
    </row>
    <row r="20" spans="2:39" ht="15">
      <c r="B20" s="187"/>
      <c r="C20" s="60"/>
      <c r="D20" s="145"/>
      <c r="E20" s="145"/>
      <c r="F20" s="145"/>
      <c r="G20" s="145"/>
      <c r="H20" s="145"/>
      <c r="I20" s="145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60"/>
      <c r="AG20" s="153"/>
      <c r="AH20" s="161">
        <f>SUM(AH18:AH19)</f>
        <v>124705.34060000163</v>
      </c>
      <c r="AI20" s="261" t="s">
        <v>543</v>
      </c>
      <c r="AJ20" s="153"/>
      <c r="AK20" s="153"/>
      <c r="AL20" s="153"/>
    </row>
    <row r="21" spans="2:39" ht="15" customHeight="1">
      <c r="B21" s="187"/>
      <c r="C21" s="60"/>
      <c r="D21" s="167" t="s">
        <v>190</v>
      </c>
      <c r="E21" s="188" t="s">
        <v>194</v>
      </c>
      <c r="F21" s="195">
        <f>SUM(F22:F25)</f>
        <v>2005604.86</v>
      </c>
      <c r="G21" s="196"/>
      <c r="H21" s="195">
        <f>SUM(H23:H25)</f>
        <v>86796.069999999992</v>
      </c>
      <c r="I21" s="196"/>
      <c r="J21" s="195">
        <f>SUM(J23:J25)</f>
        <v>1902403.7620000003</v>
      </c>
      <c r="K21" s="196"/>
      <c r="L21" s="195">
        <f>SUM(L22:L25)</f>
        <v>137968.85</v>
      </c>
      <c r="M21" s="196"/>
      <c r="N21" s="195">
        <f>SUM(N22:N25)</f>
        <v>129339.3899999999</v>
      </c>
      <c r="O21" s="196"/>
      <c r="P21" s="195">
        <f>SUM(P22:P25)</f>
        <v>20446.87</v>
      </c>
      <c r="Q21" s="196"/>
      <c r="R21" s="195">
        <f>SUM(R22:R25)</f>
        <v>775333.16159999999</v>
      </c>
      <c r="S21" s="196"/>
      <c r="T21" s="195">
        <f>SUM(T22:T25)</f>
        <v>6060.12</v>
      </c>
      <c r="U21" s="196"/>
      <c r="V21" s="195">
        <f>SUM(V22:V25)</f>
        <v>6060.12</v>
      </c>
      <c r="W21" s="196"/>
      <c r="X21" s="195">
        <f>SUM(X22:X25)</f>
        <v>5913.37</v>
      </c>
      <c r="Y21" s="196"/>
      <c r="Z21" s="195">
        <f>SUM(Z22:Z25)</f>
        <v>2288.37</v>
      </c>
      <c r="AA21" s="196"/>
      <c r="AB21" s="195">
        <f>SUM(AB22:AB25)</f>
        <v>0</v>
      </c>
      <c r="AC21" s="196"/>
      <c r="AD21" s="197">
        <f>SUM(F21,H21,J21,L21,N21,P21,R21,T21,V21,X21,Z21,AB21)</f>
        <v>5078214.9436000017</v>
      </c>
      <c r="AE21" s="146"/>
      <c r="AF21" s="60"/>
      <c r="AG21" s="153"/>
      <c r="AH21" s="153"/>
      <c r="AI21" s="153"/>
      <c r="AJ21" s="153"/>
      <c r="AK21" s="153"/>
      <c r="AL21" s="153"/>
    </row>
    <row r="22" spans="2:39" ht="15" customHeight="1">
      <c r="B22" s="187"/>
      <c r="C22" s="60"/>
      <c r="D22" s="151" t="s">
        <v>856</v>
      </c>
      <c r="E22" s="188"/>
      <c r="F22" s="190">
        <f>SUMPRODUCT((Aramburu_Mensal!$C$6:$C$1098="janeiro")*(Aramburu_Mensal!$N$6:$N$1098="saldo inicial")*(Aramburu_Mensal!$O$6:$O$1098))</f>
        <v>383335.58</v>
      </c>
      <c r="G22" s="145"/>
      <c r="H22" s="190">
        <v>0</v>
      </c>
      <c r="I22" s="145"/>
      <c r="J22" s="190">
        <v>0</v>
      </c>
      <c r="K22" s="145"/>
      <c r="L22" s="190">
        <v>0</v>
      </c>
      <c r="M22" s="145"/>
      <c r="N22" s="190">
        <v>0</v>
      </c>
      <c r="O22" s="145"/>
      <c r="P22" s="190">
        <v>0</v>
      </c>
      <c r="Q22" s="145"/>
      <c r="R22" s="190">
        <v>0</v>
      </c>
      <c r="S22" s="145"/>
      <c r="T22" s="190">
        <v>0</v>
      </c>
      <c r="U22" s="145"/>
      <c r="V22" s="190">
        <v>0</v>
      </c>
      <c r="W22" s="145"/>
      <c r="X22" s="190">
        <v>0</v>
      </c>
      <c r="Y22" s="145"/>
      <c r="Z22" s="190">
        <v>0</v>
      </c>
      <c r="AA22" s="145"/>
      <c r="AB22" s="190">
        <v>0</v>
      </c>
      <c r="AC22" s="145"/>
      <c r="AD22" s="353">
        <f>SUM(F22:AC22)</f>
        <v>383335.58</v>
      </c>
      <c r="AE22" s="146"/>
      <c r="AF22" s="60"/>
      <c r="AG22" s="153"/>
      <c r="AH22" s="153"/>
      <c r="AI22" s="153"/>
      <c r="AJ22" s="153"/>
      <c r="AK22" s="153"/>
      <c r="AL22" s="153"/>
    </row>
    <row r="23" spans="2:39" ht="15" customHeight="1">
      <c r="B23" s="187"/>
      <c r="C23" s="60"/>
      <c r="D23" s="151" t="s">
        <v>263</v>
      </c>
      <c r="E23" s="188"/>
      <c r="F23" s="190">
        <f>SUMPRODUCT((Aramburu_Mensal!$C$6:$C$1098="Janeiro")*(Aramburu_Mensal!$D$6:$D$1098="1.2 – Receita de Arrendamento de Terras")*((Aramburu_Mensal!$N$6:$N$1098="A receber")+(Aramburu_Mensal!$N$6:$N$1098="Recebido"))*(Aramburu_Mensal!$O$6:$O$1098))</f>
        <v>960000</v>
      </c>
      <c r="G23" s="145"/>
      <c r="H23" s="190">
        <f>SUMPRODUCT((Aramburu_Mensal!$C$6:$C$1098="Fevereiro")*(Aramburu_Mensal!$D$6:$D$1098="1.2 – Receita de Arrendamento de Terras")*((Aramburu_Mensal!$N$6:$N$1098="A receber")+(Aramburu_Mensal!$N$6:$N$1098="Recebido"))*(Aramburu_Mensal!$O$6:$O$1098))</f>
        <v>0</v>
      </c>
      <c r="I23" s="145"/>
      <c r="J23" s="190">
        <f>SUMPRODUCT((Aramburu_Mensal!$C$6:$C$1098="Março")*(Aramburu_Mensal!$D$6:$D$1098="1.2 – Receita de Arrendamento de Terras")*((Aramburu_Mensal!$N$6:$N$1098="A receber")+(Aramburu_Mensal!$N$6:$N$1098="Recebido"))*(Aramburu_Mensal!$O$6:$O$1098))</f>
        <v>1793031.0720000002</v>
      </c>
      <c r="K23" s="145"/>
      <c r="L23" s="190">
        <f>SUMPRODUCT((Aramburu_Mensal!$C$6:$C$1098="Abril")*(Aramburu_Mensal!$D$6:$D$1098="1.2 – Receita de Arrendamento de Terras")*((Aramburu_Mensal!$N$6:$N$1098="A receber")+(Aramburu_Mensal!$N$6:$N$1098="Recebido"))*(Aramburu_Mensal!$O$6:$O$1098))</f>
        <v>0</v>
      </c>
      <c r="M23" s="145"/>
      <c r="N23" s="190">
        <f>SUMPRODUCT((Aramburu_Mensal!$C$6:$C$1098="Maio")*(Aramburu_Mensal!$D$6:$D$1098="1.2 – Receita de Arrendamento de Terras")*((Aramburu_Mensal!$N$6:$N$1098="A receber")+(Aramburu_Mensal!$N$6:$N$1098="Recebido"))*(Aramburu_Mensal!$O$6:$O$1098))</f>
        <v>0</v>
      </c>
      <c r="O23" s="145"/>
      <c r="P23" s="190">
        <f>SUMPRODUCT((Aramburu_Mensal!$C$6:$C$1098="Junho")*(Aramburu_Mensal!$D$6:$D$1098="1.2 – Receita de Arrendamento de Terras")*((Aramburu_Mensal!$N$6:$N$1098="A receber")+(Aramburu_Mensal!$N$6:$N$1098="Recebido"))*(Aramburu_Mensal!$O$6:$O$1098))</f>
        <v>0</v>
      </c>
      <c r="Q23" s="145"/>
      <c r="R23" s="190">
        <f>SUMPRODUCT((Aramburu_Mensal!$C$6:$C$1098="Julho")*(Aramburu_Mensal!$D$6:$D$1098="1.2 – Receita de Arrendamento de Terras")*((Aramburu_Mensal!$N$6:$N$1098="A receber")+(Aramburu_Mensal!$N$6:$N$1098="Recebido"))*(Aramburu_Mensal!$O$6:$O$1098))</f>
        <v>760234.22160000005</v>
      </c>
      <c r="S23" s="145"/>
      <c r="T23" s="190">
        <f>SUMPRODUCT((Aramburu_Mensal!$C$6:$C$1098="Agosto")*(Aramburu_Mensal!$D$6:$D$1098="1.2 – Receita de Arrendamento de Terras")*((Aramburu_Mensal!$N$6:$N$1098="A receber")+(Aramburu_Mensal!$N$6:$N$1098="Recebido"))*(Aramburu_Mensal!$O$6:$O$1098))</f>
        <v>0</v>
      </c>
      <c r="U23" s="145"/>
      <c r="V23" s="190">
        <f>SUMPRODUCT((Aramburu_Mensal!$C$6:$C$1098="Setembro")*(Aramburu_Mensal!$D$6:$D$1098="1.2 – Receita de Arrendamento de Terras")*((Aramburu_Mensal!$N$6:$N$1098="A receber")+(Aramburu_Mensal!$N$6:$N$1098="Recebido"))*(Aramburu_Mensal!$O$6:$O$1098))</f>
        <v>0</v>
      </c>
      <c r="W23" s="145"/>
      <c r="X23" s="190">
        <f>SUMPRODUCT((Aramburu_Mensal!$C$6:$C$1098="Outubro")*(Aramburu_Mensal!$D$6:$D$1098="1.2 – Receita de Arrendamento de Terras")*((Aramburu_Mensal!$N$6:$N$1098="A receber")+(Aramburu_Mensal!$N$6:$N$1098="Recebido"))*(Aramburu_Mensal!$O$6:$O$1098))</f>
        <v>0</v>
      </c>
      <c r="Y23" s="145"/>
      <c r="Z23" s="190">
        <f>SUMPRODUCT((Aramburu_Mensal!$C$6:$C$1098="Novembro")*(Aramburu_Mensal!$D$6:$D$1098="1.2 – Receita de Arrendamento de Terras")*((Aramburu_Mensal!$N$6:$N$1098="A receber")+(Aramburu_Mensal!$N$6:$N$1098="Recebido"))*(Aramburu_Mensal!$O$6:$O$1098))</f>
        <v>0</v>
      </c>
      <c r="AA23" s="145"/>
      <c r="AB23" s="190">
        <f>SUMPRODUCT((Aramburu_Mensal!$C$6:$C$1098="Dezembro")*(Aramburu_Mensal!$D$6:$D$1098="1.2 – Receita de Arrendamento de Terras")*((Aramburu_Mensal!$N$6:$N$1098="A receber")+(Aramburu_Mensal!$N$6:$N$1098="Recebido"))*(Aramburu_Mensal!$O$6:$O$1098))</f>
        <v>0</v>
      </c>
      <c r="AC23" s="145"/>
      <c r="AD23" s="353">
        <f>SUM(F23:AC23)</f>
        <v>3513265.2936000004</v>
      </c>
      <c r="AE23" s="146"/>
      <c r="AF23" s="60"/>
      <c r="AG23" s="153"/>
      <c r="AH23" s="153"/>
      <c r="AI23" s="153"/>
      <c r="AJ23" s="153"/>
      <c r="AK23" s="153"/>
      <c r="AL23" s="153"/>
    </row>
    <row r="24" spans="2:39" ht="15" customHeight="1">
      <c r="B24" s="187"/>
      <c r="C24" s="60"/>
      <c r="D24" s="151" t="s">
        <v>264</v>
      </c>
      <c r="E24" s="188"/>
      <c r="F24" s="190">
        <f>SUMPRODUCT((Aramburu_Mensal!$C$6:$C$1098="Janeiro")*((Aramburu_Mensal!$N$6:$N$1098="Resgate")+(Aramburu_Mensal!$N$6:$N$1098="A resgatar")+(Aramburu_Mensal!$N$6:$N$1098="Resgatado"))*(Aramburu_Mensal!$O$6:$O$1098))</f>
        <v>135614.80000000002</v>
      </c>
      <c r="G24" s="145"/>
      <c r="H24" s="190">
        <f>SUMPRODUCT((Aramburu_Mensal!$C$6:$C$1098="Fevereiro")*((Aramburu_Mensal!$N$6:$N$1098="Resgate")+(Aramburu_Mensal!$N$6:$N$1098="A resgatar")+(Aramburu_Mensal!$N$6:$N$1098="Resgatado"))*(Aramburu_Mensal!$O$6:$O$1098))</f>
        <v>86701.51</v>
      </c>
      <c r="I24" s="145"/>
      <c r="J24" s="190">
        <f>SUMPRODUCT((Aramburu_Mensal!$C$6:$C$1098="Março")*((Aramburu_Mensal!$N$6:$N$1098="Resgate")+(Aramburu_Mensal!$N$6:$N$1098="A resgatar")+(Aramburu_Mensal!$N$6:$N$1098="Resgatado"))*(Aramburu_Mensal!$O$6:$O$1098))</f>
        <v>88899.319999999992</v>
      </c>
      <c r="K24" s="145"/>
      <c r="L24" s="190">
        <f>SUMPRODUCT((Aramburu_Mensal!$C$6:$C$1098="Abril")*((Aramburu_Mensal!$N$6:$N$1098="Resgate")+(Aramburu_Mensal!$N$6:$N$1098="A resgatar")+(Aramburu_Mensal!$N$6:$N$1098="Resgatado"))*(Aramburu_Mensal!$O$6:$O$1098))</f>
        <v>86068.75</v>
      </c>
      <c r="M24" s="145"/>
      <c r="N24" s="190">
        <f>SUMPRODUCT((Aramburu_Mensal!$C$6:$C$1098="Maio")*((Aramburu_Mensal!$N$6:$N$1098="Resgate")+(Aramburu_Mensal!$N$6:$N$1098="A resgatar")+(Aramburu_Mensal!$N$6:$N$1098="Resgatado"))*(Aramburu_Mensal!$O$6:$O$1098))</f>
        <v>129339.3899999999</v>
      </c>
      <c r="O24" s="145"/>
      <c r="P24" s="190">
        <f>SUMPRODUCT((Aramburu_Mensal!$C$6:$C$1098="Junho")*((Aramburu_Mensal!$N$6:$N$1098="Resgate")+(Aramburu_Mensal!$N$6:$N$1098="A resgatar")+(Aramburu_Mensal!$N$6:$N$1098="Resgatado"))*(Aramburu_Mensal!$O$6:$O$1098))</f>
        <v>20446.87</v>
      </c>
      <c r="Q24" s="145"/>
      <c r="R24" s="190">
        <f>SUMPRODUCT((Aramburu_Mensal!$C$6:$C$1098="Julho")*((Aramburu_Mensal!$N$6:$N$1098="Resgate")+(Aramburu_Mensal!$N$6:$N$1098="A resgatar")+(Aramburu_Mensal!$N$6:$N$1098="Resgatado"))*(Aramburu_Mensal!$O$6:$O$1098))</f>
        <v>15098.94</v>
      </c>
      <c r="S24" s="145"/>
      <c r="T24" s="190">
        <f>SUMPRODUCT((Aramburu_Mensal!$C$6:$C$1098="Agosto")*((Aramburu_Mensal!$N$6:$N$1098="Resgate")+(Aramburu_Mensal!$N$6:$N$1098="A resgatar")+(Aramburu_Mensal!$N$6:$N$1098="Resgatado"))*(Aramburu_Mensal!$O$6:$O$1098))</f>
        <v>6060.12</v>
      </c>
      <c r="U24" s="145"/>
      <c r="V24" s="190">
        <f>SUMPRODUCT((Aramburu_Mensal!$C$6:$C$1098="Setembro")*((Aramburu_Mensal!$N$6:$N$1098="Resgate")+(Aramburu_Mensal!$N$6:$N$1098="A resgatar")+(Aramburu_Mensal!$N$6:$N$1098="Resgatado"))*(Aramburu_Mensal!$O$6:$O$1098))</f>
        <v>6060.12</v>
      </c>
      <c r="W24" s="145"/>
      <c r="X24" s="190">
        <f>SUMPRODUCT((Aramburu_Mensal!$C$6:$C$1098="Outubro")*((Aramburu_Mensal!$N$6:$N$1098="Resgate")+(Aramburu_Mensal!$N$6:$N$1098="A resgatar")+(Aramburu_Mensal!$N$6:$N$1098="Resgatado"))*(Aramburu_Mensal!$O$6:$O$1098))</f>
        <v>5913.37</v>
      </c>
      <c r="Y24" s="145"/>
      <c r="Z24" s="190">
        <f>SUMPRODUCT((Aramburu_Mensal!$C$6:$C$1098="Novembro")*((Aramburu_Mensal!$N$6:$N$1098="Resgate")+(Aramburu_Mensal!$N$6:$N$1098="A resgatar")+(Aramburu_Mensal!$N$6:$N$1098="Resgatado"))*(Aramburu_Mensal!$O$6:$O$1098))</f>
        <v>2288.37</v>
      </c>
      <c r="AA24" s="145"/>
      <c r="AB24" s="190">
        <f>SUMPRODUCT((Aramburu_Mensal!$C$6:$C$1098="Dezembro")*((Aramburu_Mensal!$N$6:$N$1098="Resgate")+(Aramburu_Mensal!$N$6:$N$1098="A resgatar")+(Aramburu_Mensal!$N$6:$N$1098="Resgatado"))*(Aramburu_Mensal!$O$6:$O$1098))</f>
        <v>0</v>
      </c>
      <c r="AC24" s="145"/>
      <c r="AD24" s="353">
        <f>SUM(F24:AC24)</f>
        <v>582491.55999999982</v>
      </c>
      <c r="AE24" s="146"/>
      <c r="AF24" s="150"/>
      <c r="AG24" s="153"/>
      <c r="AH24" s="153"/>
      <c r="AI24" s="153"/>
      <c r="AJ24" s="153"/>
      <c r="AK24" s="153"/>
      <c r="AL24" s="153"/>
    </row>
    <row r="25" spans="2:39" ht="15" customHeight="1">
      <c r="B25" s="187"/>
      <c r="C25" s="60"/>
      <c r="D25" s="151" t="s">
        <v>741</v>
      </c>
      <c r="E25" s="188"/>
      <c r="F25" s="190">
        <f>(SUMPRODUCT((Aramburu_Mensal!$C$6:$C$1098="Janeiro")*((Aramburu_Mensal!$N$6:$N$1098="A receber")+(Aramburu_Mensal!$N$6:$N$1098="Recebido"))*(Aramburu_Mensal!$O$6:$O$1098))-F23)</f>
        <v>526654.48</v>
      </c>
      <c r="G25" s="145"/>
      <c r="H25" s="190">
        <f>(SUMPRODUCT((Aramburu_Mensal!$C$6:$C$1098="Fevereiro")*((Aramburu_Mensal!$N$6:$N$1098="A receber")+(Aramburu_Mensal!$N$6:$N$1098="Recebido"))*(Aramburu_Mensal!$O$6:$O$1098))-H23)</f>
        <v>94.56</v>
      </c>
      <c r="I25" s="145"/>
      <c r="J25" s="190">
        <f>(SUMPRODUCT((Aramburu_Mensal!$C$6:$C$1098="Março")*((Aramburu_Mensal!$N$6:$N$1098="A receber")+(Aramburu_Mensal!$N$6:$N$1098="Recebido"))*(Aramburu_Mensal!$O$6:$O$1098))-J23)</f>
        <v>20473.370000000112</v>
      </c>
      <c r="K25" s="145"/>
      <c r="L25" s="190">
        <f>(SUMPRODUCT((Aramburu_Mensal!$C$6:$C$1098="Abril")*((Aramburu_Mensal!$N$6:$N$1098="A receber")+(Aramburu_Mensal!$N$6:$N$1098="Recebido"))*(Aramburu_Mensal!$O$6:$O$1098))-L23)</f>
        <v>51900.1</v>
      </c>
      <c r="M25" s="145"/>
      <c r="N25" s="190">
        <f>(SUMPRODUCT((Aramburu_Mensal!$C$6:$C$1098="Maio")*((Aramburu_Mensal!$N$6:$N$1098="A receber")+(Aramburu_Mensal!$N$6:$N$1098="Recebido"))*(Aramburu_Mensal!$O$6:$O$1098))-N23)</f>
        <v>0</v>
      </c>
      <c r="O25" s="145"/>
      <c r="P25" s="190">
        <f>(SUMPRODUCT((Aramburu_Mensal!$C$6:$C$1098="Junho")*((Aramburu_Mensal!$N$6:$N$1098="A receber")+(Aramburu_Mensal!$N$6:$N$1098="Recebido"))*(Aramburu_Mensal!$O$6:$O$1098))-P23)</f>
        <v>0</v>
      </c>
      <c r="Q25" s="145"/>
      <c r="R25" s="190">
        <f>(SUMPRODUCT((Aramburu_Mensal!$C$6:$C$1098="Julho")*((Aramburu_Mensal!$N$6:$N$1098="A receber")+(Aramburu_Mensal!$N$6:$N$1098="Recebido"))*(Aramburu_Mensal!$O$6:$O$1098))-R23)</f>
        <v>0</v>
      </c>
      <c r="S25" s="145"/>
      <c r="T25" s="190">
        <f>(SUMPRODUCT((Aramburu_Mensal!$C$6:$C$1098="Agosto")*((Aramburu_Mensal!$N$6:$N$1098="A receber")+(Aramburu_Mensal!$N$6:$N$1098="Recebido"))*(Aramburu_Mensal!$O$6:$O$1098))-T23)</f>
        <v>0</v>
      </c>
      <c r="U25" s="145"/>
      <c r="V25" s="190">
        <f>(SUMPRODUCT((Aramburu_Mensal!$C$6:$C$1098="Setembro")*((Aramburu_Mensal!$N$6:$N$1098="A receber")+(Aramburu_Mensal!$N$6:$N$1098="Recebido"))*(Aramburu_Mensal!$O$6:$O$1098))-V23)</f>
        <v>0</v>
      </c>
      <c r="W25" s="145"/>
      <c r="X25" s="190">
        <f>(SUMPRODUCT((Aramburu_Mensal!$C$6:$C$1098="Outubro")*((Aramburu_Mensal!$N$6:$N$1098="A receber")+(Aramburu_Mensal!$N$6:$N$1098="Recebido"))*(Aramburu_Mensal!$O$6:$O$1098))-X23)</f>
        <v>0</v>
      </c>
      <c r="Y25" s="145"/>
      <c r="Z25" s="190">
        <f>(SUMPRODUCT((Aramburu_Mensal!$C$6:$C$1098="Novembro")*((Aramburu_Mensal!$N$6:$N$1098="A receber")+(Aramburu_Mensal!$N$6:$N$1098="Recebido"))*(Aramburu_Mensal!$O$6:$O$1098))-Z23)</f>
        <v>0</v>
      </c>
      <c r="AA25" s="145"/>
      <c r="AB25" s="190">
        <f>(SUMPRODUCT((Aramburu_Mensal!$C$6:$C$1098="Dezembro")*((Aramburu_Mensal!$N$6:$N$1098="A receber")+(Aramburu_Mensal!$N$6:$N$1098="Recebido"))*(Aramburu_Mensal!$O$6:$O$1098))-AB23)</f>
        <v>0</v>
      </c>
      <c r="AC25" s="145"/>
      <c r="AD25" s="353">
        <f>SUM(F25:AC25)</f>
        <v>599122.51000000013</v>
      </c>
      <c r="AE25" s="146"/>
      <c r="AF25" s="60"/>
      <c r="AG25" s="153"/>
      <c r="AH25" s="543" t="s">
        <v>743</v>
      </c>
      <c r="AI25" s="543"/>
      <c r="AJ25" s="543"/>
      <c r="AK25" s="543"/>
      <c r="AL25" s="153"/>
    </row>
    <row r="26" spans="2:39" ht="15" customHeight="1">
      <c r="B26" s="187"/>
      <c r="C26" s="60"/>
      <c r="D26" s="167" t="s">
        <v>189</v>
      </c>
      <c r="E26" s="191" t="s">
        <v>131</v>
      </c>
      <c r="F26" s="198">
        <f>SUM(F27:F30)</f>
        <v>-916459.96</v>
      </c>
      <c r="G26" s="199"/>
      <c r="H26" s="198">
        <f>SUM(H27:H30)</f>
        <v>-208553.48000000004</v>
      </c>
      <c r="I26" s="199"/>
      <c r="J26" s="198">
        <f>SUM(J27:J30)</f>
        <v>-593581.03</v>
      </c>
      <c r="K26" s="199"/>
      <c r="L26" s="198">
        <f>SUM(L27:L30)</f>
        <v>-1087985.7000000002</v>
      </c>
      <c r="M26" s="199"/>
      <c r="N26" s="198">
        <f>SUM(N27:N30)</f>
        <v>-401955.8629999999</v>
      </c>
      <c r="O26" s="199"/>
      <c r="P26" s="198">
        <f>SUM(P27:P30)</f>
        <v>-155707.53999999998</v>
      </c>
      <c r="Q26" s="199"/>
      <c r="R26" s="198">
        <f>SUM(R27:R30)</f>
        <v>-175012.38999999998</v>
      </c>
      <c r="S26" s="199"/>
      <c r="T26" s="198">
        <f>SUM(T27:T30)</f>
        <v>-526972.68999999994</v>
      </c>
      <c r="U26" s="199"/>
      <c r="V26" s="198">
        <f>SUM(V27:V30)</f>
        <v>-295008.18</v>
      </c>
      <c r="W26" s="199"/>
      <c r="X26" s="198">
        <f>SUM(X27:X30)</f>
        <v>-235326.57</v>
      </c>
      <c r="Y26" s="199"/>
      <c r="Z26" s="198">
        <f>SUM(Z27:Z30)</f>
        <v>-172610.8</v>
      </c>
      <c r="AA26" s="199"/>
      <c r="AB26" s="198">
        <f>SUM(AB27:AB30)</f>
        <v>-184335.4</v>
      </c>
      <c r="AC26" s="199"/>
      <c r="AD26" s="200">
        <f>SUM(F26:AC26)</f>
        <v>-4953509.6030000001</v>
      </c>
      <c r="AE26" s="146"/>
      <c r="AF26" s="150"/>
      <c r="AG26" s="153"/>
      <c r="AH26" s="153"/>
      <c r="AI26" s="153"/>
      <c r="AJ26" s="153"/>
      <c r="AK26" s="153"/>
      <c r="AL26" s="153"/>
    </row>
    <row r="27" spans="2:39" ht="15" customHeight="1" thickBot="1">
      <c r="B27" s="187"/>
      <c r="C27" s="60"/>
      <c r="D27" s="151" t="s">
        <v>261</v>
      </c>
      <c r="E27" s="191"/>
      <c r="F27" s="190">
        <f>SUMPRODUCT((Aramburu_Mensal!$C$6:$C$1098="janeiro")*((Aramburu_Mensal!$N$6:$N$1098="provisionado")+(Aramburu_Mensal!$N$6:$N$1098="a pagar")+(Aramburu_Mensal!$N$6:$N$1098="Pago")+(Aramburu_Mensal!$N$6:$N$1098="Provisionado DV"))*(Aramburu_Mensal!$O$6:$O$1098))-F30</f>
        <v>-195848.44</v>
      </c>
      <c r="G27" s="145"/>
      <c r="H27" s="190">
        <f>SUMPRODUCT((Aramburu_Mensal!$C$6:$C$1098="fevereiro")*((Aramburu_Mensal!$N$6:$N$1098="provisionado")+(Aramburu_Mensal!$N$6:$N$1098="a pagar")+(Aramburu_Mensal!$N$6:$N$1098="Pago")+(Aramburu_Mensal!$N$6:$N$1098="Provisionado DV"))*(Aramburu_Mensal!$O$6:$O$1098))-H30</f>
        <v>-123484.94000000002</v>
      </c>
      <c r="I27" s="190"/>
      <c r="J27" s="190">
        <f>SUMPRODUCT((Aramburu_Mensal!$C$6:$C$1098="março")*((Aramburu_Mensal!$N$6:$N$1098="provisionado")+(Aramburu_Mensal!$N$6:$N$1098="a pagar")+(Aramburu_Mensal!$N$6:$N$1098="Pago")+(Aramburu_Mensal!$N$6:$N$1098="Provisionado DV"))*(Aramburu_Mensal!$O$6:$O$1098))-J30</f>
        <v>-123078.90000000002</v>
      </c>
      <c r="K27" s="190"/>
      <c r="L27" s="190">
        <f>SUMPRODUCT((Aramburu_Mensal!$C$6:$C$1098="abril")*((Aramburu_Mensal!$N$6:$N$1098="provisionado")+(Aramburu_Mensal!$N$6:$N$1098="a pagar")+(Aramburu_Mensal!$N$6:$N$1098="Pago")+(Aramburu_Mensal!$N$6:$N$1098="Provisionado DV"))*(Aramburu_Mensal!$O$6:$O$1098))-L30</f>
        <v>-222950.61000000002</v>
      </c>
      <c r="M27" s="190"/>
      <c r="N27" s="190">
        <f>SUMPRODUCT((Aramburu_Mensal!$C$6:$C$1098="maio")*((Aramburu_Mensal!$N$6:$N$1098="provisionado")+(Aramburu_Mensal!$N$6:$N$1098="a pagar")+(Aramburu_Mensal!$N$6:$N$1098="Pago")+(Aramburu_Mensal!$N$6:$N$1098="Provisionado DV"))*(Aramburu_Mensal!$O$6:$O$1098))-N30</f>
        <v>-374284.45299999992</v>
      </c>
      <c r="O27" s="190"/>
      <c r="P27" s="190">
        <f>SUMPRODUCT((Aramburu_Mensal!$C$6:$C$1098="junho")*((Aramburu_Mensal!$N$6:$N$1098="provisionado")+(Aramburu_Mensal!$N$6:$N$1098="a pagar")+(Aramburu_Mensal!$N$6:$N$1098="Pago")+(Aramburu_Mensal!$N$6:$N$1098="Provisionado DV"))*(Aramburu_Mensal!$O$6:$O$1098))-P30</f>
        <v>-62542.55</v>
      </c>
      <c r="Q27" s="190"/>
      <c r="R27" s="190">
        <f>SUMPRODUCT((Aramburu_Mensal!$C$6:$C$1098="julho")*((Aramburu_Mensal!$N$6:$N$1098="provisionado")+(Aramburu_Mensal!$N$6:$N$1098="a pagar")+(Aramburu_Mensal!$N$6:$N$1098="Pago")+(Aramburu_Mensal!$N$6:$N$1098="Provisionado DV"))*(Aramburu_Mensal!$O$6:$O$1098))-R30</f>
        <v>-103614.65</v>
      </c>
      <c r="S27" s="190"/>
      <c r="T27" s="190">
        <f>SUMPRODUCT((Aramburu_Mensal!$C$6:$C$1098="agosto")*((Aramburu_Mensal!$N$6:$N$1098="provisionado")+(Aramburu_Mensal!$N$6:$N$1098="a pagar")+(Aramburu_Mensal!$N$6:$N$1098="Pago")+(Aramburu_Mensal!$N$6:$N$1098="Provisionado DV"))*(Aramburu_Mensal!$O$6:$O$1098))-T30</f>
        <v>-349438.55</v>
      </c>
      <c r="U27" s="190"/>
      <c r="V27" s="190">
        <f>SUMPRODUCT((Aramburu_Mensal!$C$6:$C$1098="setembro")*((Aramburu_Mensal!$N$6:$N$1098="provisionado")+(Aramburu_Mensal!$N$6:$N$1098="a pagar")+(Aramburu_Mensal!$N$6:$N$1098="Pago")+(Aramburu_Mensal!$N$6:$N$1098="Provisionado DV"))*(Aramburu_Mensal!$O$6:$O$1098))-V30</f>
        <v>-173937.05</v>
      </c>
      <c r="W27" s="190"/>
      <c r="X27" s="190">
        <f>SUMPRODUCT((Aramburu_Mensal!$C$6:$C$1098="outubro")*((Aramburu_Mensal!$N$6:$N$1098="provisionado")+(Aramburu_Mensal!$N$6:$N$1098="a pagar")+(Aramburu_Mensal!$N$6:$N$1098="Pago")+(Aramburu_Mensal!$N$6:$N$1098="Provisionado DV"))*(Aramburu_Mensal!$O$6:$O$1098))-X30</f>
        <v>-89793.3</v>
      </c>
      <c r="Y27" s="190"/>
      <c r="Z27" s="190">
        <f>SUMPRODUCT((Aramburu_Mensal!$C$6:$C$1098="novembro")*((Aramburu_Mensal!$N$6:$N$1098="provisionado")+(Aramburu_Mensal!$N$6:$N$1098="a pagar")+(Aramburu_Mensal!$N$6:$N$1098="Pago")+(Aramburu_Mensal!$N$6:$N$1098="Provisionado DV"))*(Aramburu_Mensal!$O$6:$O$1098))-Z30</f>
        <v>-50609.299999999996</v>
      </c>
      <c r="AA27" s="190"/>
      <c r="AB27" s="190">
        <f>SUMPRODUCT((Aramburu_Mensal!$C$6:$C$1098="dezembro")*((Aramburu_Mensal!$N$6:$N$1098="provisionado")+(Aramburu_Mensal!$N$6:$N$1098="a pagar")+(Aramburu_Mensal!$N$6:$N$1098="Pago")+(Aramburu_Mensal!$N$6:$N$1098="Provisionado DV"))*(Aramburu_Mensal!$O$6:$O$1098))-AB30</f>
        <v>-49648.47</v>
      </c>
      <c r="AC27" s="190"/>
      <c r="AD27" s="353">
        <f t="shared" ref="AD27:AD30" si="0">SUM(F27:AC27)</f>
        <v>-1919231.213</v>
      </c>
      <c r="AE27" s="146"/>
      <c r="AF27" s="150"/>
      <c r="AG27" s="153"/>
      <c r="AH27" s="153"/>
      <c r="AI27" s="153"/>
      <c r="AJ27" s="153"/>
      <c r="AK27" s="153"/>
      <c r="AL27" s="153"/>
    </row>
    <row r="28" spans="2:39" ht="15" customHeight="1" thickBot="1">
      <c r="B28" s="187"/>
      <c r="C28" s="60"/>
      <c r="D28" s="151" t="s">
        <v>249</v>
      </c>
      <c r="E28" s="191"/>
      <c r="F28" s="190">
        <f>SUMPRODUCT((Aramburu_Mensal!$C$6:$C$1098="janeiro")*((Aramburu_Mensal!$N$6:$N$1098="provisionado dl")+(Aramburu_Mensal!$N$6:$N$1098="a repassar")+(Aramburu_Mensal!$N$6:$N$1098="repassado"))*(Aramburu_Mensal!$O$6:$O$1098))</f>
        <v>-93957.02</v>
      </c>
      <c r="G28" s="145"/>
      <c r="H28" s="190">
        <f>SUMPRODUCT((Aramburu_Mensal!$C$6:$C$1098="fevereiro")*((Aramburu_Mensal!$N$6:$N$1098="provisionado dl")+(Aramburu_Mensal!$N$6:$N$1098="a repassar")+(Aramburu_Mensal!$N$6:$N$1098="repassado"))*(Aramburu_Mensal!$O$6:$O$1098))</f>
        <v>-84973.98000000001</v>
      </c>
      <c r="I28" s="190"/>
      <c r="J28" s="190">
        <f>SUMPRODUCT((Aramburu_Mensal!$C$6:$C$1098="março")*((Aramburu_Mensal!$N$6:$N$1098="provisionado dl")+(Aramburu_Mensal!$N$6:$N$1098="a repassar")+(Aramburu_Mensal!$N$6:$N$1098="repassado"))*(Aramburu_Mensal!$O$6:$O$1098))</f>
        <v>-436231.05999999994</v>
      </c>
      <c r="K28" s="190"/>
      <c r="L28" s="190">
        <f>SUMPRODUCT((Aramburu_Mensal!$C$6:$C$1098="abril")*((Aramburu_Mensal!$N$6:$N$1098="provisionado dl")+(Aramburu_Mensal!$N$6:$N$1098="a repassar")+(Aramburu_Mensal!$N$6:$N$1098="repassado"))*(Aramburu_Mensal!$O$6:$O$1098))</f>
        <v>-429950.56000000006</v>
      </c>
      <c r="M28" s="190"/>
      <c r="N28" s="190">
        <f>SUMPRODUCT((Aramburu_Mensal!$C$6:$C$1098="maio")*((Aramburu_Mensal!$N$6:$N$1098="provisionado dl")+(Aramburu_Mensal!$N$6:$N$1098="a repassar")+(Aramburu_Mensal!$N$6:$N$1098="repassado"))*(Aramburu_Mensal!$O$6:$O$1098))</f>
        <v>-27671.41</v>
      </c>
      <c r="O28" s="190"/>
      <c r="P28" s="190">
        <f>SUMPRODUCT((Aramburu_Mensal!$C$6:$C$1098="junho")*((Aramburu_Mensal!$N$6:$N$1098="provisionado dl")+(Aramburu_Mensal!$N$6:$N$1098="a repassar")+(Aramburu_Mensal!$N$6:$N$1098="repassado"))*(Aramburu_Mensal!$O$6:$O$1098))</f>
        <v>-93164.989999999991</v>
      </c>
      <c r="Q28" s="190"/>
      <c r="R28" s="190">
        <f>SUMPRODUCT((Aramburu_Mensal!$C$6:$C$1098="julho")*((Aramburu_Mensal!$N$6:$N$1098="provisionado dl")+(Aramburu_Mensal!$N$6:$N$1098="a repassar")+(Aramburu_Mensal!$N$6:$N$1098="repassado"))*(Aramburu_Mensal!$O$6:$O$1098))</f>
        <v>-71397.739999999991</v>
      </c>
      <c r="S28" s="190"/>
      <c r="T28" s="190">
        <f>SUMPRODUCT((Aramburu_Mensal!$C$6:$C$1098="agosto")*((Aramburu_Mensal!$N$6:$N$1098="provisionado dl")+(Aramburu_Mensal!$N$6:$N$1098="a repassar")+(Aramburu_Mensal!$N$6:$N$1098="repassado"))*(Aramburu_Mensal!$O$6:$O$1098))</f>
        <v>-177534.13999999998</v>
      </c>
      <c r="U28" s="190"/>
      <c r="V28" s="190">
        <f>SUMPRODUCT((Aramburu_Mensal!$C$6:$C$1098="setembro")*((Aramburu_Mensal!$N$6:$N$1098="provisionado dl")+(Aramburu_Mensal!$N$6:$N$1098="a repassar")+(Aramburu_Mensal!$N$6:$N$1098="repassado"))*(Aramburu_Mensal!$O$6:$O$1098))</f>
        <v>-121071.13</v>
      </c>
      <c r="W28" s="190"/>
      <c r="X28" s="190">
        <f>SUMPRODUCT((Aramburu_Mensal!$C$6:$C$1098="outubro")*((Aramburu_Mensal!$N$6:$N$1098="provisionado dl")+(Aramburu_Mensal!$N$6:$N$1098="a repassar")+(Aramburu_Mensal!$N$6:$N$1098="repassado"))*(Aramburu_Mensal!$O$6:$O$1098))</f>
        <v>-145533.26999999999</v>
      </c>
      <c r="Y28" s="190"/>
      <c r="Z28" s="190">
        <f>SUMPRODUCT((Aramburu_Mensal!$C$6:$C$1098="novembro")*((Aramburu_Mensal!$N$6:$N$1098="provisionado dl")+(Aramburu_Mensal!$N$6:$N$1098="a repassar")+(Aramburu_Mensal!$N$6:$N$1098="repassado"))*(Aramburu_Mensal!$O$6:$O$1098))</f>
        <v>-122001.5</v>
      </c>
      <c r="AA28" s="190"/>
      <c r="AB28" s="190">
        <f>SUMPRODUCT((Aramburu_Mensal!$C$6:$C$1098="dezembro")*((Aramburu_Mensal!$N$6:$N$1098="provisionado dl")+(Aramburu_Mensal!$N$6:$N$1098="a repassar")+(Aramburu_Mensal!$N$6:$N$1098="repassado"))*(Aramburu_Mensal!$O$6:$O$1098))</f>
        <v>-134686.93</v>
      </c>
      <c r="AC28" s="190"/>
      <c r="AD28" s="353">
        <f t="shared" si="0"/>
        <v>-1938173.7299999997</v>
      </c>
      <c r="AE28" s="146"/>
      <c r="AF28" s="150"/>
      <c r="AG28" s="155"/>
      <c r="AH28" s="168">
        <f>AH20</f>
        <v>124705.34060000163</v>
      </c>
      <c r="AI28" s="154"/>
      <c r="AJ28" s="154"/>
      <c r="AK28" s="157"/>
      <c r="AL28" s="153"/>
    </row>
    <row r="29" spans="2:39" ht="13.5" thickBot="1">
      <c r="B29" s="187"/>
      <c r="C29" s="60"/>
      <c r="D29" s="151" t="s">
        <v>262</v>
      </c>
      <c r="E29" s="191"/>
      <c r="F29" s="190">
        <f>SUMPRODUCT((Aramburu_Mensal!$C$6:$C$1098="janeiro")*((Aramburu_Mensal!$N$6:$N$1098="A aplicar")+(Aramburu_Mensal!$N$6:$N$1098="Aplicado")+(Aramburu_Mensal!$N$6:$N$1098="Aplicação"))*(Aramburu_Mensal!$O$6:$O$1098))</f>
        <v>-400573.80000000005</v>
      </c>
      <c r="G29" s="145"/>
      <c r="H29" s="190">
        <f>SUMPRODUCT((Aramburu_Mensal!$C$6:$C$1098="fevereiro")*((Aramburu_Mensal!$N$6:$N$1098="A aplicar")+(Aramburu_Mensal!$N$6:$N$1098="Aplicado")+(Aramburu_Mensal!$N$6:$N$1098="Aplicação"))*(Aramburu_Mensal!$O$6:$O$1098))</f>
        <v>0</v>
      </c>
      <c r="I29" s="190"/>
      <c r="J29" s="190">
        <f>SUMPRODUCT((Aramburu_Mensal!$C$6:$C$1098="março")*((Aramburu_Mensal!$N$6:$N$1098="A aplicar")+(Aramburu_Mensal!$N$6:$N$1098="Aplicado")+(Aramburu_Mensal!$N$6:$N$1098="Aplicação"))*(Aramburu_Mensal!$O$6:$O$1098))</f>
        <v>-20140.28</v>
      </c>
      <c r="K29" s="190"/>
      <c r="L29" s="190">
        <f>SUMPRODUCT((Aramburu_Mensal!$C$6:$C$1098="abril")*((Aramburu_Mensal!$N$6:$N$1098="A aplicar")+(Aramburu_Mensal!$N$6:$N$1098="Aplicado")+(Aramburu_Mensal!$N$6:$N$1098="Aplicação"))*(Aramburu_Mensal!$O$6:$O$1098))</f>
        <v>-383184.43</v>
      </c>
      <c r="M29" s="190"/>
      <c r="N29" s="190">
        <f>SUMPRODUCT((Aramburu_Mensal!$C$6:$C$1098="maio")*((Aramburu_Mensal!$N$6:$N$1098="A aplicar")+(Aramburu_Mensal!$N$6:$N$1098="Aplicado")+(Aramburu_Mensal!$N$6:$N$1098="Aplicação"))*(Aramburu_Mensal!$O$6:$O$1098))</f>
        <v>0</v>
      </c>
      <c r="O29" s="190"/>
      <c r="P29" s="190">
        <f>SUMPRODUCT((Aramburu_Mensal!$C$6:$C$1098="junho")*((Aramburu_Mensal!$N$6:$N$1098="A aplicar")+(Aramburu_Mensal!$N$6:$N$1098="Aplicado")+(Aramburu_Mensal!$N$6:$N$1098="Aplicação"))*(Aramburu_Mensal!$O$6:$O$1098))</f>
        <v>0</v>
      </c>
      <c r="Q29" s="190"/>
      <c r="R29" s="190">
        <f>SUMPRODUCT((Aramburu_Mensal!$C$6:$C$1098="julho")*((Aramburu_Mensal!$N$6:$N$1098="A aplicar")+(Aramburu_Mensal!$N$6:$N$1098="Aplicado")+(Aramburu_Mensal!$N$6:$N$1098="Aplicação"))*(Aramburu_Mensal!$O$6:$O$1098))</f>
        <v>0</v>
      </c>
      <c r="S29" s="190"/>
      <c r="T29" s="190">
        <f>SUMPRODUCT((Aramburu_Mensal!$C$6:$C$1098="agosto")*((Aramburu_Mensal!$N$6:$N$1098="A aplicar")+(Aramburu_Mensal!$N$6:$N$1098="Aplicado")+(Aramburu_Mensal!$N$6:$N$1098="Aplicação"))*(Aramburu_Mensal!$O$6:$O$1098))</f>
        <v>0</v>
      </c>
      <c r="U29" s="190"/>
      <c r="V29" s="190">
        <f>SUMPRODUCT((Aramburu_Mensal!$C$6:$C$1098="setembro")*((Aramburu_Mensal!$N$6:$N$1098="A aplicar")+(Aramburu_Mensal!$N$6:$N$1098="Aplicado")+(Aramburu_Mensal!$N$6:$N$1098="Aplicação"))*(Aramburu_Mensal!$O$6:$O$1098))</f>
        <v>0</v>
      </c>
      <c r="W29" s="190"/>
      <c r="X29" s="190">
        <f>SUMPRODUCT((Aramburu_Mensal!$C$6:$C$1098="outubro")*((Aramburu_Mensal!$N$6:$N$1098="A aplicar")+(Aramburu_Mensal!$N$6:$N$1098="Aplicado")+(Aramburu_Mensal!$N$6:$N$1098="Aplicação"))*(Aramburu_Mensal!$O$6:$O$1098))</f>
        <v>0</v>
      </c>
      <c r="Y29" s="190"/>
      <c r="Z29" s="190">
        <f>SUMPRODUCT((Aramburu_Mensal!$C$6:$C$1098="novembro")*((Aramburu_Mensal!$N$6:$N$1098="A aplicar")+(Aramburu_Mensal!$N$6:$N$1098="Aplicado")+(Aramburu_Mensal!$N$6:$N$1098="Aplicação"))*(Aramburu_Mensal!$O$6:$O$1098))</f>
        <v>0</v>
      </c>
      <c r="AA29" s="190"/>
      <c r="AB29" s="190">
        <f>SUMPRODUCT((Aramburu_Mensal!$C$6:$C$1098="dezembro")*((Aramburu_Mensal!$N$6:$N$1098="A aplicar")+(Aramburu_Mensal!$N$6:$N$1098="Aplicado")+(Aramburu_Mensal!$N$6:$N$1098="Aplicação"))*(Aramburu_Mensal!$O$6:$O$1098))</f>
        <v>0</v>
      </c>
      <c r="AC29" s="190"/>
      <c r="AD29" s="353">
        <f>SUM(F29:AC29)</f>
        <v>-803898.51</v>
      </c>
      <c r="AE29" s="146"/>
      <c r="AF29" s="60"/>
      <c r="AG29" s="155"/>
      <c r="AH29" s="154"/>
      <c r="AI29" s="154"/>
      <c r="AJ29" s="154"/>
      <c r="AK29" s="154"/>
      <c r="AL29" s="153"/>
      <c r="AM29" s="127"/>
    </row>
    <row r="30" spans="2:39" ht="16.5" thickBot="1">
      <c r="B30" s="187"/>
      <c r="C30" s="60"/>
      <c r="D30" s="151" t="s">
        <v>317</v>
      </c>
      <c r="E30" s="191"/>
      <c r="F30" s="190">
        <f>SUMPRODUCT((Aramburu_Mensal!$C$6:$C$1098="janeiro")*(Aramburu_Mensal!$D$6:$D$1098="2.9 – Outras Saídas")*((Aramburu_Mensal!$N$6:$N$1098="provisionado")+(Aramburu_Mensal!$N$6:$N$1098="a pagar")+(Aramburu_Mensal!$N$6:$N$1098="Pago")+(Aramburu_Mensal!$N$6:$N$1098="Provisionado DV"))*(Aramburu_Mensal!$O$6:$O$1098))</f>
        <v>-226080.7</v>
      </c>
      <c r="G30" s="145"/>
      <c r="H30" s="190">
        <f>SUMPRODUCT((Aramburu_Mensal!$C$6:$C$1098="fevereiro")*(Aramburu_Mensal!$D$6:$D$1098="2.9 – Outras Saídas")*((Aramburu_Mensal!$N$6:$N$1098="provisionado")+(Aramburu_Mensal!$N$6:$N$1098="a pagar")+(Aramburu_Mensal!$N$6:$N$1098="Pago")+(Aramburu_Mensal!$N$6:$N$1098="Provisionado DV"))*(Aramburu_Mensal!$O$6:$O$1098))</f>
        <v>-94.56</v>
      </c>
      <c r="I30" s="190"/>
      <c r="J30" s="190">
        <f>SUMPRODUCT((Aramburu_Mensal!$C$6:$C$1098="março")*(Aramburu_Mensal!$D$6:$D$1098="2.9 – Outras Saídas")*((Aramburu_Mensal!$N$6:$N$1098="provisionado")+(Aramburu_Mensal!$N$6:$N$1098="a pagar")+(Aramburu_Mensal!$N$6:$N$1098="Pago")+(Aramburu_Mensal!$N$6:$N$1098="Provisionado DV"))*(Aramburu_Mensal!$O$6:$O$1098))</f>
        <v>-14130.79</v>
      </c>
      <c r="K30" s="190"/>
      <c r="L30" s="190">
        <f>SUMPRODUCT((Aramburu_Mensal!$C$6:$C$1098="abril")*(Aramburu_Mensal!$D$6:$D$1098="2.9 – Outras Saídas")*((Aramburu_Mensal!$N$6:$N$1098="provisionado")+(Aramburu_Mensal!$N$6:$N$1098="a pagar")+(Aramburu_Mensal!$N$6:$N$1098="Pago")+(Aramburu_Mensal!$N$6:$N$1098="Provisionado DV"))*(Aramburu_Mensal!$O$6:$O$1098))</f>
        <v>-51900.1</v>
      </c>
      <c r="M30" s="190"/>
      <c r="N30" s="190">
        <f>SUMPRODUCT((Aramburu_Mensal!$C$6:$C$1098="maio")*(Aramburu_Mensal!$D$6:$D$1098="2.9 – Outras Saídas")*((Aramburu_Mensal!$N$6:$N$1098="provisionado")+(Aramburu_Mensal!$N$6:$N$1098="a pagar")+(Aramburu_Mensal!$N$6:$N$1098="Pago")+(Aramburu_Mensal!$N$6:$N$1098="Provisionado DV"))*(Aramburu_Mensal!$O$6:$O$1098))</f>
        <v>0</v>
      </c>
      <c r="O30" s="190"/>
      <c r="P30" s="190">
        <f>SUMPRODUCT((Aramburu_Mensal!$C$6:$C$1098="junho")*(Aramburu_Mensal!$D$6:$D$1098="2.9 – Outras Saídas")*((Aramburu_Mensal!$N$6:$N$1098="provisionado")+(Aramburu_Mensal!$N$6:$N$1098="a pagar")+(Aramburu_Mensal!$N$6:$N$1098="Pago")+(Aramburu_Mensal!$N$6:$N$1098="Provisionado DV"))*(Aramburu_Mensal!$O$6:$O$1098))</f>
        <v>0</v>
      </c>
      <c r="Q30" s="190"/>
      <c r="R30" s="190">
        <f>SUMPRODUCT((Aramburu_Mensal!$C$6:$C$1098="julho")*(Aramburu_Mensal!$D$6:$D$1098="2.9 – Outras Saídas")*((Aramburu_Mensal!$N$6:$N$1098="provisionado")+(Aramburu_Mensal!$N$6:$N$1098="a pagar")+(Aramburu_Mensal!$N$6:$N$1098="Pago")+(Aramburu_Mensal!$N$6:$N$1098="Provisionado DV"))*(Aramburu_Mensal!$O$6:$O$1098))</f>
        <v>0</v>
      </c>
      <c r="S30" s="190"/>
      <c r="T30" s="190">
        <f>SUMPRODUCT((Aramburu_Mensal!$C$6:$C$1098="agosto")*(Aramburu_Mensal!$D$6:$D$1098="2.9 – Outras Saídas")*((Aramburu_Mensal!$N$6:$N$1098="provisionado")+(Aramburu_Mensal!$N$6:$N$1098="a pagar")+(Aramburu_Mensal!$N$6:$N$1098="Pago")+(Aramburu_Mensal!$N$6:$N$1098="Provisionado DV"))*(Aramburu_Mensal!$O$6:$O$1098))</f>
        <v>0</v>
      </c>
      <c r="U30" s="190"/>
      <c r="V30" s="190">
        <f>SUMPRODUCT((Aramburu_Mensal!$C$6:$C$1098="setembro")*(Aramburu_Mensal!$D$6:$D$1098="2.9 – Outras Saídas")*((Aramburu_Mensal!$N$6:$N$1098="provisionado")+(Aramburu_Mensal!$N$6:$N$1098="a pagar")+(Aramburu_Mensal!$N$6:$N$1098="Pago")+(Aramburu_Mensal!$N$6:$N$1098="Provisionado DV"))*(Aramburu_Mensal!$O$6:$O$1098))</f>
        <v>0</v>
      </c>
      <c r="W30" s="190"/>
      <c r="X30" s="190">
        <f>SUMPRODUCT((Aramburu_Mensal!$C$6:$C$1098="outubro")*(Aramburu_Mensal!$D$6:$D$1098="2.9 – Outras Saídas")*((Aramburu_Mensal!$N$6:$N$1098="provisionado")+(Aramburu_Mensal!$N$6:$N$1098="a pagar")+(Aramburu_Mensal!$N$6:$N$1098="Pago")+(Aramburu_Mensal!$N$6:$N$1098="Provisionado DV"))*(Aramburu_Mensal!$O$6:$O$1098))</f>
        <v>0</v>
      </c>
      <c r="Y30" s="190"/>
      <c r="Z30" s="190">
        <f>SUMPRODUCT((Aramburu_Mensal!$C$6:$C$1098="novembro")*(Aramburu_Mensal!$D$6:$D$1098="2.9 – Outras Saídas")*((Aramburu_Mensal!$N$6:$N$1098="provisionado")+(Aramburu_Mensal!$N$6:$N$1098="a pagar")+(Aramburu_Mensal!$N$6:$N$1098="Pago")+(Aramburu_Mensal!$N$6:$N$1098="Provisionado DV"))*(Aramburu_Mensal!$O$6:$O$1098))</f>
        <v>0</v>
      </c>
      <c r="AA30" s="190"/>
      <c r="AB30" s="190">
        <f>SUMPRODUCT((Aramburu_Mensal!$C$6:$C$1098="dezembro")*(Aramburu_Mensal!$D$6:$D$1098="2.9 – Outras Saídas")*((Aramburu_Mensal!$N$6:$N$1098="provisionado")+(Aramburu_Mensal!$N$6:$N$1098="a pagar")+(Aramburu_Mensal!$N$6:$N$1098="Pago")+(Aramburu_Mensal!$N$6:$N$1098="Provisionado DV"))*(Aramburu_Mensal!$O$6:$O$1098))</f>
        <v>0</v>
      </c>
      <c r="AC30" s="190"/>
      <c r="AD30" s="353">
        <f t="shared" si="0"/>
        <v>-292206.15000000002</v>
      </c>
      <c r="AE30" s="146"/>
      <c r="AF30" s="60"/>
      <c r="AG30" s="158"/>
      <c r="AH30" s="168">
        <f>L45</f>
        <v>-10614.410000000003</v>
      </c>
      <c r="AI30" s="154"/>
      <c r="AJ30" s="154"/>
      <c r="AK30" s="154"/>
      <c r="AL30" s="153"/>
      <c r="AM30" s="127"/>
    </row>
    <row r="31" spans="2:39">
      <c r="B31" s="187"/>
      <c r="C31" s="60"/>
      <c r="D31" s="167" t="s">
        <v>193</v>
      </c>
      <c r="E31" s="192" t="s">
        <v>191</v>
      </c>
      <c r="F31" s="201">
        <f>SUM(F21+F26)</f>
        <v>1089144.9000000001</v>
      </c>
      <c r="G31" s="202"/>
      <c r="H31" s="201">
        <f>SUM(H21+H26)</f>
        <v>-121757.41000000005</v>
      </c>
      <c r="I31" s="202"/>
      <c r="J31" s="201">
        <f>SUM(J21+J26)</f>
        <v>1308822.7320000003</v>
      </c>
      <c r="K31" s="202"/>
      <c r="L31" s="201">
        <f>SUM(L21+L26)</f>
        <v>-950016.85000000021</v>
      </c>
      <c r="M31" s="203"/>
      <c r="N31" s="189">
        <f>SUM(N21+N26)</f>
        <v>-272616.473</v>
      </c>
      <c r="O31" s="203"/>
      <c r="P31" s="201">
        <f>SUM(P21+P26)</f>
        <v>-135260.66999999998</v>
      </c>
      <c r="Q31" s="203"/>
      <c r="R31" s="201">
        <f>SUM(R21+R26)</f>
        <v>600320.77159999998</v>
      </c>
      <c r="S31" s="203"/>
      <c r="T31" s="201">
        <f>SUM(T21+T26)</f>
        <v>-520912.56999999995</v>
      </c>
      <c r="U31" s="203"/>
      <c r="V31" s="201">
        <f>SUM(V21+V26)</f>
        <v>-288948.06</v>
      </c>
      <c r="W31" s="203"/>
      <c r="X31" s="201">
        <f>SUM(X21+X26)</f>
        <v>-229413.2</v>
      </c>
      <c r="Y31" s="203"/>
      <c r="Z31" s="201">
        <f>SUM(Z21+Z26)</f>
        <v>-170322.43</v>
      </c>
      <c r="AA31" s="203"/>
      <c r="AB31" s="201">
        <f>SUM(AB21+AB26)</f>
        <v>-184335.4</v>
      </c>
      <c r="AC31" s="203"/>
      <c r="AD31" s="201">
        <f>SUM(AD21+AD26)</f>
        <v>124705.34060000163</v>
      </c>
      <c r="AE31" s="60"/>
      <c r="AF31" s="60"/>
      <c r="AG31" s="158"/>
      <c r="AH31" s="154"/>
      <c r="AI31" s="154"/>
      <c r="AJ31" s="154"/>
      <c r="AK31" s="154"/>
      <c r="AL31" s="153"/>
      <c r="AM31" s="107"/>
    </row>
    <row r="32" spans="2:39" s="107" customFormat="1">
      <c r="B32" s="187"/>
      <c r="C32" s="142"/>
      <c r="D32" s="145"/>
      <c r="E32" s="145"/>
      <c r="F32" s="145"/>
      <c r="G32" s="145"/>
      <c r="H32" s="145"/>
      <c r="I32" s="145"/>
      <c r="J32" s="146"/>
      <c r="K32" s="146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E32" s="60"/>
      <c r="AF32" s="142"/>
      <c r="AG32" s="158"/>
      <c r="AH32" s="154"/>
      <c r="AI32" s="154"/>
      <c r="AJ32" s="154"/>
      <c r="AK32" s="154"/>
      <c r="AL32" s="153"/>
    </row>
    <row r="33" spans="2:40" s="107" customFormat="1">
      <c r="B33" s="187"/>
      <c r="C33" s="142"/>
      <c r="D33" s="247" t="s">
        <v>738</v>
      </c>
      <c r="E33" s="111"/>
      <c r="F33" s="204">
        <f>SUMPRODUCT((Aramburu_Mensal!$C$6:$C$1098="janeiro")*(Aramburu_Mensal!$M$6:$M$1098="Banco Cora (0001)")*((Aramburu_Mensal!$N$6:$N$1098="saldo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</f>
        <v>1086493.0899999999</v>
      </c>
      <c r="G33" s="204"/>
      <c r="H33" s="204">
        <f>F33+SUMPRODUCT((Aramburu_Mensal!$C$6:$C$1098="fevereiro")*(Aramburu_Mensal!$M$6:$M$1098="Banco Cora (0001)")*((Aramburu_Mensal!$N$6:$N$1098="saldo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</f>
        <v>965011.07999999984</v>
      </c>
      <c r="I33" s="204"/>
      <c r="J33" s="204">
        <f>H33+SUMPRODUCT((Aramburu_Mensal!$C$6:$C$1098="março")*(Aramburu_Mensal!$M$6:$M$1098="Banco Cora (0001)")*((Aramburu_Mensal!$N$6:$N$1098="saldo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</f>
        <v>2274703.6619999995</v>
      </c>
      <c r="K33" s="205"/>
      <c r="L33" s="204">
        <f>J33+SUMPRODUCT((Aramburu_Mensal!$C$6:$C$1098="abril")*(Aramburu_Mensal!$M$6:$M$1098="Banco Cora (0001)")*((Aramburu_Mensal!$N$6:$N$1098="saldo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</f>
        <v>1324843.3119999995</v>
      </c>
      <c r="M33" s="206"/>
      <c r="N33" s="204">
        <f>L33+SUMPRODUCT((Aramburu_Mensal!$C$6:$C$1098="maio")*(Aramburu_Mensal!$M$6:$M$1098="Banco Cora (0001)")*((Aramburu_Mensal!$N$6:$N$1098="saldo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</f>
        <v>1052395.8389999995</v>
      </c>
      <c r="O33" s="206"/>
      <c r="P33" s="204">
        <f>N33+SUMPRODUCT((Aramburu_Mensal!$C$6:$C$1098="junho")*(Aramburu_Mensal!$M$6:$M$1098="Banco Cora (0001)")*((Aramburu_Mensal!$N$6:$N$1098="saldo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</f>
        <v>917304.15899999952</v>
      </c>
      <c r="Q33" s="206"/>
      <c r="R33" s="204">
        <f>P33+SUMPRODUCT((Aramburu_Mensal!$C$6:$C$1098="julho")*(Aramburu_Mensal!$M$6:$M$1098="Banco Cora (0001)")*((Aramburu_Mensal!$N$6:$N$1098="saldo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</f>
        <v>1517793.9305999996</v>
      </c>
      <c r="S33" s="206"/>
      <c r="T33" s="204">
        <f>R33+SUMPRODUCT((Aramburu_Mensal!$C$6:$C$1098="agosto")*(Aramburu_Mensal!$M$6:$M$1098="Banco Cora (0001)")*((Aramburu_Mensal!$N$6:$N$1098="saldo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</f>
        <v>997050.36059999955</v>
      </c>
      <c r="U33" s="206"/>
      <c r="V33" s="204">
        <f>T33+SUMPRODUCT((Aramburu_Mensal!$C$6:$C$1098="setembro")*(Aramburu_Mensal!$M$6:$M$1098="Banco Cora (0001)")*((Aramburu_Mensal!$N$6:$N$1098="saldo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</f>
        <v>708271.30059999949</v>
      </c>
      <c r="W33" s="206"/>
      <c r="X33" s="204">
        <f>V33+SUMPRODUCT((Aramburu_Mensal!$C$6:$C$1098="outubro")*(Aramburu_Mensal!$M$6:$M$1098="Banco Cora (0001)")*((Aramburu_Mensal!$N$6:$N$1098="saldo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</f>
        <v>479027.10059999954</v>
      </c>
      <c r="Y33" s="206"/>
      <c r="Z33" s="204">
        <f>X33+SUMPRODUCT((Aramburu_Mensal!$C$6:$C$1098="novembro")*(Aramburu_Mensal!$M$6:$M$1098="Banco Cora (0001)")*((Aramburu_Mensal!$N$6:$N$1098="saldo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</f>
        <v>308873.67059999955</v>
      </c>
      <c r="AA33" s="206"/>
      <c r="AB33" s="204">
        <f>Z33+SUMPRODUCT((Aramburu_Mensal!$C$6:$C$1098="dezembro")*(Aramburu_Mensal!$M$6:$M$1098="Banco Cora (0001)")*((Aramburu_Mensal!$N$6:$N$1098="saldo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</f>
        <v>124707.27059999958</v>
      </c>
      <c r="AC33" s="206"/>
      <c r="AD33" s="204"/>
      <c r="AE33" s="150"/>
      <c r="AF33" s="142"/>
      <c r="AG33" s="154"/>
      <c r="AH33" s="153"/>
      <c r="AI33" s="153"/>
      <c r="AJ33" s="153"/>
      <c r="AK33" s="153"/>
      <c r="AL33" s="153"/>
    </row>
    <row r="34" spans="2:40">
      <c r="B34" s="187"/>
      <c r="C34" s="60"/>
      <c r="D34" s="247" t="s">
        <v>733</v>
      </c>
      <c r="E34" s="111"/>
      <c r="F34" s="204">
        <f>ROUND(SUMPRODUCT((Aramburu_Mensal!$C$6:$C$1098="janeiro")*(Aramburu_Mensal!$M$6:$M$1098="Cooperativa Sicredi (0902)")*((Aramburu_Mensal!$N$6:$N$1098="saldo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832.25</v>
      </c>
      <c r="G34" s="204"/>
      <c r="H34" s="204">
        <f>ROUND(F34+SUMPRODUCT((Aramburu_Mensal!$C$6:$C$1098="fevereiro")*(Aramburu_Mensal!$M$6:$M$1098="Cooperativa Sicredi (0902)")*((Aramburu_Mensal!$N$6:$N$1098="saldo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713.35</v>
      </c>
      <c r="I34" s="204"/>
      <c r="J34" s="486">
        <f>ROUND(H34+SUMPRODUCT((Aramburu_Mensal!$C$6:$C$1098="março")*(Aramburu_Mensal!$M$6:$M$1098="Cooperativa Sicredi (0902)")*((Aramburu_Mensal!$N$6:$N$1098="saldo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0</v>
      </c>
      <c r="K34" s="205"/>
      <c r="L34" s="204">
        <f>ROUND(J34+SUMPRODUCT((Aramburu_Mensal!$C$6:$C$1098="abril")*(Aramburu_Mensal!$M$6:$M$1098="Cooperativa Sicredi (0902)")*((Aramburu_Mensal!$N$6:$N$1098="saldo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0</v>
      </c>
      <c r="M34" s="206"/>
      <c r="N34" s="204">
        <f>ROUND(L34+SUMPRODUCT((Aramburu_Mensal!$C$6:$C$1098="maio")*(Aramburu_Mensal!$M$6:$M$1098="Cooperativa Sicredi (0902)")*((Aramburu_Mensal!$N$6:$N$1098="saldo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0</v>
      </c>
      <c r="O34" s="206"/>
      <c r="P34" s="204">
        <f>ROUND(N34++SUMPRODUCT((Aramburu_Mensal!$C$6:$C$1098="junho")*(Aramburu_Mensal!$M$6:$M$1098="Cooperativa Sicredi (0902)")*((Aramburu_Mensal!$N$6:$N$1098="saldo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0</v>
      </c>
      <c r="Q34" s="206"/>
      <c r="R34" s="204">
        <f>ROUND(P34+SUMPRODUCT((Aramburu_Mensal!$C$6:$C$1098="julho")*(Aramburu_Mensal!$M$6:$M$1098="Cooperativa Sicredi (0902)")*((Aramburu_Mensal!$N$6:$N$1098="saldo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0</v>
      </c>
      <c r="S34" s="206"/>
      <c r="T34" s="204">
        <f>ROUND(R34+SUMPRODUCT((Aramburu_Mensal!$C$6:$C$1098="agosto")*(Aramburu_Mensal!$M$6:$M$1098="Cooperativa Sicredi (0902)")*((Aramburu_Mensal!$N$6:$N$1098="saldo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0</v>
      </c>
      <c r="U34" s="206"/>
      <c r="V34" s="204">
        <f>ROUND(T34+SUMPRODUCT((Aramburu_Mensal!$C$6:$C$1098="setembro")*(Aramburu_Mensal!$M$6:$M$1098="Cooperativa Sicredi (0902)")*((Aramburu_Mensal!$N$6:$N$1098="saldo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0</v>
      </c>
      <c r="W34" s="206"/>
      <c r="X34" s="204">
        <f>ROUND(V34+SUMPRODUCT((Aramburu_Mensal!$C$6:$C$1098="outubro")*(Aramburu_Mensal!$M$6:$M$1098="Cooperativa Sicredi (0902)")*((Aramburu_Mensal!$N$6:$N$1098="saldo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0</v>
      </c>
      <c r="Y34" s="206"/>
      <c r="Z34" s="204">
        <f>ROUND(X34+SUMPRODUCT((Aramburu_Mensal!$C$6:$C$1098="novembro")*(Aramburu_Mensal!$M$6:$M$1098="Cooperativa Sicredi (0902)")*((Aramburu_Mensal!$N$6:$N$1098="saldo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0</v>
      </c>
      <c r="AA34" s="206"/>
      <c r="AB34" s="204">
        <f>ROUND(Z34+SUMPRODUCT((Aramburu_Mensal!$C$6:$C$1098="dezembro")*(Aramburu_Mensal!$M$6:$M$1098="Cooperativa Sicredi (0902)")*((Aramburu_Mensal!$N$6:$N$1098="saldo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0</v>
      </c>
      <c r="AC34" s="206"/>
      <c r="AD34" s="204"/>
      <c r="AE34" s="150"/>
      <c r="AF34" s="60"/>
      <c r="AG34" s="154"/>
      <c r="AH34" s="153"/>
      <c r="AI34" s="153"/>
      <c r="AJ34" s="153"/>
      <c r="AK34" s="153"/>
      <c r="AL34" s="153"/>
      <c r="AM34" s="107"/>
      <c r="AN34" s="164"/>
    </row>
    <row r="35" spans="2:40">
      <c r="B35" s="187"/>
      <c r="C35" s="60"/>
      <c r="D35" s="247" t="s">
        <v>734</v>
      </c>
      <c r="E35" s="111"/>
      <c r="F35" s="204">
        <f>ROUND(SUMPRODUCT((Aramburu_Mensal!$C$6:$C$1098="janeiro")*(Aramburu_Mensal!$M$6:$M$1098="Cooperativa Sicredi (0913)")*((Aramburu_Mensal!$N$6:$N$1098="saldo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1819.56</v>
      </c>
      <c r="G35" s="204"/>
      <c r="H35" s="204">
        <f>ROUND(F35+SUMPRODUCT((Aramburu_Mensal!$C$6:$C$1098="fevereiro")*(Aramburu_Mensal!$M$6:$M$1098="Cooperativa Sicredi (0913)")*((Aramburu_Mensal!$N$6:$N$1098="saldo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1663.06</v>
      </c>
      <c r="I35" s="204"/>
      <c r="J35" s="204">
        <f>ROUND(H35+SUMPRODUCT((Aramburu_Mensal!$C$6:$C$1098="março")*(Aramburu_Mensal!$M$6:$M$1098="Cooperativa Sicredi (0913)")*((Aramburu_Mensal!$N$6:$N$1098="saldo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1506.56</v>
      </c>
      <c r="K35" s="205"/>
      <c r="L35" s="204">
        <f>ROUND(J35+SUMPRODUCT((Aramburu_Mensal!$C$6:$C$1098="abril")*(Aramburu_Mensal!$M$6:$M$1098="Cooperativa Sicredi (0913)")*((Aramburu_Mensal!$N$6:$N$1098="saldo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1350.06</v>
      </c>
      <c r="M35" s="206"/>
      <c r="N35" s="204">
        <f>ROUND(L35+SUMPRODUCT((Aramburu_Mensal!$C$6:$C$1098="maio")*(Aramburu_Mensal!$M$6:$M$1098="Cooperativa Sicredi (0913)")*((Aramburu_Mensal!$N$6:$N$1098="saldo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1181.06</v>
      </c>
      <c r="O35" s="206"/>
      <c r="P35" s="204">
        <f>ROUND(N35++SUMPRODUCT((Aramburu_Mensal!$C$6:$C$1098="junho")*(Aramburu_Mensal!$M$6:$M$1098="Cooperativa Sicredi (0913)")*((Aramburu_Mensal!$N$6:$N$1098="saldo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1012.07</v>
      </c>
      <c r="Q35" s="206"/>
      <c r="R35" s="204">
        <f>ROUND(P35+SUMPRODUCT((Aramburu_Mensal!$C$6:$C$1098="julho")*(Aramburu_Mensal!$M$6:$M$1098="Cooperativa Sicredi (0913)")*((Aramburu_Mensal!$N$6:$N$1098="saldo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843.07</v>
      </c>
      <c r="S35" s="206"/>
      <c r="T35" s="204">
        <f>ROUND(R35+SUMPRODUCT((Aramburu_Mensal!$C$6:$C$1098="agosto")*(Aramburu_Mensal!$M$6:$M$1098="Cooperativa Sicredi (0913)")*((Aramburu_Mensal!$N$6:$N$1098="saldo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674.07</v>
      </c>
      <c r="U35" s="206"/>
      <c r="V35" s="204">
        <f>ROUND(T35+SUMPRODUCT((Aramburu_Mensal!$C$6:$C$1098="setembro")*(Aramburu_Mensal!$M$6:$M$1098="Cooperativa Sicredi (0913)")*((Aramburu_Mensal!$N$6:$N$1098="saldo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505.07</v>
      </c>
      <c r="W35" s="206"/>
      <c r="X35" s="204">
        <f>ROUND(V35+SUMPRODUCT((Aramburu_Mensal!$C$6:$C$1098="outubro")*(Aramburu_Mensal!$M$6:$M$1098="Cooperativa Sicredi (0913)")*((Aramburu_Mensal!$N$6:$N$1098="saldo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336.07</v>
      </c>
      <c r="Y35" s="206"/>
      <c r="Z35" s="204">
        <f>ROUND(X35+SUMPRODUCT((Aramburu_Mensal!$C$6:$C$1098="novembro")*(Aramburu_Mensal!$M$6:$M$1098="Cooperativa Sicredi (0913)")*((Aramburu_Mensal!$N$6:$N$1098="saldo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167.07</v>
      </c>
      <c r="AA35" s="206"/>
      <c r="AB35" s="204">
        <f>ROUND(Z35+SUMPRODUCT((Aramburu_Mensal!$C$6:$C$1098="dezembro")*(Aramburu_Mensal!$M$6:$M$1098="Cooperativa Sicredi (0913)")*((Aramburu_Mensal!$N$6:$N$1098="saldo inicial")+(Aramburu_Mensal!$N$6:$N$1098="pago")+(Aramburu_Mensal!$N$6:$N$1098="Recebido")+(Aramburu_Mensal!$N$6:$N$1098="Aplicação")+(Aramburu_Mensal!$N$6:$N$1098="Resgate")+(Aramburu_Mensal!$N$6:$N$1098="Repassado")+(Aramburu_Mensal!$N$6:$N$1098="Provisionado")+(Aramburu_Mensal!$N$6:$N$1098="Provisionado DV")+(Aramburu_Mensal!$N$6:$N$1098="A pagar")+(Aramburu_Mensal!$N$6:$N$1098="Provisionado DL")+(Aramburu_Mensal!$N$6:$N$1098="A repassar")+(Aramburu_Mensal!$N$6:$N$1098="A aplicar")+(Aramburu_Mensal!$N$6:$N$1098="A receber")+(Aramburu_Mensal!$N$6:$N$1098="A resgatar")+(Aramburu_Mensal!$N$6:$N$1098="Aplicado")+(Aramburu_Mensal!$N$6:$N$1098="Resgatado")),Aramburu_Mensal!$O$6:$O$1098),2)</f>
        <v>-1.93</v>
      </c>
      <c r="AC35" s="206"/>
      <c r="AD35" s="204">
        <f>AB37-AD31</f>
        <v>-2.0372681319713593E-9</v>
      </c>
      <c r="AE35" s="150"/>
      <c r="AF35" s="60"/>
      <c r="AG35" s="153"/>
      <c r="AH35" s="153"/>
      <c r="AI35" s="153"/>
      <c r="AJ35" s="153"/>
      <c r="AK35" s="153"/>
      <c r="AL35" s="153"/>
      <c r="AM35" s="107"/>
      <c r="AN35" s="164"/>
    </row>
    <row r="36" spans="2:40" ht="18" customHeight="1">
      <c r="B36" s="187"/>
      <c r="C36" s="60"/>
      <c r="D36" s="145"/>
      <c r="E36" s="145"/>
      <c r="F36" s="145"/>
      <c r="G36" s="145"/>
      <c r="H36" s="145"/>
      <c r="I36" s="145"/>
      <c r="J36" s="146"/>
      <c r="K36" s="146"/>
      <c r="L36" s="150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60"/>
      <c r="AG36" s="153"/>
      <c r="AH36" s="543" t="s">
        <v>744</v>
      </c>
      <c r="AI36" s="543"/>
      <c r="AJ36" s="543"/>
      <c r="AK36" s="543"/>
      <c r="AL36" s="156"/>
    </row>
    <row r="37" spans="2:40">
      <c r="B37" s="187"/>
      <c r="C37" s="60"/>
      <c r="D37" s="108" t="s">
        <v>192</v>
      </c>
      <c r="E37" s="109"/>
      <c r="F37" s="110">
        <f>SUM(F33:F35)+H26+H25+H24</f>
        <v>967387.49</v>
      </c>
      <c r="G37" s="110"/>
      <c r="H37" s="110">
        <f>SUM(H33:H35)+J26+J25+J24</f>
        <v>483179.14999999997</v>
      </c>
      <c r="I37" s="110"/>
      <c r="J37" s="110">
        <f>SUM(J33:J35)+L26+L25+L24</f>
        <v>1326193.3719999995</v>
      </c>
      <c r="K37" s="109"/>
      <c r="L37" s="110">
        <f>SUM(L33:L35)+N26+N25+N24</f>
        <v>1053576.8989999995</v>
      </c>
      <c r="M37" s="109"/>
      <c r="N37" s="110">
        <f>SUM(N33:N35)+P26+P25+P24</f>
        <v>918316.22899999947</v>
      </c>
      <c r="O37" s="109"/>
      <c r="P37" s="110">
        <f>SUM(P33:P35)+R26+R25+R24</f>
        <v>758402.7789999994</v>
      </c>
      <c r="Q37" s="109"/>
      <c r="R37" s="110">
        <f>SUM(R33:R35)+T26+T25+T24</f>
        <v>997724.43059999973</v>
      </c>
      <c r="S37" s="109"/>
      <c r="T37" s="110">
        <f>SUM(T33:T35)+V26+V25+V24</f>
        <v>708776.37059999944</v>
      </c>
      <c r="U37" s="109"/>
      <c r="V37" s="110">
        <f>SUM(V33:V35)+X26+X25+X24</f>
        <v>479363.17059999943</v>
      </c>
      <c r="W37" s="109"/>
      <c r="X37" s="110">
        <f>SUM(X33:X35)+Z26+Z25+Z24</f>
        <v>309040.74059999955</v>
      </c>
      <c r="Y37" s="109"/>
      <c r="Z37" s="110">
        <f>SUM(Z33:Z35)+AB26+AB25+AB24</f>
        <v>124705.34059999956</v>
      </c>
      <c r="AA37" s="110"/>
      <c r="AB37" s="110">
        <f>SUM(AB33:AB35)</f>
        <v>124705.34059999959</v>
      </c>
      <c r="AC37" s="109"/>
      <c r="AD37" s="110"/>
      <c r="AE37" s="109"/>
      <c r="AF37" s="60"/>
      <c r="AG37" s="153"/>
      <c r="AH37" s="154"/>
      <c r="AI37" s="154"/>
      <c r="AJ37" s="154"/>
      <c r="AK37" s="154"/>
      <c r="AL37" s="154"/>
      <c r="AN37" s="113"/>
    </row>
    <row r="38" spans="2:40" ht="15">
      <c r="B38" s="187"/>
      <c r="C38" s="60"/>
      <c r="D38" s="151"/>
      <c r="E38" s="60"/>
      <c r="F38" s="152"/>
      <c r="G38" s="152"/>
      <c r="H38" s="152"/>
      <c r="I38" s="152"/>
      <c r="J38" s="152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250"/>
      <c r="AC38" s="60"/>
      <c r="AD38" s="60"/>
      <c r="AE38" s="60"/>
      <c r="AF38" s="60"/>
      <c r="AG38" s="156"/>
      <c r="AH38" s="162">
        <v>0</v>
      </c>
      <c r="AI38" s="260" t="s">
        <v>544</v>
      </c>
      <c r="AJ38" s="153"/>
      <c r="AK38" s="153"/>
      <c r="AL38" s="154"/>
    </row>
    <row r="39" spans="2:40" s="127" customFormat="1" ht="15">
      <c r="B39" s="187"/>
      <c r="C39" s="186"/>
      <c r="D39" s="60"/>
      <c r="E39" s="45"/>
      <c r="F39"/>
      <c r="G39"/>
      <c r="H39" s="88"/>
      <c r="I39"/>
      <c r="J39" s="88"/>
      <c r="K39"/>
      <c r="L39" s="88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 s="253"/>
      <c r="AC39" s="45"/>
      <c r="AD39" s="45"/>
      <c r="AE39" s="45"/>
      <c r="AF39" s="184"/>
      <c r="AG39" s="154"/>
      <c r="AH39" s="161">
        <f>AH20+AH38</f>
        <v>124705.34060000163</v>
      </c>
      <c r="AI39" s="261" t="s">
        <v>745</v>
      </c>
      <c r="AJ39" s="153"/>
      <c r="AK39" s="153"/>
      <c r="AL39" s="154"/>
    </row>
    <row r="40" spans="2:40" s="107" customFormat="1" ht="15.75" thickBot="1">
      <c r="B40" s="187"/>
      <c r="C40" s="142"/>
      <c r="D40" s="186"/>
      <c r="E40" s="127"/>
      <c r="F40"/>
      <c r="G40"/>
      <c r="H40"/>
      <c r="I40"/>
      <c r="J40"/>
      <c r="K40"/>
      <c r="L40" s="88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 s="127"/>
      <c r="AD40" s="127"/>
      <c r="AE40" s="127"/>
      <c r="AF40" s="145"/>
      <c r="AG40" s="154"/>
      <c r="AH40" s="161"/>
      <c r="AI40" s="153"/>
      <c r="AJ40" s="153"/>
      <c r="AK40" s="153"/>
      <c r="AL40" s="153"/>
    </row>
    <row r="41" spans="2:40" s="107" customFormat="1" ht="16.5" thickTop="1" thickBot="1">
      <c r="B41" s="187"/>
      <c r="C41" s="142"/>
      <c r="D41" s="160" t="s">
        <v>201</v>
      </c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145"/>
      <c r="AG41" s="154"/>
      <c r="AH41" s="161"/>
      <c r="AI41" s="153"/>
      <c r="AJ41" s="153"/>
      <c r="AK41" s="153"/>
      <c r="AL41" s="153"/>
    </row>
    <row r="42" spans="2:40" s="107" customFormat="1" ht="15.75" thickTop="1">
      <c r="B42" s="139"/>
      <c r="C42"/>
      <c r="D42" s="194" t="s">
        <v>203</v>
      </c>
      <c r="E42" s="123"/>
      <c r="F42" s="122">
        <v>20000</v>
      </c>
      <c r="G42" s="124"/>
      <c r="H42" s="122">
        <f>20000</f>
        <v>20000</v>
      </c>
      <c r="I42" s="122"/>
      <c r="J42" s="122">
        <v>20000</v>
      </c>
      <c r="K42" s="122"/>
      <c r="L42" s="122">
        <v>20000</v>
      </c>
      <c r="M42" s="122"/>
      <c r="N42" s="122">
        <v>20000</v>
      </c>
      <c r="O42" s="122"/>
      <c r="P42" s="122">
        <v>20000</v>
      </c>
      <c r="Q42" s="122"/>
      <c r="R42" s="122">
        <v>20000</v>
      </c>
      <c r="S42" s="122"/>
      <c r="T42" s="122">
        <v>20000</v>
      </c>
      <c r="U42" s="122"/>
      <c r="V42" s="122">
        <v>20000</v>
      </c>
      <c r="W42" s="122"/>
      <c r="X42" s="122">
        <v>20000</v>
      </c>
      <c r="Y42" s="122"/>
      <c r="Z42" s="122">
        <v>20000</v>
      </c>
      <c r="AA42" s="122"/>
      <c r="AB42" s="122">
        <v>20000</v>
      </c>
      <c r="AC42" s="125"/>
      <c r="AD42" s="122">
        <v>840000</v>
      </c>
      <c r="AE42" s="126"/>
      <c r="AF42" s="142"/>
      <c r="AG42" s="153"/>
      <c r="AH42" s="162">
        <v>0</v>
      </c>
      <c r="AI42" s="260" t="s">
        <v>746</v>
      </c>
      <c r="AJ42" s="153"/>
      <c r="AK42" s="153"/>
      <c r="AL42" s="153"/>
    </row>
    <row r="43" spans="2:40" ht="15">
      <c r="B43" s="139"/>
      <c r="C43"/>
      <c r="D43" s="114" t="s">
        <v>200</v>
      </c>
      <c r="E43" s="111"/>
      <c r="F43" s="119">
        <f>-1*(SUMPRODUCT((Aramburu_Mensal!$C$6:$C$1100="janeiro")*(Aramburu_Mensal!$F$6:$F$1100="Despesas Variáveis")*((Aramburu_Mensal!$N$6:$N$1100="A pagar")+(Aramburu_Mensal!$N$6:$N$1100="Pago"))*(Aramburu_Mensal!$O$6:$O$1100)))</f>
        <v>8697.01</v>
      </c>
      <c r="G43" s="118"/>
      <c r="H43" s="119">
        <f>-1*(SUMPRODUCT((Aramburu_Mensal!$C$6:$C$1100="fevereiro")*(Aramburu_Mensal!$F$6:$F$1100="Despesas Variáveis")*((Aramburu_Mensal!$N$6:$N$1100="A pagar")+(Aramburu_Mensal!$N$6:$N$1100="Pago"))*(Aramburu_Mensal!$O$6:$O$1100)))</f>
        <v>11916.920000000002</v>
      </c>
      <c r="I43" s="119"/>
      <c r="J43" s="119">
        <f>-1*(SUMPRODUCT((Aramburu_Mensal!$C$6:$C$1100="março")*(Aramburu_Mensal!$F$6:$F$1100="Despesas Variáveis")*((Aramburu_Mensal!$N$6:$N$1100="A pagar")+(Aramburu_Mensal!$N$6:$N$1100="Pago"))*(Aramburu_Mensal!$O$6:$O$1100)))</f>
        <v>25511.190000000002</v>
      </c>
      <c r="K43" s="120"/>
      <c r="L43" s="119">
        <f>-1*(SUMPRODUCT((Aramburu_Mensal!$C$6:$C$1100="abril")*(Aramburu_Mensal!$F$6:$F$1100="Despesas Variáveis")*((Aramburu_Mensal!$N$6:$N$1100="A pagar")+(Aramburu_Mensal!$N$6:$N$1100="Pago"))*(Aramburu_Mensal!$O$6:$O$1100)))</f>
        <v>30614.410000000003</v>
      </c>
      <c r="M43" s="120"/>
      <c r="N43" s="119">
        <f>-1*(SUMPRODUCT((Aramburu_Mensal!$C$6:$C$1100="maio")*(Aramburu_Mensal!$F$6:$F$1100="Despesas Variáveis")*((Aramburu_Mensal!$N$6:$N$1100="A pagar")+(Aramburu_Mensal!$N$6:$N$1100="Pago"))*(Aramburu_Mensal!$O$6:$O$1100)))</f>
        <v>1980.35</v>
      </c>
      <c r="O43" s="120"/>
      <c r="P43" s="119">
        <f>-1*(SUMPRODUCT((Aramburu_Mensal!$C$6:$C$1100="junho")*(Aramburu_Mensal!$F$6:$F$1100="Despesas Variáveis")*((Aramburu_Mensal!$N$6:$N$1100="A pagar")+(Aramburu_Mensal!$N$6:$N$1100="Pago"))*(Aramburu_Mensal!$O$6:$O$1100)))</f>
        <v>0</v>
      </c>
      <c r="Q43" s="120"/>
      <c r="R43" s="119">
        <f>-1*(SUMPRODUCT((Aramburu_Mensal!$C$6:$C$1100="julho")*(Aramburu_Mensal!$F$6:$F$1100="Despesas Variáveis")*((Aramburu_Mensal!$N$6:$N$1100="A pagar")+(Aramburu_Mensal!$N$6:$N$1100="Pago"))*(Aramburu_Mensal!$O$6:$O$1100)))</f>
        <v>0</v>
      </c>
      <c r="S43" s="120"/>
      <c r="T43" s="119">
        <f>-1*(SUMPRODUCT((Aramburu_Mensal!$C$6:$C$1100="agosto")*(Aramburu_Mensal!$F$6:$F$1100="Despesas Variáveis")*((Aramburu_Mensal!$N$6:$N$1100="A pagar")+(Aramburu_Mensal!$N$6:$N$1100="Pago"))*(Aramburu_Mensal!$O$6:$O$1100)))</f>
        <v>0</v>
      </c>
      <c r="U43" s="120"/>
      <c r="V43" s="119">
        <f>-1*(SUMPRODUCT((Aramburu_Mensal!$C$6:$C$1100="setembro")*(Aramburu_Mensal!$F$6:$F$1100="Despesas Variáveis")*((Aramburu_Mensal!$N$6:$N$1100="A pagar")+(Aramburu_Mensal!$N$6:$N$1100="Pago"))*(Aramburu_Mensal!$O$6:$O$1100)))</f>
        <v>0</v>
      </c>
      <c r="W43" s="120"/>
      <c r="X43" s="119">
        <f>-1*(SUMPRODUCT((Aramburu_Mensal!$C$6:$C$1100="outubro")*(Aramburu_Mensal!$F$6:$F$1100="Despesas Variáveis")*((Aramburu_Mensal!$N$6:$N$1100="A pagar")+(Aramburu_Mensal!$N$6:$N$1100="Pago"))*(Aramburu_Mensal!$O$6:$O$1100)))</f>
        <v>0</v>
      </c>
      <c r="Y43" s="120"/>
      <c r="Z43" s="119">
        <f>-1*(SUMPRODUCT((Aramburu_Mensal!$C$6:$C$1100="novembro")*(Aramburu_Mensal!$F$6:$F$1100="Despesas Variáveis")*((Aramburu_Mensal!$N$6:$N$1100="A pagar")+(Aramburu_Mensal!$N$6:$N$1100="Pago"))*(Aramburu_Mensal!$O$6:$O$1100)))</f>
        <v>0</v>
      </c>
      <c r="AA43" s="120"/>
      <c r="AB43" s="119">
        <f>-1*(SUMPRODUCT((Aramburu_Mensal!$C$6:$C$1100="dezembro")*(Aramburu_Mensal!$F$6:$F$1100="Despesas Variáveis")*((Aramburu_Mensal!$N$6:$N$1100="A pagar")+(Aramburu_Mensal!$N$6:$N$1100="Pago"))*(Aramburu_Mensal!$O$6:$O$1100)))</f>
        <v>0</v>
      </c>
      <c r="AC43" s="120"/>
      <c r="AD43" s="119">
        <f>SUM(F43:AB43)</f>
        <v>78719.88</v>
      </c>
      <c r="AE43" s="121"/>
      <c r="AF43" s="182"/>
      <c r="AG43" s="153"/>
      <c r="AH43" s="162">
        <v>0</v>
      </c>
      <c r="AI43" s="259" t="s">
        <v>747</v>
      </c>
      <c r="AJ43" s="153"/>
      <c r="AK43" s="153"/>
      <c r="AL43" s="153"/>
    </row>
    <row r="44" spans="2:40" ht="15">
      <c r="B44" s="139"/>
      <c r="C44"/>
      <c r="D44" s="114" t="s">
        <v>204</v>
      </c>
      <c r="E44" s="111"/>
      <c r="F44" s="119">
        <f>-1*(SUMPRODUCT((Aramburu_Mensal!$C$6:$C$1100="janeiro")*(Aramburu_Mensal!$F$6:$F$1100="Despesas Variáveis")*(Aramburu_Mensal!$N$6:$N$1100="Provisionado")*(Aramburu_Mensal!$O$6:$O$1100)))</f>
        <v>0</v>
      </c>
      <c r="G44" s="118"/>
      <c r="H44" s="119">
        <f>-1*(SUMPRODUCT((Aramburu_Mensal!$C$6:$C$1100="fevereiro")*(Aramburu_Mensal!$F$6:$F$1100="Despesas Variáveis")*(Aramburu_Mensal!$N$6:$N$1100="Provisionado")*(Aramburu_Mensal!$O$6:$O$1100)))</f>
        <v>0</v>
      </c>
      <c r="I44" s="119"/>
      <c r="J44" s="119">
        <f>-1*(SUMPRODUCT((Aramburu_Mensal!$C$6:$C$1100="março")*(Aramburu_Mensal!$F$6:$F$1100="Despesas Variáveis")*(Aramburu_Mensal!$N$6:$N$1100="Provisionado")*(Aramburu_Mensal!$O$6:$O$1100)))</f>
        <v>0</v>
      </c>
      <c r="K44" s="120"/>
      <c r="L44" s="119">
        <f>-1*(SUMPRODUCT((Aramburu_Mensal!$C$6:$C$1100="abril")*(Aramburu_Mensal!$F$6:$F$1100="Despesas Variáveis")*(Aramburu_Mensal!$N$6:$N$1100="Provisionado")*(Aramburu_Mensal!$O$6:$O$1100)))</f>
        <v>0</v>
      </c>
      <c r="M44" s="120"/>
      <c r="N44" s="119">
        <f>-1*(SUMPRODUCT((Aramburu_Mensal!$C$6:$C$1100="maio")*(Aramburu_Mensal!$F$6:$F$1100="Despesas Variáveis")*(Aramburu_Mensal!$N$6:$N$1100="Provisionado")*(Aramburu_Mensal!$O$6:$O$1100)))</f>
        <v>14351.150000000001</v>
      </c>
      <c r="O44" s="120"/>
      <c r="P44" s="119">
        <f>-1*(SUMPRODUCT((Aramburu_Mensal!$C$6:$C$1100="junho")*(Aramburu_Mensal!$F$6:$F$1100="Despesas Variáveis")*(Aramburu_Mensal!$N$6:$N$1100="Provisionado")*(Aramburu_Mensal!$O$6:$O$1100)))</f>
        <v>3071.1499999999996</v>
      </c>
      <c r="Q44" s="120"/>
      <c r="R44" s="119">
        <f>-1*(SUMPRODUCT((Aramburu_Mensal!$C$6:$C$1100="julho")*(Aramburu_Mensal!$F$6:$F$1100="Despesas Variáveis")*(Aramburu_Mensal!$N$6:$N$1100="Provisionado")*(Aramburu_Mensal!$O$6:$O$1100)))</f>
        <v>3685.35</v>
      </c>
      <c r="S44" s="120"/>
      <c r="T44" s="119">
        <f>-1*(SUMPRODUCT((Aramburu_Mensal!$C$6:$C$1100="agosto")*(Aramburu_Mensal!$F$6:$F$1100="Despesas Variáveis")*(Aramburu_Mensal!$N$6:$N$1100="Provisionado")*(Aramburu_Mensal!$O$6:$O$1100)))</f>
        <v>3839.15</v>
      </c>
      <c r="U44" s="120"/>
      <c r="V44" s="119">
        <f>-1*(SUMPRODUCT((Aramburu_Mensal!$C$6:$C$1100="agosto")*(Aramburu_Mensal!$F$6:$F$1100="Despesas Variáveis")*(Aramburu_Mensal!$N$6:$N$1100="Provisionado")*(Aramburu_Mensal!$O$6:$O$1100)))</f>
        <v>3839.15</v>
      </c>
      <c r="W44" s="120"/>
      <c r="X44" s="119">
        <f>-1*(SUMPRODUCT((Aramburu_Mensal!$C$6:$C$1100="outubro")*(Aramburu_Mensal!$F$6:$F$1100="Despesas Variáveis")*(Aramburu_Mensal!$N$6:$N$1100="Provisionado")*(Aramburu_Mensal!$O$6:$O$1100)))</f>
        <v>13561.15</v>
      </c>
      <c r="Y44" s="120"/>
      <c r="Z44" s="119">
        <f>-1*(SUMPRODUCT((Aramburu_Mensal!$C$6:$C$1100="novembro")*(Aramburu_Mensal!$F$6:$F$1100="Despesas Variáveis")*(Aramburu_Mensal!$N$6:$N$1100="Provisionado")*(Aramburu_Mensal!$O$6:$O$1100)))</f>
        <v>3561.15</v>
      </c>
      <c r="AA44" s="120"/>
      <c r="AB44" s="119">
        <f>-1*(SUMPRODUCT((Aramburu_Mensal!$C$6:$C$1100="dezembro")*(Aramburu_Mensal!$F$6:$F$1100="Despesas Variáveis")*(Aramburu_Mensal!$N$6:$N$1100="Provisionado")*(Aramburu_Mensal!$O$6:$O$1100)))</f>
        <v>7561.15</v>
      </c>
      <c r="AC44" s="120"/>
      <c r="AD44" s="119"/>
      <c r="AE44" s="121"/>
      <c r="AF44" s="182"/>
      <c r="AG44" s="153"/>
      <c r="AH44" s="161">
        <f>SUM(AH42:AH43)</f>
        <v>0</v>
      </c>
      <c r="AI44" s="261" t="s">
        <v>748</v>
      </c>
      <c r="AJ44" s="153"/>
      <c r="AK44" s="153"/>
      <c r="AL44" s="153"/>
    </row>
    <row r="45" spans="2:40" ht="13.5" thickBot="1">
      <c r="B45" s="139"/>
      <c r="C45"/>
      <c r="D45" s="115" t="s">
        <v>202</v>
      </c>
      <c r="E45" s="116"/>
      <c r="F45" s="117">
        <f>F42-F43</f>
        <v>11302.99</v>
      </c>
      <c r="G45" s="117"/>
      <c r="H45" s="117">
        <f>H42-H43-H44</f>
        <v>8083.0799999999981</v>
      </c>
      <c r="I45" s="117"/>
      <c r="J45" s="117">
        <f>J42-J43-J44</f>
        <v>-5511.1900000000023</v>
      </c>
      <c r="K45" s="117"/>
      <c r="L45" s="117">
        <f>L42-L43-L44</f>
        <v>-10614.410000000003</v>
      </c>
      <c r="M45" s="117"/>
      <c r="N45" s="117">
        <f>N42-N43-N44</f>
        <v>3668.5</v>
      </c>
      <c r="O45" s="117"/>
      <c r="P45" s="117">
        <f>P42-P43-P44</f>
        <v>16928.849999999999</v>
      </c>
      <c r="Q45" s="117"/>
      <c r="R45" s="117">
        <f>R42-R43-R44</f>
        <v>16314.65</v>
      </c>
      <c r="S45" s="117"/>
      <c r="T45" s="117">
        <f>T42-T43-T44</f>
        <v>16160.85</v>
      </c>
      <c r="U45" s="117"/>
      <c r="V45" s="117">
        <f>V42-V43-V44</f>
        <v>16160.85</v>
      </c>
      <c r="W45" s="117"/>
      <c r="X45" s="117">
        <f>X42-X43-X44</f>
        <v>6438.85</v>
      </c>
      <c r="Y45" s="117"/>
      <c r="Z45" s="117">
        <f>Z42-Z43-Z44</f>
        <v>16438.849999999999</v>
      </c>
      <c r="AA45" s="117"/>
      <c r="AB45" s="117">
        <f>AB42-AB43-AB44</f>
        <v>12438.85</v>
      </c>
      <c r="AC45" s="116"/>
      <c r="AD45" s="117">
        <f>AD42-AD43</f>
        <v>761280.12</v>
      </c>
      <c r="AE45" s="128"/>
      <c r="AF45" s="182"/>
      <c r="AG45" s="153"/>
      <c r="AH45" s="356"/>
      <c r="AI45" s="153"/>
      <c r="AJ45" s="153"/>
      <c r="AK45" s="153"/>
      <c r="AL45" s="153"/>
    </row>
    <row r="46" spans="2:40" ht="13.5" thickTop="1">
      <c r="B46" s="139"/>
      <c r="C46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53"/>
      <c r="AH46" s="153"/>
      <c r="AI46" s="154"/>
      <c r="AJ46" s="153"/>
      <c r="AK46" s="153"/>
      <c r="AL46" s="153"/>
    </row>
    <row r="47" spans="2:40" ht="16.5" customHeight="1">
      <c r="B47" s="139"/>
      <c r="C47" s="252"/>
      <c r="D47" s="182"/>
      <c r="E47" s="182"/>
      <c r="F47" s="182"/>
      <c r="G47" s="182"/>
      <c r="H47" s="182"/>
      <c r="I47" s="182"/>
      <c r="J47" s="182"/>
      <c r="K47" s="182"/>
      <c r="L47" s="183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F47" s="182"/>
      <c r="AG47" s="153"/>
      <c r="AH47" s="159"/>
      <c r="AI47" s="154"/>
      <c r="AJ47" s="153"/>
      <c r="AK47" s="153"/>
      <c r="AL47" s="153"/>
    </row>
    <row r="48" spans="2:40" ht="14.25" customHeight="1">
      <c r="B48" s="153"/>
      <c r="C48" s="251"/>
      <c r="D48" s="182"/>
      <c r="E48" s="182"/>
      <c r="F48" s="182"/>
      <c r="G48" s="182"/>
      <c r="H48" s="182"/>
      <c r="I48" s="182"/>
      <c r="J48" s="182"/>
      <c r="K48" s="182"/>
      <c r="L48" s="183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251"/>
      <c r="AG48" s="153"/>
      <c r="AH48" s="159"/>
      <c r="AI48" s="153"/>
      <c r="AJ48" s="153"/>
      <c r="AK48" s="153"/>
      <c r="AL48" s="153"/>
    </row>
    <row r="49" spans="2:38" ht="14.25" customHeight="1"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9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  <c r="AJ49" s="153"/>
      <c r="AK49" s="153"/>
      <c r="AL49" s="153"/>
    </row>
    <row r="50" spans="2:38">
      <c r="AH50" s="164"/>
    </row>
    <row r="51" spans="2:38">
      <c r="AH51" s="164"/>
    </row>
    <row r="52" spans="2:38">
      <c r="F52" s="113"/>
      <c r="AH52" s="164"/>
    </row>
    <row r="53" spans="2:38">
      <c r="AH53" s="113"/>
    </row>
    <row r="54" spans="2:38">
      <c r="AH54" s="113"/>
    </row>
    <row r="55" spans="2:38">
      <c r="D55"/>
      <c r="H55" s="163"/>
    </row>
    <row r="56" spans="2:38">
      <c r="H56" s="163"/>
    </row>
    <row r="57" spans="2:38">
      <c r="H57" s="113"/>
    </row>
  </sheetData>
  <mergeCells count="12">
    <mergeCell ref="AH36:AK36"/>
    <mergeCell ref="R10:R11"/>
    <mergeCell ref="C8:D8"/>
    <mergeCell ref="J10:J11"/>
    <mergeCell ref="E9:G9"/>
    <mergeCell ref="E10:F11"/>
    <mergeCell ref="N10:N11"/>
    <mergeCell ref="V10:V11"/>
    <mergeCell ref="Z10:Z11"/>
    <mergeCell ref="AD10:AD11"/>
    <mergeCell ref="AH25:AK25"/>
    <mergeCell ref="AH15:AK15"/>
  </mergeCells>
  <conditionalFormatting sqref="F35">
    <cfRule type="cellIs" dxfId="121" priority="4" operator="greaterThan">
      <formula>0</formula>
    </cfRule>
  </conditionalFormatting>
  <conditionalFormatting sqref="F33:AB35">
    <cfRule type="cellIs" dxfId="120" priority="1" operator="equal">
      <formula>0</formula>
    </cfRule>
    <cfRule type="cellIs" dxfId="119" priority="5" operator="greaterThan">
      <formula>0</formula>
    </cfRule>
    <cfRule type="cellIs" dxfId="118" priority="9" operator="lessThan">
      <formula>0</formula>
    </cfRule>
  </conditionalFormatting>
  <conditionalFormatting sqref="F37:AE37">
    <cfRule type="cellIs" dxfId="117" priority="29" operator="greaterThan">
      <formula>0</formula>
    </cfRule>
    <cfRule type="cellIs" dxfId="116" priority="30" operator="lessThan">
      <formula>0</formula>
    </cfRule>
  </conditionalFormatting>
  <conditionalFormatting sqref="F45:AE45">
    <cfRule type="cellIs" dxfId="115" priority="27" operator="greaterThan">
      <formula>0</formula>
    </cfRule>
    <cfRule type="cellIs" dxfId="114" priority="28" operator="lessThan">
      <formula>0</formula>
    </cfRule>
  </conditionalFormatting>
  <conditionalFormatting sqref="L35:AB35">
    <cfRule type="cellIs" dxfId="113" priority="2" operator="greaterThan">
      <formula>0</formula>
    </cfRule>
  </conditionalFormatting>
  <conditionalFormatting sqref="AH20 AH39:AH41">
    <cfRule type="cellIs" dxfId="112" priority="12" operator="lessThan">
      <formula>0</formula>
    </cfRule>
    <cfRule type="cellIs" dxfId="111" priority="13" operator="greaterThanOrEqual">
      <formula>0</formula>
    </cfRule>
  </conditionalFormatting>
  <conditionalFormatting sqref="AH28">
    <cfRule type="cellIs" dxfId="110" priority="25" operator="lessThanOrEqual">
      <formula>0</formula>
    </cfRule>
    <cfRule type="cellIs" dxfId="109" priority="26" operator="greaterThanOrEqual">
      <formula>0</formula>
    </cfRule>
  </conditionalFormatting>
  <conditionalFormatting sqref="AH30">
    <cfRule type="cellIs" dxfId="108" priority="21" operator="lessThanOrEqual">
      <formula>0</formula>
    </cfRule>
    <cfRule type="cellIs" dxfId="107" priority="22" operator="greaterThanOrEqual">
      <formula>0</formula>
    </cfRule>
  </conditionalFormatting>
  <conditionalFormatting sqref="AH44">
    <cfRule type="cellIs" dxfId="106" priority="6" operator="lessThan">
      <formula>0</formula>
    </cfRule>
    <cfRule type="cellIs" dxfId="105" priority="7" operator="greaterThanOrEqual">
      <formula>0</formula>
    </cfRule>
  </conditionalFormatting>
  <pageMargins left="0.05" right="0" top="1.57" bottom="0.78740157499999996" header="0.31496062000000002" footer="0.31496062000000002"/>
  <pageSetup paperSize="9" scale="34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69BA-00FD-4DCE-B802-572C4888A65A}">
  <sheetPr codeName="Planilha8">
    <tabColor rgb="FF006600"/>
    <pageSetUpPr fitToPage="1"/>
  </sheetPr>
  <dimension ref="B2:BK308"/>
  <sheetViews>
    <sheetView showGridLines="0" zoomScale="115" zoomScaleNormal="115" workbookViewId="0">
      <pane xSplit="1" ySplit="18" topLeftCell="B37" activePane="bottomRight" state="frozen"/>
      <selection activeCell="H33" sqref="H33"/>
      <selection pane="topRight" activeCell="H33" sqref="H33"/>
      <selection pane="bottomLeft" activeCell="H33" sqref="H33"/>
      <selection pane="bottomRight" activeCell="C19" sqref="C19"/>
    </sheetView>
  </sheetViews>
  <sheetFormatPr defaultRowHeight="12.75" customHeight="1"/>
  <cols>
    <col min="1" max="1" width="2.7109375" style="28" customWidth="1"/>
    <col min="2" max="2" width="49.28515625" style="28" bestFit="1" customWidth="1"/>
    <col min="3" max="3" width="19.140625" style="28" bestFit="1" customWidth="1"/>
    <col min="4" max="4" width="14" style="28" bestFit="1" customWidth="1"/>
    <col min="5" max="6" width="12.85546875" style="28" bestFit="1" customWidth="1"/>
    <col min="7" max="10" width="11.85546875" style="28" bestFit="1" customWidth="1"/>
    <col min="11" max="11" width="9.7109375" style="28" bestFit="1" customWidth="1"/>
    <col min="12" max="12" width="14" style="28" bestFit="1" customWidth="1"/>
    <col min="13" max="13" width="12.85546875" style="28" bestFit="1" customWidth="1"/>
    <col min="14" max="14" width="9.7109375" style="28" bestFit="1" customWidth="1"/>
    <col min="15" max="15" width="14.28515625" style="28" bestFit="1" customWidth="1"/>
    <col min="16" max="16" width="0.7109375" style="28" customWidth="1"/>
    <col min="17" max="20" width="11.85546875" style="28" hidden="1" customWidth="1"/>
    <col min="21" max="22" width="11.85546875" style="28" bestFit="1" customWidth="1"/>
    <col min="23" max="23" width="12.85546875" style="28" bestFit="1" customWidth="1"/>
    <col min="24" max="24" width="14.28515625" style="28" bestFit="1" customWidth="1"/>
    <col min="25" max="25" width="17.7109375" style="28" bestFit="1" customWidth="1"/>
    <col min="26" max="27" width="14" style="28" bestFit="1" customWidth="1"/>
    <col min="28" max="28" width="14.28515625" style="28" bestFit="1" customWidth="1"/>
    <col min="29" max="29" width="17.7109375" style="28" bestFit="1" customWidth="1"/>
    <col min="30" max="30" width="14" style="28" bestFit="1" customWidth="1"/>
    <col min="31" max="31" width="11.85546875" style="28" bestFit="1" customWidth="1"/>
    <col min="32" max="32" width="14.28515625" style="28" bestFit="1" customWidth="1"/>
    <col min="33" max="33" width="17.7109375" style="28" bestFit="1" customWidth="1"/>
    <col min="34" max="34" width="12.85546875" style="28" bestFit="1" customWidth="1"/>
    <col min="35" max="35" width="14" style="28" bestFit="1" customWidth="1"/>
    <col min="36" max="36" width="14.28515625" style="28" bestFit="1" customWidth="1"/>
    <col min="37" max="37" width="17.7109375" style="28" bestFit="1" customWidth="1"/>
    <col min="38" max="38" width="14.28515625" style="28" bestFit="1" customWidth="1"/>
    <col min="39" max="39" width="14" style="28" bestFit="1" customWidth="1"/>
    <col min="40" max="40" width="14.28515625" style="28" bestFit="1" customWidth="1"/>
    <col min="41" max="41" width="17.7109375" style="28" bestFit="1" customWidth="1"/>
    <col min="42" max="42" width="14" style="28" bestFit="1" customWidth="1"/>
    <col min="43" max="43" width="11.85546875" style="28" bestFit="1" customWidth="1"/>
    <col min="44" max="44" width="14.28515625" style="28" bestFit="1" customWidth="1"/>
    <col min="45" max="45" width="17.7109375" style="28" bestFit="1" customWidth="1"/>
    <col min="46" max="46" width="14.5703125" style="28" bestFit="1" customWidth="1"/>
    <col min="47" max="47" width="11.85546875" style="28" bestFit="1" customWidth="1"/>
    <col min="48" max="48" width="14.28515625" style="28" bestFit="1" customWidth="1"/>
    <col min="49" max="49" width="17.7109375" style="28" bestFit="1" customWidth="1"/>
    <col min="50" max="50" width="14.5703125" style="28" bestFit="1" customWidth="1"/>
    <col min="51" max="51" width="15.5703125" style="28" bestFit="1" customWidth="1"/>
    <col min="52" max="52" width="14" style="28" bestFit="1" customWidth="1"/>
    <col min="53" max="53" width="23.140625" style="28" bestFit="1" customWidth="1"/>
    <col min="54" max="54" width="23.85546875" style="28" bestFit="1" customWidth="1"/>
    <col min="55" max="55" width="20.7109375" style="28" bestFit="1" customWidth="1"/>
    <col min="56" max="56" width="27" style="28" bestFit="1" customWidth="1"/>
    <col min="57" max="57" width="14.5703125" style="28" bestFit="1" customWidth="1"/>
    <col min="58" max="58" width="23.140625" style="28" bestFit="1" customWidth="1"/>
    <col min="59" max="59" width="23.85546875" style="28" bestFit="1" customWidth="1"/>
    <col min="60" max="60" width="20.7109375" style="28" bestFit="1" customWidth="1"/>
    <col min="61" max="61" width="27" style="28" bestFit="1" customWidth="1"/>
    <col min="62" max="62" width="14.5703125" style="28" bestFit="1" customWidth="1"/>
    <col min="63" max="63" width="15.5703125" style="28" bestFit="1" customWidth="1"/>
    <col min="64" max="16384" width="9.140625" style="28"/>
  </cols>
  <sheetData>
    <row r="2" spans="2:15" ht="12.75" customHeight="1">
      <c r="K2" s="255"/>
      <c r="L2" s="255"/>
      <c r="M2" s="255"/>
      <c r="N2" s="255"/>
      <c r="O2" s="255"/>
    </row>
    <row r="3" spans="2:15" ht="12.75" customHeight="1">
      <c r="K3" s="255"/>
      <c r="L3" s="255"/>
      <c r="M3" s="255"/>
      <c r="N3" s="255"/>
      <c r="O3" s="255"/>
    </row>
    <row r="4" spans="2:15" ht="12.75" customHeight="1">
      <c r="K4" s="255"/>
      <c r="L4" s="255"/>
      <c r="M4" s="255"/>
      <c r="N4" s="255"/>
      <c r="O4" s="255"/>
    </row>
    <row r="5" spans="2:15" ht="12.75" customHeight="1">
      <c r="K5" s="255"/>
      <c r="L5" s="255"/>
      <c r="M5" s="255"/>
      <c r="N5" s="255"/>
      <c r="O5" s="255"/>
    </row>
    <row r="6" spans="2:15" ht="12.75" customHeight="1">
      <c r="K6" s="255"/>
      <c r="L6" s="255"/>
      <c r="M6" s="255"/>
      <c r="N6" s="255"/>
      <c r="O6" s="255"/>
    </row>
    <row r="10" spans="2:15" ht="13.5">
      <c r="B10" s="29" t="s">
        <v>297</v>
      </c>
      <c r="C10" s="28" t="s">
        <v>1445</v>
      </c>
      <c r="L10" s="368"/>
    </row>
    <row r="11" spans="2:15" ht="13.5">
      <c r="B11" s="29" t="s">
        <v>11</v>
      </c>
      <c r="C11" s="28" t="s">
        <v>156</v>
      </c>
      <c r="L11" s="273"/>
    </row>
    <row r="12" spans="2:15" ht="13.5">
      <c r="B12" s="29" t="s">
        <v>128</v>
      </c>
      <c r="C12" s="28" t="s">
        <v>156</v>
      </c>
    </row>
    <row r="13" spans="2:15" ht="13.5">
      <c r="B13" s="29" t="s">
        <v>130</v>
      </c>
      <c r="C13" s="28" t="s">
        <v>156</v>
      </c>
    </row>
    <row r="14" spans="2:15" ht="13.5">
      <c r="B14" s="29" t="s">
        <v>598</v>
      </c>
      <c r="C14" s="28" t="s">
        <v>156</v>
      </c>
    </row>
    <row r="15" spans="2:15" ht="13.5">
      <c r="B15" s="29" t="s">
        <v>188</v>
      </c>
      <c r="C15" s="28" t="s">
        <v>156</v>
      </c>
    </row>
    <row r="17" spans="2:63" ht="13.5">
      <c r="B17" s="31" t="s">
        <v>25</v>
      </c>
      <c r="C17" s="31" t="s">
        <v>3</v>
      </c>
      <c r="D17" s="32"/>
      <c r="E17" s="32"/>
      <c r="F17" s="32"/>
      <c r="G17" s="32"/>
      <c r="H17" s="32"/>
      <c r="I17" s="32"/>
      <c r="J17" s="32"/>
      <c r="K17" s="32"/>
      <c r="L17" s="32"/>
      <c r="M17"/>
      <c r="N17"/>
      <c r="O17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2"/>
      <c r="BK17" s="92"/>
    </row>
    <row r="18" spans="2:63" ht="13.5">
      <c r="B18" s="29" t="s">
        <v>4</v>
      </c>
      <c r="C18" s="89" t="s">
        <v>902</v>
      </c>
      <c r="D18" s="89" t="s">
        <v>1325</v>
      </c>
      <c r="E18" s="89" t="s">
        <v>1326</v>
      </c>
      <c r="F18" s="89" t="s">
        <v>1327</v>
      </c>
      <c r="G18" s="89" t="s">
        <v>1328</v>
      </c>
      <c r="H18" s="89" t="s">
        <v>1329</v>
      </c>
      <c r="I18" s="89" t="s">
        <v>1330</v>
      </c>
      <c r="J18" s="89" t="s">
        <v>1331</v>
      </c>
      <c r="K18" s="89" t="s">
        <v>1380</v>
      </c>
      <c r="L18" s="89" t="s">
        <v>5</v>
      </c>
      <c r="M18"/>
      <c r="N18"/>
      <c r="O18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</row>
    <row r="19" spans="2:63" ht="13.5">
      <c r="B19" s="271" t="s">
        <v>468</v>
      </c>
      <c r="C19" s="272">
        <v>86068.75</v>
      </c>
      <c r="D19" s="272">
        <v>129266.78999999991</v>
      </c>
      <c r="E19" s="272">
        <v>20446.87</v>
      </c>
      <c r="F19" s="272">
        <v>15098.94</v>
      </c>
      <c r="G19" s="272">
        <v>6060.12</v>
      </c>
      <c r="H19" s="272">
        <v>6060.12</v>
      </c>
      <c r="I19" s="272">
        <v>5913.37</v>
      </c>
      <c r="J19" s="272">
        <v>2288.37</v>
      </c>
      <c r="K19" s="272">
        <v>0</v>
      </c>
      <c r="L19" s="272">
        <v>271203.3299999999</v>
      </c>
      <c r="M19"/>
      <c r="N19"/>
      <c r="O19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2"/>
      <c r="BF19" s="92"/>
      <c r="BG19" s="92"/>
      <c r="BH19" s="92"/>
      <c r="BI19" s="92"/>
      <c r="BJ19" s="92"/>
      <c r="BK19" s="92"/>
    </row>
    <row r="20" spans="2:63" ht="13.5">
      <c r="B20" s="34" t="s">
        <v>480</v>
      </c>
      <c r="C20" s="35">
        <v>86068.75</v>
      </c>
      <c r="D20" s="35">
        <v>129266.78999999991</v>
      </c>
      <c r="E20" s="35">
        <v>20446.87</v>
      </c>
      <c r="F20" s="35">
        <v>15098.94</v>
      </c>
      <c r="G20" s="35">
        <v>6060.12</v>
      </c>
      <c r="H20" s="35">
        <v>6060.12</v>
      </c>
      <c r="I20" s="35">
        <v>5913.37</v>
      </c>
      <c r="J20" s="35">
        <v>2288.37</v>
      </c>
      <c r="K20" s="35">
        <v>0</v>
      </c>
      <c r="L20" s="35">
        <v>271203.3299999999</v>
      </c>
      <c r="M20"/>
      <c r="N20"/>
      <c r="O20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</row>
    <row r="21" spans="2:63" ht="13.5">
      <c r="B21" s="271" t="s">
        <v>497</v>
      </c>
      <c r="C21" s="272">
        <v>-86056.250000000015</v>
      </c>
      <c r="D21" s="272">
        <v>-129266.78999999992</v>
      </c>
      <c r="E21" s="272">
        <v>-20446.86</v>
      </c>
      <c r="F21" s="272">
        <v>-15098.939999999999</v>
      </c>
      <c r="G21" s="272">
        <v>-6060.12</v>
      </c>
      <c r="H21" s="272">
        <v>-6060.12</v>
      </c>
      <c r="I21" s="272">
        <v>-5913.37</v>
      </c>
      <c r="J21" s="272">
        <v>-2288.37</v>
      </c>
      <c r="K21" s="272"/>
      <c r="L21" s="272">
        <v>-271190.81999999995</v>
      </c>
      <c r="M21"/>
      <c r="N21"/>
      <c r="O21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2"/>
      <c r="BF21" s="92"/>
      <c r="BG21" s="92"/>
      <c r="BH21" s="92"/>
      <c r="BI21" s="92"/>
      <c r="BJ21" s="92"/>
      <c r="BK21" s="92"/>
    </row>
    <row r="22" spans="2:63" ht="13.5">
      <c r="B22" s="34" t="s">
        <v>890</v>
      </c>
      <c r="C22" s="35"/>
      <c r="D22" s="35">
        <v>-2000</v>
      </c>
      <c r="E22" s="35"/>
      <c r="F22" s="35"/>
      <c r="G22" s="35"/>
      <c r="H22" s="35"/>
      <c r="I22" s="35"/>
      <c r="J22" s="35"/>
      <c r="K22" s="35"/>
      <c r="L22" s="35">
        <v>-2000</v>
      </c>
      <c r="M22"/>
      <c r="N22"/>
      <c r="O2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2"/>
      <c r="BF22" s="92"/>
      <c r="BG22" s="92"/>
      <c r="BH22" s="92"/>
      <c r="BI22" s="92"/>
      <c r="BJ22" s="92"/>
      <c r="BK22" s="92"/>
    </row>
    <row r="23" spans="2:63" s="92" customFormat="1" ht="13.5">
      <c r="B23" s="34" t="s">
        <v>184</v>
      </c>
      <c r="C23" s="35">
        <v>-66.33</v>
      </c>
      <c r="D23" s="35">
        <v>-4194.99</v>
      </c>
      <c r="E23" s="35"/>
      <c r="F23" s="35"/>
      <c r="G23" s="35"/>
      <c r="H23" s="35"/>
      <c r="I23" s="35"/>
      <c r="J23" s="35"/>
      <c r="K23" s="35"/>
      <c r="L23" s="35">
        <v>-4261.32</v>
      </c>
      <c r="M23"/>
      <c r="N23"/>
      <c r="O23"/>
    </row>
    <row r="24" spans="2:63" ht="13.5">
      <c r="B24" s="34" t="s">
        <v>1281</v>
      </c>
      <c r="C24" s="35"/>
      <c r="D24" s="35">
        <v>-2695</v>
      </c>
      <c r="E24" s="35"/>
      <c r="F24" s="35"/>
      <c r="G24" s="35"/>
      <c r="H24" s="35"/>
      <c r="I24" s="35"/>
      <c r="J24" s="35"/>
      <c r="K24" s="35"/>
      <c r="L24" s="35">
        <v>-2695</v>
      </c>
      <c r="M24"/>
      <c r="N24"/>
      <c r="O24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/>
      <c r="BF24" s="92"/>
      <c r="BG24" s="92"/>
      <c r="BH24" s="92"/>
      <c r="BI24" s="92"/>
      <c r="BJ24" s="92"/>
      <c r="BK24" s="92"/>
    </row>
    <row r="25" spans="2:63" ht="13.5">
      <c r="B25" s="34" t="s">
        <v>702</v>
      </c>
      <c r="C25" s="35">
        <v>-3740</v>
      </c>
      <c r="D25" s="35">
        <v>-4450.8899999999994</v>
      </c>
      <c r="E25" s="35"/>
      <c r="F25" s="35"/>
      <c r="G25" s="35"/>
      <c r="H25" s="35"/>
      <c r="I25" s="35"/>
      <c r="J25" s="35"/>
      <c r="K25" s="35"/>
      <c r="L25" s="35">
        <v>-8190.8899999999994</v>
      </c>
      <c r="M25"/>
      <c r="N25"/>
      <c r="O25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</row>
    <row r="26" spans="2:63" ht="13.5">
      <c r="B26" s="34" t="s">
        <v>705</v>
      </c>
      <c r="C26" s="35"/>
      <c r="D26" s="35">
        <v>-1400</v>
      </c>
      <c r="E26" s="35"/>
      <c r="F26" s="35"/>
      <c r="G26" s="35"/>
      <c r="H26" s="35"/>
      <c r="I26" s="35"/>
      <c r="J26" s="35"/>
      <c r="K26" s="35"/>
      <c r="L26" s="35">
        <v>-1400</v>
      </c>
      <c r="M26"/>
      <c r="N26"/>
      <c r="O26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2"/>
      <c r="BF26" s="92"/>
      <c r="BG26" s="92"/>
      <c r="BH26" s="92"/>
      <c r="BI26" s="92"/>
      <c r="BJ26" s="92"/>
      <c r="BK26" s="92"/>
    </row>
    <row r="27" spans="2:63" ht="13.5">
      <c r="B27" s="34" t="s">
        <v>948</v>
      </c>
      <c r="C27" s="35">
        <v>-258</v>
      </c>
      <c r="D27" s="35">
        <v>-270</v>
      </c>
      <c r="E27" s="35"/>
      <c r="F27" s="35"/>
      <c r="G27" s="35"/>
      <c r="H27" s="35"/>
      <c r="I27" s="35"/>
      <c r="J27" s="35"/>
      <c r="K27" s="35"/>
      <c r="L27" s="35">
        <v>-528</v>
      </c>
      <c r="M27"/>
      <c r="N27"/>
      <c r="O27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2"/>
      <c r="BF27" s="92"/>
      <c r="BG27" s="92"/>
      <c r="BH27" s="92"/>
      <c r="BI27" s="92"/>
      <c r="BJ27" s="92"/>
      <c r="BK27" s="92"/>
    </row>
    <row r="28" spans="2:63" ht="13.5">
      <c r="B28" s="34" t="s">
        <v>1090</v>
      </c>
      <c r="C28" s="35">
        <v>-2725</v>
      </c>
      <c r="D28" s="35">
        <v>-6350</v>
      </c>
      <c r="E28" s="35">
        <v>-6350</v>
      </c>
      <c r="F28" s="35">
        <v>-3625</v>
      </c>
      <c r="G28" s="35">
        <v>-3625</v>
      </c>
      <c r="H28" s="35">
        <v>-3625</v>
      </c>
      <c r="I28" s="35">
        <v>-3625</v>
      </c>
      <c r="J28" s="35"/>
      <c r="K28" s="35"/>
      <c r="L28" s="35">
        <v>-29925</v>
      </c>
      <c r="M28"/>
      <c r="N28"/>
      <c r="O28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2"/>
      <c r="BK28" s="92"/>
    </row>
    <row r="29" spans="2:63" ht="13.5">
      <c r="B29" s="34" t="s">
        <v>1303</v>
      </c>
      <c r="C29" s="35">
        <v>-3242</v>
      </c>
      <c r="D29" s="35"/>
      <c r="E29" s="35"/>
      <c r="F29" s="35"/>
      <c r="G29" s="35"/>
      <c r="H29" s="35"/>
      <c r="I29" s="35"/>
      <c r="J29" s="35"/>
      <c r="K29" s="35"/>
      <c r="L29" s="35">
        <v>-3242</v>
      </c>
      <c r="M29"/>
      <c r="N29"/>
      <c r="O29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92"/>
    </row>
    <row r="30" spans="2:63" ht="13.5">
      <c r="B30" s="34" t="s">
        <v>1420</v>
      </c>
      <c r="C30" s="35"/>
      <c r="D30" s="35">
        <v>-905</v>
      </c>
      <c r="E30" s="35">
        <v>-600.99</v>
      </c>
      <c r="F30" s="35">
        <v>-600.99</v>
      </c>
      <c r="G30" s="35"/>
      <c r="H30" s="35"/>
      <c r="I30" s="35"/>
      <c r="J30" s="35"/>
      <c r="K30" s="35"/>
      <c r="L30" s="35">
        <v>-2106.98</v>
      </c>
      <c r="M30"/>
      <c r="N30"/>
      <c r="O30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92"/>
    </row>
    <row r="31" spans="2:63" ht="13.5">
      <c r="B31" s="34" t="s">
        <v>1392</v>
      </c>
      <c r="C31" s="35">
        <v>-12000</v>
      </c>
      <c r="D31" s="35">
        <v>-33000</v>
      </c>
      <c r="E31" s="35"/>
      <c r="F31" s="35"/>
      <c r="G31" s="35"/>
      <c r="H31" s="35"/>
      <c r="I31" s="35"/>
      <c r="J31" s="35"/>
      <c r="K31" s="35"/>
      <c r="L31" s="35">
        <v>-45000</v>
      </c>
      <c r="M31" s="35">
        <v>23797.51</v>
      </c>
      <c r="N31"/>
      <c r="O31"/>
      <c r="P31" s="146"/>
      <c r="R31" s="146"/>
      <c r="T31" s="146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</row>
    <row r="32" spans="2:63" ht="13.5">
      <c r="B32" s="34" t="s">
        <v>1295</v>
      </c>
      <c r="C32" s="35">
        <v>-481.5</v>
      </c>
      <c r="D32" s="35">
        <v>-481.5</v>
      </c>
      <c r="E32" s="35"/>
      <c r="F32" s="35"/>
      <c r="G32" s="35"/>
      <c r="H32" s="35"/>
      <c r="I32" s="35"/>
      <c r="J32" s="35"/>
      <c r="K32" s="35"/>
      <c r="L32" s="35">
        <v>-963</v>
      </c>
      <c r="M32"/>
      <c r="N32"/>
      <c r="O3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</row>
    <row r="33" spans="2:63" ht="13.5">
      <c r="B33" s="34" t="s">
        <v>1305</v>
      </c>
      <c r="C33" s="35">
        <v>-2288.41</v>
      </c>
      <c r="D33" s="35">
        <v>-2288.37</v>
      </c>
      <c r="E33" s="35">
        <v>-2288.37</v>
      </c>
      <c r="F33" s="35">
        <v>-2288.37</v>
      </c>
      <c r="G33" s="35">
        <v>-2288.37</v>
      </c>
      <c r="H33" s="35">
        <v>-2288.37</v>
      </c>
      <c r="I33" s="35">
        <v>-2288.37</v>
      </c>
      <c r="J33" s="35">
        <v>-2288.37</v>
      </c>
      <c r="K33" s="35"/>
      <c r="L33" s="35">
        <v>-18306.999999999996</v>
      </c>
      <c r="M33"/>
      <c r="N33"/>
      <c r="O33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92"/>
    </row>
    <row r="34" spans="2:63" ht="13.5">
      <c r="B34" s="34" t="s">
        <v>674</v>
      </c>
      <c r="C34" s="35">
        <v>-4900</v>
      </c>
      <c r="D34" s="35">
        <v>-29500</v>
      </c>
      <c r="E34" s="35"/>
      <c r="F34" s="35"/>
      <c r="G34" s="35"/>
      <c r="H34" s="35"/>
      <c r="I34" s="35"/>
      <c r="J34" s="35"/>
      <c r="K34" s="35"/>
      <c r="L34" s="35">
        <v>-34400</v>
      </c>
      <c r="M34"/>
      <c r="N34"/>
      <c r="O34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</row>
    <row r="35" spans="2:63" ht="13.5">
      <c r="B35" s="34" t="s">
        <v>853</v>
      </c>
      <c r="C35" s="35">
        <v>-1545.65</v>
      </c>
      <c r="D35" s="35">
        <v>-1209.46</v>
      </c>
      <c r="E35" s="35"/>
      <c r="F35" s="35"/>
      <c r="G35" s="35"/>
      <c r="H35" s="35"/>
      <c r="I35" s="35"/>
      <c r="J35" s="35"/>
      <c r="K35" s="35"/>
      <c r="L35" s="35">
        <v>-2755.11</v>
      </c>
      <c r="M35"/>
      <c r="N35"/>
      <c r="O35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</row>
    <row r="36" spans="2:63" ht="13.5">
      <c r="B36" s="34" t="s">
        <v>628</v>
      </c>
      <c r="C36" s="35"/>
      <c r="D36" s="35">
        <v>-3495.1600000000003</v>
      </c>
      <c r="E36" s="35">
        <v>-3187.33</v>
      </c>
      <c r="F36" s="35">
        <v>-3187.33</v>
      </c>
      <c r="G36" s="35"/>
      <c r="H36" s="35"/>
      <c r="I36" s="35"/>
      <c r="J36" s="35"/>
      <c r="K36" s="35"/>
      <c r="L36" s="35">
        <v>-9869.82</v>
      </c>
      <c r="M36"/>
      <c r="N36"/>
      <c r="O36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</row>
    <row r="37" spans="2:63" ht="13.5">
      <c r="B37" s="34" t="s">
        <v>290</v>
      </c>
      <c r="C37" s="35"/>
      <c r="D37" s="35">
        <v>-8622.4299999999002</v>
      </c>
      <c r="E37" s="35"/>
      <c r="F37" s="35"/>
      <c r="G37" s="35"/>
      <c r="H37" s="35"/>
      <c r="I37" s="35"/>
      <c r="J37" s="35"/>
      <c r="K37" s="35"/>
      <c r="L37" s="35">
        <v>-8622.4299999999002</v>
      </c>
      <c r="M37"/>
      <c r="N37"/>
      <c r="O37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92"/>
      <c r="BH37" s="92"/>
      <c r="BI37" s="92"/>
      <c r="BJ37" s="92"/>
      <c r="BK37" s="92"/>
    </row>
    <row r="38" spans="2:63" ht="13.5">
      <c r="B38" s="34" t="s">
        <v>1417</v>
      </c>
      <c r="C38" s="35"/>
      <c r="D38" s="35">
        <v>-1050.5</v>
      </c>
      <c r="E38" s="35">
        <v>-1050.5</v>
      </c>
      <c r="F38" s="35">
        <v>-1050.5</v>
      </c>
      <c r="G38" s="35"/>
      <c r="H38" s="35"/>
      <c r="I38" s="35"/>
      <c r="J38" s="35"/>
      <c r="K38" s="35"/>
      <c r="L38" s="35">
        <v>-3151.5</v>
      </c>
      <c r="M38"/>
      <c r="N38"/>
      <c r="O38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2"/>
    </row>
    <row r="39" spans="2:63" ht="13.5">
      <c r="B39" s="34" t="s">
        <v>1029</v>
      </c>
      <c r="C39" s="35">
        <v>-2511.41</v>
      </c>
      <c r="D39" s="35">
        <v>-2511.41</v>
      </c>
      <c r="E39" s="35">
        <v>-2511.41</v>
      </c>
      <c r="F39" s="35"/>
      <c r="G39" s="35"/>
      <c r="H39" s="35"/>
      <c r="I39" s="35"/>
      <c r="J39" s="35"/>
      <c r="K39" s="35"/>
      <c r="L39" s="35">
        <v>-7534.23</v>
      </c>
      <c r="M39"/>
      <c r="N39"/>
      <c r="O39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92"/>
      <c r="BD39" s="92"/>
      <c r="BE39" s="92"/>
      <c r="BF39" s="92"/>
      <c r="BG39" s="92"/>
      <c r="BH39" s="92"/>
      <c r="BI39" s="92"/>
      <c r="BJ39" s="92"/>
      <c r="BK39" s="92"/>
    </row>
    <row r="40" spans="2:63" ht="13.5">
      <c r="B40" s="34" t="s">
        <v>1250</v>
      </c>
      <c r="C40" s="35">
        <v>-24822.199999999997</v>
      </c>
      <c r="D40" s="35"/>
      <c r="E40" s="35"/>
      <c r="F40" s="35"/>
      <c r="G40" s="35"/>
      <c r="H40" s="35"/>
      <c r="I40" s="35"/>
      <c r="J40" s="35"/>
      <c r="K40" s="35"/>
      <c r="L40" s="35">
        <v>-24822.199999999997</v>
      </c>
      <c r="M40"/>
      <c r="N40"/>
      <c r="O40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2"/>
      <c r="BK40" s="92"/>
    </row>
    <row r="41" spans="2:63" ht="13.5">
      <c r="B41" s="34" t="s">
        <v>1307</v>
      </c>
      <c r="C41" s="35">
        <v>-1059.22</v>
      </c>
      <c r="D41" s="35">
        <v>-1059.22</v>
      </c>
      <c r="E41" s="35">
        <v>-1059.21</v>
      </c>
      <c r="F41" s="35"/>
      <c r="G41" s="35"/>
      <c r="H41" s="35"/>
      <c r="I41" s="35"/>
      <c r="J41" s="35"/>
      <c r="K41" s="35"/>
      <c r="L41" s="35">
        <v>-3177.65</v>
      </c>
      <c r="M41"/>
      <c r="N41"/>
      <c r="O41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</row>
    <row r="42" spans="2:63" ht="13.5">
      <c r="B42" s="34" t="s">
        <v>1187</v>
      </c>
      <c r="C42" s="35">
        <v>-47.6</v>
      </c>
      <c r="D42" s="35"/>
      <c r="E42" s="35"/>
      <c r="F42" s="35"/>
      <c r="G42" s="35"/>
      <c r="H42" s="35"/>
      <c r="I42" s="35"/>
      <c r="J42" s="35"/>
      <c r="K42" s="35"/>
      <c r="L42" s="35">
        <v>-47.6</v>
      </c>
      <c r="M42"/>
      <c r="N42"/>
      <c r="O4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92"/>
    </row>
    <row r="43" spans="2:63" ht="13.5">
      <c r="B43" s="34" t="s">
        <v>998</v>
      </c>
      <c r="C43" s="35">
        <v>-1301.3699999999999</v>
      </c>
      <c r="D43" s="35">
        <v>-1301.3699999999999</v>
      </c>
      <c r="E43" s="35"/>
      <c r="F43" s="35"/>
      <c r="G43" s="35"/>
      <c r="H43" s="35"/>
      <c r="I43" s="35"/>
      <c r="J43" s="35"/>
      <c r="K43" s="35"/>
      <c r="L43" s="35">
        <v>-2602.7399999999998</v>
      </c>
      <c r="M43"/>
      <c r="N43"/>
      <c r="O43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</row>
    <row r="44" spans="2:63" ht="13.5">
      <c r="B44" s="34" t="s">
        <v>163</v>
      </c>
      <c r="C44" s="35">
        <v>-1900.1</v>
      </c>
      <c r="D44" s="35">
        <v>-7364.4400000000005</v>
      </c>
      <c r="E44" s="35">
        <v>-2400</v>
      </c>
      <c r="F44" s="35">
        <v>-4200</v>
      </c>
      <c r="G44" s="35"/>
      <c r="H44" s="35"/>
      <c r="I44" s="35"/>
      <c r="J44" s="35"/>
      <c r="K44" s="35"/>
      <c r="L44" s="35">
        <v>-15864.54</v>
      </c>
      <c r="M44"/>
      <c r="N44"/>
      <c r="O44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</row>
    <row r="45" spans="2:63" ht="13.5">
      <c r="B45" s="34" t="s">
        <v>753</v>
      </c>
      <c r="C45" s="35">
        <v>-1918</v>
      </c>
      <c r="D45" s="35">
        <v>-1918</v>
      </c>
      <c r="E45" s="35"/>
      <c r="F45" s="35"/>
      <c r="G45" s="35"/>
      <c r="H45" s="35"/>
      <c r="I45" s="35"/>
      <c r="J45" s="35"/>
      <c r="K45" s="35"/>
      <c r="L45" s="35">
        <v>-3836</v>
      </c>
      <c r="M45"/>
      <c r="N45"/>
      <c r="O45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  <c r="BK45" s="92"/>
    </row>
    <row r="46" spans="2:63" ht="13.5">
      <c r="B46" s="34" t="s">
        <v>1003</v>
      </c>
      <c r="C46" s="35">
        <v>-78</v>
      </c>
      <c r="D46" s="35"/>
      <c r="E46" s="35"/>
      <c r="F46" s="35"/>
      <c r="G46" s="35"/>
      <c r="H46" s="35"/>
      <c r="I46" s="35"/>
      <c r="J46" s="35"/>
      <c r="K46" s="35"/>
      <c r="L46" s="35">
        <v>-78</v>
      </c>
      <c r="M46"/>
      <c r="N46"/>
      <c r="O46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2"/>
      <c r="BK46" s="92"/>
    </row>
    <row r="47" spans="2:63" ht="13.5">
      <c r="B47" s="34" t="s">
        <v>962</v>
      </c>
      <c r="C47" s="35">
        <v>-1040.79</v>
      </c>
      <c r="D47" s="35"/>
      <c r="E47" s="35"/>
      <c r="F47" s="35"/>
      <c r="G47" s="35"/>
      <c r="H47" s="35"/>
      <c r="I47" s="35"/>
      <c r="J47" s="35"/>
      <c r="K47" s="35"/>
      <c r="L47" s="35">
        <v>-1040.79</v>
      </c>
      <c r="M47"/>
      <c r="N47"/>
      <c r="O47"/>
      <c r="P47" s="190">
        <f>SUMPRODUCT((Aramburu_Mensal!$C$6:$C$1098="novembro")*((Aramburu_Mensal!$N$6:$N$1098="provisionado")+(Aramburu_Mensal!$N$6:$N$1098="a pagar")+(Aramburu_Mensal!$N$6:$N$1098="Pago")+(Aramburu_Mensal!$N$6:$N$1098="Provisionado DV"))*(Aramburu_Mensal!$O$6:$O$1098))-P50</f>
        <v>-50609.299999999996</v>
      </c>
      <c r="Q47" s="190"/>
      <c r="R47" s="190">
        <f>SUMPRODUCT((Aramburu_Mensal!$C$6:$C$1098="dezembro")*((Aramburu_Mensal!$N$6:$N$1098="provisionado")+(Aramburu_Mensal!$N$6:$N$1098="a pagar")+(Aramburu_Mensal!$N$6:$N$1098="Pago")+(Aramburu_Mensal!$N$6:$N$1098="Provisionado DV"))*(Aramburu_Mensal!$O$6:$O$1098))-R50</f>
        <v>-49648.47</v>
      </c>
      <c r="S47" s="190">
        <f>SUMPRODUCT((Aramburu_Mensal!$C$6:$C$1098="setembro")*((Aramburu_Mensal!$N$6:$N$1098="provisionado")+(Aramburu_Mensal!$N$6:$N$1098="a pagar")+(Aramburu_Mensal!$N$6:$N$1098="Pago")+(Aramburu_Mensal!$N$6:$N$1098="Provisionado DV"))*(Aramburu_Mensal!$O$6:$O$1098))-S50</f>
        <v>-173937.05</v>
      </c>
      <c r="T47" s="190"/>
      <c r="V47" s="190"/>
      <c r="X47" s="190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  <c r="BJ47" s="92"/>
      <c r="BK47" s="92"/>
    </row>
    <row r="48" spans="2:63" ht="13.5">
      <c r="B48" s="34" t="s">
        <v>520</v>
      </c>
      <c r="C48" s="35">
        <v>-5194.1000000000004</v>
      </c>
      <c r="D48" s="35"/>
      <c r="E48" s="35"/>
      <c r="F48" s="35"/>
      <c r="G48" s="35"/>
      <c r="H48" s="35"/>
      <c r="I48" s="35"/>
      <c r="J48" s="35"/>
      <c r="K48" s="35"/>
      <c r="L48" s="35">
        <v>-5194.1000000000004</v>
      </c>
      <c r="M48"/>
      <c r="N48"/>
      <c r="O48"/>
    </row>
    <row r="49" spans="2:63" ht="13.5">
      <c r="B49" s="34" t="s">
        <v>1263</v>
      </c>
      <c r="C49" s="35">
        <v>-146.77000000000001</v>
      </c>
      <c r="D49" s="35">
        <v>-146.75</v>
      </c>
      <c r="E49" s="35">
        <v>-146.75</v>
      </c>
      <c r="F49" s="35">
        <v>-146.75</v>
      </c>
      <c r="G49" s="35">
        <v>-146.75</v>
      </c>
      <c r="H49" s="35">
        <v>-146.75</v>
      </c>
      <c r="I49" s="35"/>
      <c r="J49" s="35"/>
      <c r="K49" s="35"/>
      <c r="L49" s="35">
        <v>-880.52</v>
      </c>
      <c r="M49"/>
      <c r="N49"/>
      <c r="O49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2"/>
      <c r="BK49" s="92"/>
    </row>
    <row r="50" spans="2:63" ht="13.5">
      <c r="B50" s="34" t="s">
        <v>970</v>
      </c>
      <c r="C50" s="35">
        <v>-1737.5</v>
      </c>
      <c r="D50" s="35"/>
      <c r="E50" s="35"/>
      <c r="F50" s="35"/>
      <c r="G50" s="35"/>
      <c r="H50" s="35"/>
      <c r="I50" s="35"/>
      <c r="J50" s="35"/>
      <c r="K50" s="35"/>
      <c r="L50" s="35">
        <v>-1737.5</v>
      </c>
      <c r="M50"/>
      <c r="N50"/>
      <c r="O50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</row>
    <row r="51" spans="2:63" ht="13.5">
      <c r="B51" s="34" t="s">
        <v>1259</v>
      </c>
      <c r="C51" s="35">
        <v>-12200</v>
      </c>
      <c r="D51" s="35">
        <v>-12200</v>
      </c>
      <c r="E51" s="35"/>
      <c r="F51" s="35"/>
      <c r="G51" s="35"/>
      <c r="H51" s="35"/>
      <c r="I51" s="35"/>
      <c r="J51" s="35"/>
      <c r="K51" s="35"/>
      <c r="L51" s="35">
        <v>-24400</v>
      </c>
      <c r="M51"/>
      <c r="N51"/>
      <c r="O51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2"/>
      <c r="BK51" s="92"/>
    </row>
    <row r="52" spans="2:63" ht="13.5">
      <c r="B52" s="34" t="s">
        <v>1314</v>
      </c>
      <c r="C52" s="35">
        <v>-852.3</v>
      </c>
      <c r="D52" s="35">
        <v>-852.3</v>
      </c>
      <c r="E52" s="35">
        <v>-852.3</v>
      </c>
      <c r="F52" s="35"/>
      <c r="G52" s="35"/>
      <c r="H52" s="35"/>
      <c r="I52" s="35"/>
      <c r="J52" s="35"/>
      <c r="K52" s="35"/>
      <c r="L52" s="35">
        <v>-2556.8999999999996</v>
      </c>
      <c r="M52"/>
      <c r="N52"/>
      <c r="O5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</row>
    <row r="53" spans="2:63" ht="13.5">
      <c r="B53" s="90" t="s">
        <v>5</v>
      </c>
      <c r="C53" s="91">
        <v>12.500000000001137</v>
      </c>
      <c r="D53" s="91">
        <v>4.7748471843078732E-12</v>
      </c>
      <c r="E53" s="91">
        <v>9.999999998626663E-3</v>
      </c>
      <c r="F53" s="91">
        <v>1.8189894035458565E-12</v>
      </c>
      <c r="G53" s="91">
        <v>0</v>
      </c>
      <c r="H53" s="91">
        <v>0</v>
      </c>
      <c r="I53" s="91">
        <v>0</v>
      </c>
      <c r="J53" s="91">
        <v>0</v>
      </c>
      <c r="K53" s="91">
        <v>0</v>
      </c>
      <c r="L53" s="91">
        <v>12.50999999997839</v>
      </c>
      <c r="M53"/>
      <c r="N53"/>
      <c r="O53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</row>
    <row r="54" spans="2:63" ht="13.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/>
      <c r="BK54" s="92"/>
    </row>
    <row r="55" spans="2:63" ht="13.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2"/>
    </row>
    <row r="56" spans="2:63" ht="13.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</row>
    <row r="57" spans="2:63" ht="13.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92"/>
      <c r="BJ57" s="92"/>
      <c r="BK57" s="92"/>
    </row>
    <row r="58" spans="2:63" ht="13.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/>
      <c r="BK58" s="92"/>
    </row>
    <row r="59" spans="2:63" ht="13.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2"/>
      <c r="BD59" s="92"/>
      <c r="BE59" s="92"/>
      <c r="BF59" s="92"/>
      <c r="BG59" s="92"/>
      <c r="BH59" s="92"/>
      <c r="BI59" s="92"/>
      <c r="BJ59" s="92"/>
      <c r="BK59" s="92"/>
    </row>
    <row r="60" spans="2:63" ht="13.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2"/>
      <c r="BD60" s="92"/>
      <c r="BE60" s="92"/>
      <c r="BF60" s="92"/>
      <c r="BG60" s="92"/>
      <c r="BH60" s="92"/>
      <c r="BI60" s="92"/>
      <c r="BJ60" s="92"/>
      <c r="BK60" s="92"/>
    </row>
    <row r="61" spans="2:63" ht="13.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2"/>
      <c r="BD61" s="92"/>
      <c r="BE61" s="92"/>
      <c r="BF61" s="92"/>
      <c r="BG61" s="92"/>
      <c r="BH61" s="92"/>
      <c r="BI61" s="92"/>
      <c r="BJ61" s="92"/>
      <c r="BK61" s="92"/>
    </row>
    <row r="62" spans="2:63" ht="13.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2"/>
      <c r="BK62" s="92"/>
    </row>
    <row r="63" spans="2:63" ht="13.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</row>
    <row r="64" spans="2:63" ht="13.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2"/>
      <c r="BK64" s="92"/>
    </row>
    <row r="65" spans="2:63" ht="13.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2"/>
      <c r="BD65" s="92"/>
      <c r="BE65" s="92"/>
      <c r="BF65" s="92"/>
      <c r="BG65" s="92"/>
      <c r="BH65" s="92"/>
      <c r="BI65" s="92"/>
      <c r="BJ65" s="92"/>
      <c r="BK65" s="92"/>
    </row>
    <row r="66" spans="2:63" ht="13.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2"/>
      <c r="BD66" s="92"/>
      <c r="BE66" s="92"/>
      <c r="BF66" s="92"/>
      <c r="BG66" s="92"/>
      <c r="BH66" s="92"/>
      <c r="BI66" s="92"/>
      <c r="BJ66" s="92"/>
      <c r="BK66" s="92"/>
    </row>
    <row r="67" spans="2:63" ht="13.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2"/>
      <c r="BD67" s="92"/>
      <c r="BE67" s="92"/>
      <c r="BF67" s="92"/>
      <c r="BG67" s="92"/>
      <c r="BH67" s="92"/>
      <c r="BI67" s="92"/>
      <c r="BJ67" s="92"/>
      <c r="BK67" s="92"/>
    </row>
    <row r="68" spans="2:63" ht="13.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2"/>
      <c r="BK68" s="92"/>
    </row>
    <row r="69" spans="2:63" ht="13.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2"/>
      <c r="BD69" s="92"/>
      <c r="BE69" s="92"/>
      <c r="BF69" s="92"/>
      <c r="BG69" s="92"/>
      <c r="BH69" s="92"/>
      <c r="BI69" s="92"/>
      <c r="BJ69" s="92"/>
      <c r="BK69" s="92"/>
    </row>
    <row r="70" spans="2:63" ht="13.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2"/>
      <c r="BD70" s="92"/>
      <c r="BE70" s="92"/>
      <c r="BF70" s="92"/>
      <c r="BG70" s="92"/>
      <c r="BH70" s="92"/>
      <c r="BI70" s="92"/>
      <c r="BJ70" s="92"/>
      <c r="BK70" s="92"/>
    </row>
    <row r="71" spans="2:63" ht="13.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92"/>
      <c r="BE71" s="92"/>
      <c r="BF71" s="92"/>
      <c r="BG71" s="92"/>
      <c r="BH71" s="92"/>
      <c r="BI71" s="92"/>
      <c r="BJ71" s="92"/>
      <c r="BK71" s="92"/>
    </row>
    <row r="72" spans="2:63" ht="13.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</row>
    <row r="73" spans="2:63" ht="13.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</row>
    <row r="74" spans="2:63" ht="13.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92"/>
      <c r="BK74" s="92"/>
    </row>
    <row r="75" spans="2:63" ht="13.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</row>
    <row r="76" spans="2:63" ht="13.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</row>
    <row r="77" spans="2:63" ht="13.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</row>
    <row r="78" spans="2:63" ht="13.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92"/>
      <c r="BE78" s="92"/>
      <c r="BF78" s="92"/>
      <c r="BG78" s="92"/>
      <c r="BH78" s="92"/>
      <c r="BI78" s="92"/>
      <c r="BJ78" s="92"/>
      <c r="BK78" s="92"/>
    </row>
    <row r="79" spans="2:63" ht="13.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92"/>
      <c r="BE79" s="92"/>
      <c r="BF79" s="92"/>
      <c r="BG79" s="92"/>
      <c r="BH79" s="92"/>
      <c r="BI79" s="92"/>
      <c r="BJ79" s="92"/>
      <c r="BK79" s="92"/>
    </row>
    <row r="80" spans="2:63" ht="13.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2"/>
      <c r="BD80" s="92"/>
      <c r="BE80" s="92"/>
      <c r="BF80" s="92"/>
      <c r="BG80" s="92"/>
      <c r="BH80" s="92"/>
      <c r="BI80" s="92"/>
      <c r="BJ80" s="92"/>
      <c r="BK80" s="92"/>
    </row>
    <row r="81" spans="2:63" ht="13.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2"/>
      <c r="BD81" s="92"/>
      <c r="BE81" s="92"/>
      <c r="BF81" s="92"/>
      <c r="BG81" s="92"/>
      <c r="BH81" s="92"/>
      <c r="BI81" s="92"/>
      <c r="BJ81" s="92"/>
      <c r="BK81" s="92"/>
    </row>
    <row r="82" spans="2:63" ht="13.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92"/>
      <c r="BH82" s="92"/>
      <c r="BI82" s="92"/>
      <c r="BJ82" s="92"/>
      <c r="BK82" s="92"/>
    </row>
    <row r="83" spans="2:63" ht="13.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2"/>
      <c r="BD83" s="92"/>
      <c r="BE83" s="92"/>
      <c r="BF83" s="92"/>
      <c r="BG83" s="92"/>
      <c r="BH83" s="92"/>
      <c r="BI83" s="92"/>
      <c r="BJ83" s="92"/>
      <c r="BK83" s="92"/>
    </row>
    <row r="84" spans="2:63" ht="13.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2"/>
      <c r="BD84" s="92"/>
      <c r="BE84" s="92"/>
      <c r="BF84" s="92"/>
      <c r="BG84" s="92"/>
      <c r="BH84" s="92"/>
      <c r="BI84" s="92"/>
      <c r="BJ84" s="92"/>
      <c r="BK84" s="92"/>
    </row>
    <row r="85" spans="2:63" ht="13.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2"/>
      <c r="BD85" s="92"/>
      <c r="BE85" s="92"/>
      <c r="BF85" s="92"/>
      <c r="BG85" s="92"/>
      <c r="BH85" s="92"/>
      <c r="BI85" s="92"/>
      <c r="BJ85" s="92"/>
      <c r="BK85" s="92"/>
    </row>
    <row r="86" spans="2:63" ht="13.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2"/>
      <c r="BD86" s="92"/>
      <c r="BE86" s="92"/>
      <c r="BF86" s="92"/>
      <c r="BG86" s="92"/>
      <c r="BH86" s="92"/>
      <c r="BI86" s="92"/>
      <c r="BJ86" s="92"/>
      <c r="BK86" s="92"/>
    </row>
    <row r="87" spans="2:63" ht="13.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2"/>
      <c r="BD87" s="92"/>
      <c r="BE87" s="92"/>
      <c r="BF87" s="92"/>
      <c r="BG87" s="92"/>
      <c r="BH87" s="92"/>
      <c r="BI87" s="92"/>
      <c r="BJ87" s="92"/>
      <c r="BK87" s="92"/>
    </row>
    <row r="88" spans="2:63" ht="13.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2"/>
      <c r="BD88" s="92"/>
      <c r="BE88" s="92"/>
      <c r="BF88" s="92"/>
      <c r="BG88" s="92"/>
      <c r="BH88" s="92"/>
      <c r="BI88" s="92"/>
      <c r="BJ88" s="92"/>
      <c r="BK88" s="92"/>
    </row>
    <row r="89" spans="2:63" ht="13.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2"/>
      <c r="BD89" s="92"/>
      <c r="BE89" s="92"/>
      <c r="BF89" s="92"/>
      <c r="BG89" s="92"/>
      <c r="BH89" s="92"/>
      <c r="BI89" s="92"/>
      <c r="BJ89" s="92"/>
      <c r="BK89" s="92"/>
    </row>
    <row r="90" spans="2:63" ht="13.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2"/>
      <c r="BD90" s="92"/>
      <c r="BE90" s="92"/>
      <c r="BF90" s="92"/>
      <c r="BG90" s="92"/>
      <c r="BH90" s="92"/>
      <c r="BI90" s="92"/>
      <c r="BJ90" s="92"/>
      <c r="BK90" s="92"/>
    </row>
    <row r="91" spans="2:63" ht="13.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2"/>
      <c r="BD91" s="92"/>
      <c r="BE91" s="92"/>
      <c r="BF91" s="92"/>
      <c r="BG91" s="92"/>
      <c r="BH91" s="92"/>
      <c r="BI91" s="92"/>
      <c r="BJ91" s="92"/>
      <c r="BK91" s="92"/>
    </row>
    <row r="92" spans="2:63" ht="13.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2"/>
      <c r="BD92" s="92"/>
      <c r="BE92" s="92"/>
      <c r="BF92" s="92"/>
      <c r="BG92" s="92"/>
      <c r="BH92" s="92"/>
      <c r="BI92" s="92"/>
      <c r="BJ92" s="92"/>
      <c r="BK92" s="92"/>
    </row>
    <row r="93" spans="2:63" ht="13.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2"/>
      <c r="BD93" s="92"/>
      <c r="BE93" s="92"/>
      <c r="BF93" s="92"/>
      <c r="BG93" s="92"/>
      <c r="BH93" s="92"/>
      <c r="BI93" s="92"/>
      <c r="BJ93" s="92"/>
      <c r="BK93" s="92"/>
    </row>
    <row r="94" spans="2:63" ht="13.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2"/>
      <c r="BD94" s="92"/>
      <c r="BE94" s="92"/>
      <c r="BF94" s="92"/>
      <c r="BG94" s="92"/>
      <c r="BH94" s="92"/>
      <c r="BI94" s="92"/>
      <c r="BJ94" s="92"/>
      <c r="BK94" s="92"/>
    </row>
    <row r="95" spans="2:63" ht="13.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  <c r="BJ95" s="92"/>
      <c r="BK95" s="92"/>
    </row>
    <row r="96" spans="2:63" ht="13.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2"/>
      <c r="BD96" s="92"/>
      <c r="BE96" s="92"/>
      <c r="BF96" s="92"/>
      <c r="BG96" s="92"/>
      <c r="BH96" s="92"/>
      <c r="BI96" s="92"/>
      <c r="BJ96" s="92"/>
      <c r="BK96" s="92"/>
    </row>
    <row r="97" spans="2:63" ht="13.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2"/>
      <c r="BD97" s="92"/>
      <c r="BE97" s="92"/>
      <c r="BF97" s="92"/>
      <c r="BG97" s="92"/>
      <c r="BH97" s="92"/>
      <c r="BI97" s="92"/>
      <c r="BJ97" s="92"/>
      <c r="BK97" s="92"/>
    </row>
    <row r="98" spans="2:63" ht="13.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</row>
    <row r="99" spans="2:63" ht="13.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  <c r="BK99" s="92"/>
    </row>
    <row r="100" spans="2:63" ht="13.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2"/>
      <c r="BD100" s="92"/>
      <c r="BE100" s="92"/>
      <c r="BF100" s="92"/>
      <c r="BG100" s="92"/>
      <c r="BH100" s="92"/>
      <c r="BI100" s="92"/>
      <c r="BJ100" s="92"/>
      <c r="BK100" s="92"/>
    </row>
    <row r="101" spans="2:63" ht="13.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</row>
    <row r="102" spans="2:63" ht="13.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  <c r="AS102" s="92"/>
      <c r="AT102" s="92"/>
      <c r="AU102" s="92"/>
      <c r="AV102" s="92"/>
      <c r="AW102" s="92"/>
      <c r="AX102" s="92"/>
      <c r="AY102" s="92"/>
      <c r="AZ102" s="92"/>
      <c r="BA102" s="92"/>
      <c r="BB102" s="92"/>
      <c r="BC102" s="92"/>
      <c r="BD102" s="92"/>
      <c r="BE102" s="92"/>
      <c r="BF102" s="92"/>
      <c r="BG102" s="92"/>
      <c r="BH102" s="92"/>
      <c r="BI102" s="92"/>
      <c r="BJ102" s="92"/>
      <c r="BK102" s="92"/>
    </row>
    <row r="103" spans="2:63" ht="13.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92"/>
      <c r="AY103" s="92"/>
      <c r="AZ103" s="92"/>
      <c r="BA103" s="92"/>
      <c r="BB103" s="92"/>
      <c r="BC103" s="92"/>
      <c r="BD103" s="92"/>
      <c r="BE103" s="92"/>
      <c r="BF103" s="92"/>
      <c r="BG103" s="92"/>
      <c r="BH103" s="92"/>
      <c r="BI103" s="92"/>
      <c r="BJ103" s="92"/>
      <c r="BK103" s="92"/>
    </row>
    <row r="104" spans="2:63" ht="13.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92"/>
      <c r="AY104" s="92"/>
      <c r="AZ104" s="92"/>
      <c r="BA104" s="92"/>
      <c r="BB104" s="92"/>
      <c r="BC104" s="92"/>
      <c r="BD104" s="92"/>
      <c r="BE104" s="92"/>
      <c r="BF104" s="92"/>
      <c r="BG104" s="92"/>
      <c r="BH104" s="92"/>
      <c r="BI104" s="92"/>
      <c r="BJ104" s="92"/>
      <c r="BK104" s="92"/>
    </row>
    <row r="105" spans="2:63" ht="13.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92"/>
      <c r="AY105" s="92"/>
      <c r="AZ105" s="92"/>
      <c r="BA105" s="92"/>
      <c r="BB105" s="92"/>
      <c r="BC105" s="92"/>
      <c r="BD105" s="92"/>
      <c r="BE105" s="92"/>
      <c r="BF105" s="92"/>
      <c r="BG105" s="92"/>
      <c r="BH105" s="92"/>
      <c r="BI105" s="92"/>
      <c r="BJ105" s="92"/>
      <c r="BK105" s="92"/>
    </row>
    <row r="106" spans="2:63" ht="13.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92"/>
      <c r="AY106" s="92"/>
      <c r="AZ106" s="92"/>
      <c r="BA106" s="92"/>
      <c r="BB106" s="92"/>
      <c r="BC106" s="92"/>
      <c r="BD106" s="92"/>
      <c r="BE106" s="92"/>
      <c r="BF106" s="92"/>
      <c r="BG106" s="92"/>
      <c r="BH106" s="92"/>
      <c r="BI106" s="92"/>
      <c r="BJ106" s="92"/>
      <c r="BK106" s="92"/>
    </row>
    <row r="107" spans="2:63" ht="13.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92"/>
      <c r="AY107" s="92"/>
      <c r="AZ107" s="92"/>
      <c r="BA107" s="92"/>
      <c r="BB107" s="92"/>
      <c r="BC107" s="92"/>
      <c r="BD107" s="92"/>
      <c r="BE107" s="92"/>
      <c r="BF107" s="92"/>
      <c r="BG107" s="92"/>
      <c r="BH107" s="92"/>
      <c r="BI107" s="92"/>
      <c r="BJ107" s="92"/>
      <c r="BK107" s="92"/>
    </row>
    <row r="108" spans="2:63" ht="13.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  <c r="AQ108" s="92"/>
      <c r="AR108" s="92"/>
      <c r="AS108" s="92"/>
      <c r="AT108" s="92"/>
      <c r="AU108" s="92"/>
      <c r="AV108" s="92"/>
      <c r="AW108" s="92"/>
      <c r="AX108" s="92"/>
      <c r="AY108" s="92"/>
      <c r="AZ108" s="92"/>
      <c r="BA108" s="92"/>
      <c r="BB108" s="92"/>
      <c r="BC108" s="92"/>
      <c r="BD108" s="92"/>
      <c r="BE108" s="92"/>
      <c r="BF108" s="92"/>
      <c r="BG108" s="92"/>
      <c r="BH108" s="92"/>
      <c r="BI108" s="92"/>
      <c r="BJ108" s="92"/>
      <c r="BK108" s="92"/>
    </row>
    <row r="109" spans="2:63" ht="13.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92"/>
      <c r="AY109" s="92"/>
      <c r="AZ109" s="92"/>
      <c r="BA109" s="92"/>
      <c r="BB109" s="92"/>
      <c r="BC109" s="92"/>
      <c r="BD109" s="92"/>
      <c r="BE109" s="92"/>
      <c r="BF109" s="92"/>
      <c r="BG109" s="92"/>
      <c r="BH109" s="92"/>
      <c r="BI109" s="92"/>
      <c r="BJ109" s="92"/>
      <c r="BK109" s="92"/>
    </row>
    <row r="110" spans="2:63" ht="13.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92"/>
      <c r="AY110" s="92"/>
      <c r="AZ110" s="92"/>
      <c r="BA110" s="92"/>
      <c r="BB110" s="92"/>
      <c r="BC110" s="92"/>
      <c r="BD110" s="92"/>
      <c r="BE110" s="92"/>
      <c r="BF110" s="92"/>
      <c r="BG110" s="92"/>
      <c r="BH110" s="92"/>
      <c r="BI110" s="92"/>
      <c r="BJ110" s="92"/>
      <c r="BK110" s="92"/>
    </row>
    <row r="111" spans="2:63" ht="13.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92"/>
      <c r="AY111" s="92"/>
      <c r="AZ111" s="92"/>
      <c r="BA111" s="92"/>
      <c r="BB111" s="92"/>
      <c r="BC111" s="92"/>
      <c r="BD111" s="92"/>
      <c r="BE111" s="92"/>
      <c r="BF111" s="92"/>
      <c r="BG111" s="92"/>
      <c r="BH111" s="92"/>
      <c r="BI111" s="92"/>
      <c r="BJ111" s="92"/>
      <c r="BK111" s="92"/>
    </row>
    <row r="112" spans="2:63" ht="13.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  <c r="BI112" s="92"/>
      <c r="BJ112" s="92"/>
      <c r="BK112" s="92"/>
    </row>
    <row r="113" spans="2:63" ht="13.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</row>
    <row r="114" spans="2:63" ht="13.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92"/>
      <c r="AY114" s="92"/>
      <c r="AZ114" s="92"/>
      <c r="BA114" s="92"/>
      <c r="BB114" s="92"/>
      <c r="BC114" s="92"/>
      <c r="BD114" s="92"/>
      <c r="BE114" s="92"/>
      <c r="BF114" s="92"/>
      <c r="BG114" s="92"/>
      <c r="BH114" s="92"/>
      <c r="BI114" s="92"/>
      <c r="BJ114" s="92"/>
      <c r="BK114" s="92"/>
    </row>
    <row r="115" spans="2:63" ht="13.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92"/>
      <c r="AY115" s="92"/>
      <c r="AZ115" s="92"/>
      <c r="BA115" s="92"/>
      <c r="BB115" s="92"/>
      <c r="BC115" s="92"/>
      <c r="BD115" s="92"/>
      <c r="BE115" s="92"/>
      <c r="BF115" s="92"/>
      <c r="BG115" s="92"/>
      <c r="BH115" s="92"/>
      <c r="BI115" s="92"/>
      <c r="BJ115" s="92"/>
      <c r="BK115" s="92"/>
    </row>
    <row r="116" spans="2:63" ht="13.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92"/>
      <c r="AY116" s="92"/>
      <c r="AZ116" s="92"/>
      <c r="BA116" s="92"/>
      <c r="BB116" s="92"/>
      <c r="BC116" s="92"/>
      <c r="BD116" s="92"/>
      <c r="BE116" s="92"/>
      <c r="BF116" s="92"/>
      <c r="BG116" s="92"/>
      <c r="BH116" s="92"/>
      <c r="BI116" s="92"/>
      <c r="BJ116" s="92"/>
      <c r="BK116" s="92"/>
    </row>
    <row r="117" spans="2:63" ht="13.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92"/>
      <c r="BE117" s="92"/>
      <c r="BF117" s="92"/>
      <c r="BG117" s="92"/>
      <c r="BH117" s="92"/>
      <c r="BI117" s="92"/>
      <c r="BJ117" s="92"/>
      <c r="BK117" s="92"/>
    </row>
    <row r="118" spans="2:63" ht="13.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92"/>
      <c r="AY118" s="92"/>
      <c r="AZ118" s="92"/>
      <c r="BA118" s="92"/>
      <c r="BB118" s="92"/>
      <c r="BC118" s="92"/>
      <c r="BD118" s="92"/>
      <c r="BE118" s="92"/>
      <c r="BF118" s="92"/>
      <c r="BG118" s="92"/>
      <c r="BH118" s="92"/>
      <c r="BI118" s="92"/>
      <c r="BJ118" s="92"/>
      <c r="BK118" s="92"/>
    </row>
    <row r="119" spans="2:63" ht="13.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AY119" s="92"/>
      <c r="AZ119" s="92"/>
      <c r="BA119" s="92"/>
      <c r="BB119" s="92"/>
      <c r="BC119" s="92"/>
      <c r="BD119" s="92"/>
      <c r="BE119" s="92"/>
      <c r="BF119" s="92"/>
      <c r="BG119" s="92"/>
      <c r="BH119" s="92"/>
      <c r="BI119" s="92"/>
      <c r="BJ119" s="92"/>
      <c r="BK119" s="92"/>
    </row>
    <row r="120" spans="2:63" ht="13.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92"/>
      <c r="AY120" s="92"/>
      <c r="AZ120" s="92"/>
      <c r="BA120" s="92"/>
      <c r="BB120" s="92"/>
      <c r="BC120" s="92"/>
      <c r="BD120" s="92"/>
      <c r="BE120" s="92"/>
      <c r="BF120" s="92"/>
      <c r="BG120" s="92"/>
      <c r="BH120" s="92"/>
      <c r="BI120" s="92"/>
      <c r="BJ120" s="92"/>
      <c r="BK120" s="92"/>
    </row>
    <row r="121" spans="2:63" ht="13.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92"/>
      <c r="AY121" s="92"/>
      <c r="AZ121" s="92"/>
      <c r="BA121" s="92"/>
      <c r="BB121" s="92"/>
      <c r="BC121" s="92"/>
      <c r="BD121" s="92"/>
      <c r="BE121" s="92"/>
      <c r="BF121" s="92"/>
      <c r="BG121" s="92"/>
      <c r="BH121" s="92"/>
      <c r="BI121" s="92"/>
      <c r="BJ121" s="92"/>
      <c r="BK121" s="92"/>
    </row>
    <row r="122" spans="2:63" ht="13.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AY122" s="92"/>
      <c r="AZ122" s="92"/>
      <c r="BA122" s="92"/>
      <c r="BB122" s="92"/>
      <c r="BC122" s="92"/>
      <c r="BD122" s="92"/>
      <c r="BE122" s="92"/>
      <c r="BF122" s="92"/>
      <c r="BG122" s="92"/>
      <c r="BH122" s="92"/>
      <c r="BI122" s="92"/>
      <c r="BJ122" s="92"/>
      <c r="BK122" s="92"/>
    </row>
    <row r="123" spans="2:63" ht="13.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92"/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</row>
    <row r="124" spans="2:63" ht="13.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92"/>
      <c r="AY124" s="92"/>
      <c r="AZ124" s="92"/>
      <c r="BA124" s="92"/>
      <c r="BB124" s="92"/>
      <c r="BC124" s="92"/>
      <c r="BD124" s="92"/>
      <c r="BE124" s="92"/>
      <c r="BF124" s="92"/>
      <c r="BG124" s="92"/>
      <c r="BH124" s="92"/>
      <c r="BI124" s="92"/>
      <c r="BJ124" s="92"/>
      <c r="BK124" s="92"/>
    </row>
    <row r="125" spans="2:63" ht="13.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2:63" ht="13.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2:63" ht="13.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2:63" ht="13.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2:15" ht="13.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2:15" ht="13.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2:15" ht="13.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2:15" ht="13.5"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</row>
    <row r="133" spans="2:15" ht="13.5"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</row>
    <row r="134" spans="2:15" ht="13.5"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</row>
    <row r="135" spans="2:15" ht="13.5"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</row>
    <row r="136" spans="2:15" ht="13.5"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</row>
    <row r="137" spans="2:15" ht="13.5"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</row>
    <row r="138" spans="2:15" ht="13.5"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</row>
    <row r="139" spans="2:15" ht="13.5"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</row>
    <row r="140" spans="2:15" ht="13.5"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</row>
    <row r="141" spans="2:15" ht="13.5"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</row>
    <row r="142" spans="2:15" ht="13.5"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</row>
    <row r="143" spans="2:15" ht="13.5"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</row>
    <row r="144" spans="2:15" ht="13.5"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</row>
    <row r="145" spans="2:15" ht="13.5"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</row>
    <row r="146" spans="2:15" ht="13.5"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</row>
    <row r="147" spans="2:15" ht="13.5"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</row>
    <row r="148" spans="2:15" ht="13.5"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</row>
    <row r="149" spans="2:15" ht="13.5"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</row>
    <row r="150" spans="2:15" ht="13.5"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</row>
    <row r="151" spans="2:15" ht="13.5"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</row>
    <row r="152" spans="2:15" ht="13.5"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</row>
    <row r="153" spans="2:15" ht="13.5"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</row>
    <row r="154" spans="2:15" ht="13.5"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</row>
    <row r="155" spans="2:15" ht="13.5"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</row>
    <row r="156" spans="2:15" ht="13.5"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</row>
    <row r="157" spans="2:15" ht="13.5"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</row>
    <row r="158" spans="2:15" ht="13.5"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</row>
    <row r="159" spans="2:15" ht="13.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</row>
    <row r="160" spans="2:15" ht="13.5"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</row>
    <row r="161" spans="2:15" ht="13.5"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</row>
    <row r="162" spans="2:15" ht="13.5"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</row>
    <row r="163" spans="2:15" ht="13.5"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</row>
    <row r="164" spans="2:15" ht="13.5"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</row>
    <row r="165" spans="2:15" ht="13.5"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</row>
    <row r="166" spans="2:15" ht="13.5"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</row>
    <row r="167" spans="2:15" ht="13.5"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</row>
    <row r="168" spans="2:15" ht="13.5"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</row>
    <row r="169" spans="2:15" ht="13.5"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</row>
    <row r="170" spans="2:15" ht="13.5"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</row>
    <row r="171" spans="2:15" ht="13.5"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</row>
    <row r="172" spans="2:15" ht="13.5"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</row>
    <row r="173" spans="2:15" ht="13.5"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</row>
    <row r="174" spans="2:15" ht="13.5"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</row>
    <row r="175" spans="2:15" ht="13.5"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</row>
    <row r="176" spans="2:15" ht="13.5"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</row>
    <row r="177" spans="2:15" ht="13.5"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</row>
    <row r="178" spans="2:15" ht="13.5"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</row>
    <row r="179" spans="2:15" ht="13.5"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</row>
    <row r="180" spans="2:15" ht="13.5"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</row>
    <row r="181" spans="2:15" ht="13.5"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</row>
    <row r="182" spans="2:15" ht="13.5"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</row>
    <row r="183" spans="2:15" ht="13.5"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</row>
    <row r="184" spans="2:15" ht="13.5"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</row>
    <row r="185" spans="2:15" ht="13.5"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</row>
    <row r="186" spans="2:15" ht="13.5"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</row>
    <row r="187" spans="2:15" ht="13.5"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</row>
    <row r="188" spans="2:15" ht="13.5"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</row>
    <row r="189" spans="2:15" ht="13.5"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</row>
    <row r="190" spans="2:15" ht="13.5"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</row>
    <row r="191" spans="2:15" ht="13.5"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</row>
    <row r="192" spans="2:15" ht="13.5"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</row>
    <row r="193" spans="2:15" ht="13.5"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</row>
    <row r="194" spans="2:15" ht="13.5"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</row>
    <row r="195" spans="2:15" ht="13.5"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</row>
    <row r="196" spans="2:15" ht="13.5"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</row>
    <row r="197" spans="2:15" ht="13.5"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</row>
    <row r="198" spans="2:15" ht="13.5"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</row>
    <row r="199" spans="2:15" ht="13.5"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</row>
    <row r="200" spans="2:15" ht="13.5"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</row>
    <row r="201" spans="2:15" ht="13.5"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</row>
    <row r="202" spans="2:15" ht="13.5"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</row>
    <row r="203" spans="2:15" ht="13.5"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</row>
    <row r="204" spans="2:15" ht="13.5"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</row>
    <row r="205" spans="2:15" ht="13.5"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</row>
    <row r="206" spans="2:15" ht="13.5"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</row>
    <row r="207" spans="2:15" ht="13.5"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</row>
    <row r="208" spans="2:15" ht="13.5"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</row>
    <row r="209" spans="2:15" ht="13.5"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</row>
    <row r="210" spans="2:15" ht="13.5"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</row>
    <row r="211" spans="2:15" ht="13.5"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</row>
    <row r="212" spans="2:15" ht="13.5"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</row>
    <row r="213" spans="2:15" ht="13.5"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</row>
    <row r="214" spans="2:15" ht="13.5"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</row>
    <row r="215" spans="2:15" ht="13.5"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</row>
    <row r="216" spans="2:15" ht="13.5"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</row>
    <row r="217" spans="2:15" ht="13.5"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</row>
    <row r="218" spans="2:15" ht="13.5"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</row>
    <row r="219" spans="2:15" ht="13.5"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</row>
    <row r="220" spans="2:15" ht="13.5"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</row>
    <row r="221" spans="2:15" ht="13.5"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</row>
    <row r="222" spans="2:15" ht="13.5"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</row>
    <row r="223" spans="2:15" ht="13.5"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</row>
    <row r="224" spans="2:15" ht="13.5"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</row>
    <row r="225" spans="2:15" ht="13.5"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</row>
    <row r="226" spans="2:15" ht="13.5"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</row>
    <row r="227" spans="2:15" ht="13.5"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</row>
    <row r="228" spans="2:15" ht="13.5"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</row>
    <row r="229" spans="2:15" ht="13.5"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</row>
    <row r="230" spans="2:15" ht="13.5"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</row>
    <row r="231" spans="2:15" ht="13.5"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</row>
    <row r="232" spans="2:15" ht="13.5"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</row>
    <row r="233" spans="2:15" ht="13.5"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</row>
    <row r="234" spans="2:15" ht="13.5"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</row>
    <row r="235" spans="2:15" ht="13.5"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</row>
    <row r="236" spans="2:15" ht="13.5"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</row>
    <row r="237" spans="2:15" ht="13.5"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</row>
    <row r="238" spans="2:15" ht="13.5"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</row>
    <row r="239" spans="2:15" ht="13.5"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</row>
    <row r="240" spans="2:15" ht="13.5"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</row>
    <row r="241" spans="2:15" ht="13.5"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</row>
    <row r="242" spans="2:15" ht="13.5"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</row>
    <row r="243" spans="2:15" ht="13.5"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</row>
    <row r="244" spans="2:15" ht="13.5"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</row>
    <row r="245" spans="2:15" ht="13.5"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</row>
    <row r="246" spans="2:15" ht="13.5"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</row>
    <row r="247" spans="2:15" ht="13.5"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</row>
    <row r="248" spans="2:15" ht="13.5"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</row>
    <row r="249" spans="2:15" ht="13.5"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</row>
    <row r="250" spans="2:15" ht="13.5"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</row>
    <row r="251" spans="2:15" ht="13.5"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</row>
    <row r="252" spans="2:15" ht="13.5"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</row>
    <row r="253" spans="2:15" ht="13.5"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</row>
    <row r="254" spans="2:15" ht="13.5"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</row>
    <row r="255" spans="2:15" ht="13.5"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</row>
    <row r="256" spans="2:15" ht="13.5"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</row>
    <row r="257" spans="2:15" ht="13.5"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</row>
    <row r="258" spans="2:15" ht="13.5"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</row>
    <row r="259" spans="2:15" ht="13.5"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</row>
    <row r="260" spans="2:15" ht="13.5"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</row>
    <row r="261" spans="2:15" ht="13.5"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</row>
    <row r="262" spans="2:15" ht="13.5"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</row>
    <row r="263" spans="2:15" ht="13.5"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</row>
    <row r="264" spans="2:15" ht="13.5"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</row>
    <row r="265" spans="2:15" ht="13.5"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</row>
    <row r="266" spans="2:15" ht="13.5"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</row>
    <row r="267" spans="2:15" ht="13.5"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</row>
    <row r="268" spans="2:15" ht="13.5"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</row>
    <row r="269" spans="2:15" ht="13.5"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</row>
    <row r="270" spans="2:15" ht="13.5"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</row>
    <row r="271" spans="2:15" ht="13.5"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</row>
    <row r="272" spans="2:15" ht="13.5"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</row>
    <row r="273" spans="2:15" ht="13.5"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</row>
    <row r="274" spans="2:15" ht="13.5"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</row>
    <row r="275" spans="2:15" ht="13.5"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</row>
    <row r="276" spans="2:15" ht="13.5"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</row>
    <row r="277" spans="2:15" ht="13.5"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</row>
    <row r="278" spans="2:15" ht="13.5"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</row>
    <row r="279" spans="2:15" ht="13.5"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</row>
    <row r="280" spans="2:15" ht="13.5"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</row>
    <row r="281" spans="2:15" ht="13.5"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</row>
    <row r="282" spans="2:15" ht="13.5"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</row>
    <row r="283" spans="2:15" ht="13.5"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</row>
    <row r="284" spans="2:15" ht="13.5"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</row>
    <row r="285" spans="2:15" ht="13.5"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</row>
    <row r="286" spans="2:15" ht="13.5"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</row>
    <row r="287" spans="2:15" ht="13.5"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</row>
    <row r="288" spans="2:15" ht="13.5"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</row>
    <row r="289" spans="2:15" ht="13.5"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</row>
    <row r="290" spans="2:15" ht="13.5"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</row>
    <row r="291" spans="2:15" ht="13.5"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</row>
    <row r="292" spans="2:15" ht="13.5"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</row>
    <row r="293" spans="2:15" ht="13.5"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</row>
    <row r="294" spans="2:15" ht="13.5"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</row>
    <row r="295" spans="2:15" ht="13.5"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</row>
    <row r="296" spans="2:15" ht="13.5"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</row>
    <row r="297" spans="2:15" ht="13.5"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</row>
    <row r="298" spans="2:15" ht="13.5"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</row>
    <row r="299" spans="2:15" ht="13.5"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</row>
    <row r="300" spans="2:15" ht="13.5"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</row>
    <row r="301" spans="2:15" ht="13.5"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</row>
    <row r="302" spans="2:15" ht="13.5"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</row>
    <row r="303" spans="2:15" ht="13.5"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</row>
    <row r="304" spans="2:15" ht="13.5"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</row>
    <row r="305" spans="2:15" ht="13.5"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</row>
    <row r="306" spans="2:15" ht="13.5"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</row>
    <row r="307" spans="2:15" ht="13.5"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</row>
    <row r="308" spans="2:15" ht="13.5"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</row>
  </sheetData>
  <pageMargins left="7.874015748031496E-2" right="0.11811023622047245" top="0.16" bottom="3.937007874015748E-2" header="0.23" footer="0"/>
  <pageSetup paperSize="9" scale="57" fitToHeight="0" orientation="landscape" r:id="rId2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CB7D-9335-482D-89D1-63957585681C}">
  <sheetPr codeName="Planilha9" filterMode="1">
    <tabColor rgb="FF006600"/>
    <outlinePr summaryRight="0"/>
    <pageSetUpPr fitToPage="1"/>
  </sheetPr>
  <dimension ref="A1:AD1111"/>
  <sheetViews>
    <sheetView showGridLines="0" tabSelected="1" zoomScale="65" zoomScaleNormal="65" workbookViewId="0">
      <pane xSplit="1" ySplit="5" topLeftCell="B6" activePane="bottomRight" state="frozen"/>
      <selection activeCell="H33" sqref="H33"/>
      <selection pane="topRight" activeCell="H33" sqref="H33"/>
      <selection pane="bottomLeft" activeCell="H33" sqref="H33"/>
      <selection pane="bottomRight" activeCell="A456" sqref="A456:XFD456"/>
    </sheetView>
  </sheetViews>
  <sheetFormatPr defaultColWidth="12.5703125" defaultRowHeight="19.5" customHeight="1"/>
  <cols>
    <col min="1" max="1" width="1.85546875" style="16" customWidth="1"/>
    <col min="2" max="2" width="9.42578125" style="171" bestFit="1" customWidth="1"/>
    <col min="3" max="3" width="11.42578125" style="171" customWidth="1"/>
    <col min="4" max="4" width="43.42578125" style="16" customWidth="1"/>
    <col min="5" max="5" width="44.85546875" style="209" customWidth="1"/>
    <col min="6" max="6" width="21" style="171" customWidth="1"/>
    <col min="7" max="7" width="44.5703125" style="171" customWidth="1"/>
    <col min="8" max="8" width="82.42578125" style="16" customWidth="1"/>
    <col min="9" max="9" width="23.28515625" style="171" bestFit="1" customWidth="1"/>
    <col min="10" max="10" width="24.28515625" style="171" customWidth="1"/>
    <col min="11" max="11" width="15.42578125" style="171" customWidth="1"/>
    <col min="12" max="12" width="22.5703125" style="171" customWidth="1"/>
    <col min="13" max="13" width="26.28515625" style="171" bestFit="1" customWidth="1"/>
    <col min="14" max="14" width="19.5703125" style="171" customWidth="1"/>
    <col min="15" max="15" width="19.7109375" style="16" customWidth="1"/>
    <col min="16" max="16" width="2.7109375" style="16" customWidth="1"/>
    <col min="17" max="17" width="16.85546875" bestFit="1" customWidth="1"/>
    <col min="18" max="18" width="14.42578125" bestFit="1" customWidth="1"/>
    <col min="19" max="19" width="13.85546875" bestFit="1" customWidth="1"/>
    <col min="25" max="25" width="3.5703125" style="45" customWidth="1"/>
    <col min="26" max="28" width="12.5703125" style="45"/>
    <col min="29" max="29" width="3.5703125" style="45" customWidth="1"/>
    <col min="30" max="16384" width="12.5703125" style="16"/>
  </cols>
  <sheetData>
    <row r="1" spans="2:29" ht="8.25" customHeight="1">
      <c r="B1" s="169"/>
      <c r="C1" s="169"/>
      <c r="D1" s="170"/>
      <c r="E1" s="15"/>
      <c r="F1" s="169"/>
      <c r="G1" s="169"/>
      <c r="H1" s="170"/>
      <c r="I1" s="169"/>
      <c r="J1" s="169"/>
      <c r="K1" s="169"/>
      <c r="L1" s="169"/>
      <c r="M1" s="169"/>
      <c r="N1" s="169"/>
      <c r="O1" s="170"/>
      <c r="P1" s="170"/>
    </row>
    <row r="2" spans="2:29" ht="9" customHeight="1">
      <c r="B2" s="169"/>
      <c r="C2" s="169"/>
      <c r="D2" s="227"/>
      <c r="E2" s="207"/>
      <c r="F2" s="169"/>
      <c r="G2" s="67"/>
      <c r="H2" s="170"/>
      <c r="I2" s="169"/>
      <c r="J2" s="169"/>
      <c r="N2" s="169"/>
      <c r="O2" s="67"/>
      <c r="P2" s="170"/>
      <c r="Z2" s="16"/>
      <c r="AA2" s="16"/>
      <c r="AB2" s="16"/>
    </row>
    <row r="3" spans="2:29" ht="28.5" customHeight="1">
      <c r="B3" s="547" t="s">
        <v>672</v>
      </c>
      <c r="C3" s="547"/>
      <c r="D3" s="547"/>
      <c r="E3" s="548"/>
      <c r="F3" s="547"/>
      <c r="G3" s="547"/>
      <c r="H3" s="547"/>
      <c r="I3" s="547"/>
      <c r="J3" s="547"/>
      <c r="K3" s="547"/>
      <c r="L3" s="547"/>
      <c r="M3" s="547"/>
      <c r="N3" s="547"/>
      <c r="O3" s="547"/>
      <c r="P3" s="170"/>
      <c r="Z3" s="16"/>
      <c r="AA3" s="16"/>
      <c r="AB3" s="16"/>
    </row>
    <row r="4" spans="2:29" s="79" customFormat="1" ht="9.75" customHeight="1">
      <c r="E4" s="208"/>
      <c r="F4" s="173"/>
      <c r="G4" s="173"/>
      <c r="I4" s="173"/>
      <c r="J4" s="173"/>
      <c r="Y4" s="45"/>
      <c r="AC4" s="45"/>
    </row>
    <row r="5" spans="2:29" ht="13.5">
      <c r="B5" s="174" t="s">
        <v>0</v>
      </c>
      <c r="C5" s="174" t="s">
        <v>2</v>
      </c>
      <c r="D5" s="174" t="s">
        <v>291</v>
      </c>
      <c r="E5" s="174" t="s">
        <v>292</v>
      </c>
      <c r="F5" s="174" t="s">
        <v>128</v>
      </c>
      <c r="G5" s="174" t="s">
        <v>129</v>
      </c>
      <c r="H5" s="174" t="s">
        <v>9</v>
      </c>
      <c r="I5" s="174" t="s">
        <v>598</v>
      </c>
      <c r="J5" s="174" t="s">
        <v>188</v>
      </c>
      <c r="K5" s="174" t="s">
        <v>542</v>
      </c>
      <c r="L5" s="174" t="s">
        <v>130</v>
      </c>
      <c r="M5" s="174" t="s">
        <v>297</v>
      </c>
      <c r="N5" s="174" t="s">
        <v>11</v>
      </c>
      <c r="O5" s="174" t="s">
        <v>1</v>
      </c>
      <c r="P5" s="170"/>
      <c r="Z5" s="16"/>
      <c r="AA5" s="16"/>
      <c r="AB5" s="16"/>
    </row>
    <row r="6" spans="2:29" ht="21.75" hidden="1" customHeight="1">
      <c r="B6" s="68">
        <v>46024</v>
      </c>
      <c r="C6" s="69" t="str">
        <f t="shared" ref="C6:C69" si="0">PROPER(TEXT(B6,"MMMM"))</f>
        <v>Janeiro</v>
      </c>
      <c r="D6" s="77" t="s">
        <v>399</v>
      </c>
      <c r="E6" s="72" t="s">
        <v>457</v>
      </c>
      <c r="F6" s="70" t="s">
        <v>131</v>
      </c>
      <c r="G6" s="71" t="s">
        <v>196</v>
      </c>
      <c r="H6" s="77" t="s">
        <v>751</v>
      </c>
      <c r="I6" s="71" t="s">
        <v>131</v>
      </c>
      <c r="J6" s="342" t="s">
        <v>131</v>
      </c>
      <c r="K6" s="71" t="s">
        <v>131</v>
      </c>
      <c r="L6" s="71" t="s">
        <v>131</v>
      </c>
      <c r="M6" s="71" t="s">
        <v>735</v>
      </c>
      <c r="N6" s="80" t="s">
        <v>268</v>
      </c>
      <c r="O6" s="295">
        <v>383184.43</v>
      </c>
      <c r="P6" s="75"/>
      <c r="Z6" s="16"/>
      <c r="AA6" s="16"/>
      <c r="AB6" s="16"/>
    </row>
    <row r="7" spans="2:29" ht="21.75" hidden="1" customHeight="1">
      <c r="B7" s="68">
        <v>46024</v>
      </c>
      <c r="C7" s="69" t="str">
        <f t="shared" si="0"/>
        <v>Janeiro</v>
      </c>
      <c r="D7" s="77" t="s">
        <v>299</v>
      </c>
      <c r="E7" s="72" t="s">
        <v>303</v>
      </c>
      <c r="F7" s="70" t="s">
        <v>138</v>
      </c>
      <c r="G7" s="71" t="s">
        <v>147</v>
      </c>
      <c r="H7" s="77" t="s">
        <v>629</v>
      </c>
      <c r="I7" s="71" t="s">
        <v>131</v>
      </c>
      <c r="J7" s="342" t="s">
        <v>952</v>
      </c>
      <c r="K7" s="76" t="s">
        <v>131</v>
      </c>
      <c r="L7" s="71" t="s">
        <v>137</v>
      </c>
      <c r="M7" s="71" t="s">
        <v>735</v>
      </c>
      <c r="N7" s="80" t="s">
        <v>135</v>
      </c>
      <c r="O7" s="295">
        <v>-700</v>
      </c>
      <c r="P7" s="75"/>
      <c r="Z7" s="16"/>
      <c r="AA7" s="16"/>
      <c r="AB7" s="16"/>
    </row>
    <row r="8" spans="2:29" ht="21.75" hidden="1" customHeight="1">
      <c r="B8" s="376">
        <v>46024</v>
      </c>
      <c r="C8" s="377" t="str">
        <f t="shared" si="0"/>
        <v>Janeiro</v>
      </c>
      <c r="D8" s="378" t="s">
        <v>300</v>
      </c>
      <c r="E8" s="379" t="s">
        <v>478</v>
      </c>
      <c r="F8" s="380" t="s">
        <v>136</v>
      </c>
      <c r="G8" s="342" t="s">
        <v>894</v>
      </c>
      <c r="H8" s="378" t="s">
        <v>211</v>
      </c>
      <c r="I8" s="342" t="s">
        <v>131</v>
      </c>
      <c r="J8" s="343" t="s">
        <v>895</v>
      </c>
      <c r="K8" s="342" t="s">
        <v>131</v>
      </c>
      <c r="L8" s="342" t="s">
        <v>134</v>
      </c>
      <c r="M8" s="342" t="s">
        <v>735</v>
      </c>
      <c r="N8" s="80" t="s">
        <v>135</v>
      </c>
      <c r="O8" s="295">
        <v>-150</v>
      </c>
      <c r="P8" s="75"/>
      <c r="Z8" s="16"/>
      <c r="AA8" s="16"/>
      <c r="AB8" s="16"/>
    </row>
    <row r="9" spans="2:29" ht="21.75" hidden="1" customHeight="1">
      <c r="B9" s="68">
        <v>46024</v>
      </c>
      <c r="C9" s="69" t="str">
        <f t="shared" si="0"/>
        <v>Janeiro</v>
      </c>
      <c r="D9" s="77" t="s">
        <v>509</v>
      </c>
      <c r="E9" s="72" t="s">
        <v>500</v>
      </c>
      <c r="F9" s="70" t="s">
        <v>131</v>
      </c>
      <c r="G9" s="71" t="s">
        <v>132</v>
      </c>
      <c r="H9" s="77" t="s">
        <v>133</v>
      </c>
      <c r="I9" s="71" t="s">
        <v>131</v>
      </c>
      <c r="J9" s="343" t="s">
        <v>749</v>
      </c>
      <c r="K9" s="71" t="s">
        <v>131</v>
      </c>
      <c r="L9" s="71" t="s">
        <v>134</v>
      </c>
      <c r="M9" s="71" t="s">
        <v>735</v>
      </c>
      <c r="N9" s="80" t="s">
        <v>265</v>
      </c>
      <c r="O9" s="295">
        <v>-62680.130000000005</v>
      </c>
      <c r="P9" s="75"/>
      <c r="Z9" s="16"/>
      <c r="AA9" s="16"/>
      <c r="AB9" s="16"/>
    </row>
    <row r="10" spans="2:29" ht="21.75" hidden="1" customHeight="1">
      <c r="B10" s="68">
        <v>46024</v>
      </c>
      <c r="C10" s="69" t="str">
        <f t="shared" si="0"/>
        <v>Janeiro</v>
      </c>
      <c r="D10" s="77" t="s">
        <v>507</v>
      </c>
      <c r="E10" s="72" t="s">
        <v>494</v>
      </c>
      <c r="F10" s="70" t="s">
        <v>131</v>
      </c>
      <c r="G10" s="71" t="s">
        <v>145</v>
      </c>
      <c r="H10" s="77" t="s">
        <v>898</v>
      </c>
      <c r="I10" s="71" t="s">
        <v>131</v>
      </c>
      <c r="J10" s="342" t="s">
        <v>131</v>
      </c>
      <c r="K10" s="71" t="s">
        <v>131</v>
      </c>
      <c r="L10" s="71" t="s">
        <v>134</v>
      </c>
      <c r="M10" s="71" t="s">
        <v>735</v>
      </c>
      <c r="N10" s="388" t="s">
        <v>587</v>
      </c>
      <c r="O10" s="295">
        <v>-100000</v>
      </c>
      <c r="P10" s="75"/>
      <c r="Z10" s="16"/>
      <c r="AA10" s="16"/>
      <c r="AB10" s="16"/>
    </row>
    <row r="11" spans="2:29" s="341" customFormat="1" ht="21.75" hidden="1" customHeight="1">
      <c r="B11" s="376">
        <v>46024</v>
      </c>
      <c r="C11" s="377" t="str">
        <f t="shared" si="0"/>
        <v>Janeiro</v>
      </c>
      <c r="D11" s="378" t="s">
        <v>510</v>
      </c>
      <c r="E11" s="379" t="s">
        <v>506</v>
      </c>
      <c r="F11" s="380" t="s">
        <v>131</v>
      </c>
      <c r="G11" s="342" t="s">
        <v>145</v>
      </c>
      <c r="H11" s="378" t="s">
        <v>865</v>
      </c>
      <c r="I11" s="342" t="s">
        <v>131</v>
      </c>
      <c r="J11" s="342">
        <v>2026</v>
      </c>
      <c r="K11" s="342" t="s">
        <v>131</v>
      </c>
      <c r="L11" s="342" t="s">
        <v>485</v>
      </c>
      <c r="M11" s="342" t="s">
        <v>735</v>
      </c>
      <c r="N11" s="80" t="s">
        <v>135</v>
      </c>
      <c r="O11" s="295">
        <v>-1878</v>
      </c>
      <c r="P11" s="296"/>
      <c r="Q11"/>
      <c r="R11"/>
      <c r="S11"/>
      <c r="T11"/>
      <c r="U11"/>
      <c r="V11"/>
      <c r="W11"/>
      <c r="X11"/>
      <c r="Y11" s="45"/>
      <c r="AC11" s="45"/>
    </row>
    <row r="12" spans="2:29" s="341" customFormat="1" ht="21.75" hidden="1" customHeight="1">
      <c r="B12" s="68">
        <v>46024</v>
      </c>
      <c r="C12" s="69" t="str">
        <f t="shared" si="0"/>
        <v>Janeiro</v>
      </c>
      <c r="D12" s="77" t="s">
        <v>386</v>
      </c>
      <c r="E12" s="72" t="s">
        <v>468</v>
      </c>
      <c r="F12" s="70" t="s">
        <v>131</v>
      </c>
      <c r="G12" s="71" t="s">
        <v>480</v>
      </c>
      <c r="H12" s="77" t="s">
        <v>750</v>
      </c>
      <c r="I12" s="71" t="s">
        <v>131</v>
      </c>
      <c r="J12" s="342">
        <v>2026</v>
      </c>
      <c r="K12" s="71" t="s">
        <v>131</v>
      </c>
      <c r="L12" s="71" t="s">
        <v>131</v>
      </c>
      <c r="M12" s="71" t="s">
        <v>729</v>
      </c>
      <c r="N12" s="80" t="s">
        <v>586</v>
      </c>
      <c r="O12" s="295">
        <v>900</v>
      </c>
      <c r="P12" s="296"/>
      <c r="Q12"/>
      <c r="R12"/>
      <c r="S12"/>
      <c r="T12"/>
      <c r="U12"/>
      <c r="V12"/>
      <c r="W12"/>
      <c r="X12"/>
      <c r="Y12" s="45"/>
      <c r="AC12" s="45"/>
    </row>
    <row r="13" spans="2:29" s="341" customFormat="1" ht="21.75" hidden="1" customHeight="1">
      <c r="B13" s="68">
        <v>46024</v>
      </c>
      <c r="C13" s="69" t="str">
        <f t="shared" si="0"/>
        <v>Janeiro</v>
      </c>
      <c r="D13" s="77" t="s">
        <v>386</v>
      </c>
      <c r="E13" s="72" t="s">
        <v>468</v>
      </c>
      <c r="F13" s="70" t="s">
        <v>131</v>
      </c>
      <c r="G13" s="71" t="s">
        <v>480</v>
      </c>
      <c r="H13" s="77" t="s">
        <v>511</v>
      </c>
      <c r="I13" s="71" t="s">
        <v>131</v>
      </c>
      <c r="J13" s="112" t="s">
        <v>131</v>
      </c>
      <c r="K13" s="71" t="s">
        <v>131</v>
      </c>
      <c r="L13" s="71" t="s">
        <v>131</v>
      </c>
      <c r="M13" s="71" t="s">
        <v>729</v>
      </c>
      <c r="N13" s="80" t="s">
        <v>586</v>
      </c>
      <c r="O13" s="390">
        <v>3700</v>
      </c>
      <c r="P13" s="296"/>
      <c r="R13"/>
      <c r="S13"/>
      <c r="T13"/>
      <c r="U13"/>
      <c r="V13"/>
      <c r="W13"/>
      <c r="X13"/>
      <c r="Y13" s="45"/>
      <c r="AC13" s="45"/>
    </row>
    <row r="14" spans="2:29" ht="21.75" hidden="1" customHeight="1">
      <c r="B14" s="68">
        <v>46024</v>
      </c>
      <c r="C14" s="69" t="str">
        <f t="shared" si="0"/>
        <v>Janeiro</v>
      </c>
      <c r="D14" s="77" t="s">
        <v>399</v>
      </c>
      <c r="E14" s="72" t="s">
        <v>531</v>
      </c>
      <c r="F14" s="70" t="s">
        <v>131</v>
      </c>
      <c r="G14" s="71" t="s">
        <v>480</v>
      </c>
      <c r="H14" s="77" t="s">
        <v>751</v>
      </c>
      <c r="I14" s="71" t="s">
        <v>131</v>
      </c>
      <c r="J14" s="342" t="s">
        <v>131</v>
      </c>
      <c r="K14" s="71" t="s">
        <v>131</v>
      </c>
      <c r="L14" s="71" t="s">
        <v>131</v>
      </c>
      <c r="M14" s="71" t="s">
        <v>729</v>
      </c>
      <c r="N14" s="80" t="s">
        <v>268</v>
      </c>
      <c r="O14" s="295">
        <v>51.15</v>
      </c>
      <c r="P14" s="75"/>
      <c r="Z14" s="16"/>
      <c r="AA14" s="16"/>
      <c r="AB14" s="16"/>
    </row>
    <row r="15" spans="2:29" s="341" customFormat="1" ht="21.75" hidden="1" customHeight="1">
      <c r="B15" s="68">
        <v>46024</v>
      </c>
      <c r="C15" s="69" t="str">
        <f t="shared" si="0"/>
        <v>Janeiro</v>
      </c>
      <c r="D15" s="77" t="s">
        <v>399</v>
      </c>
      <c r="E15" s="72" t="s">
        <v>531</v>
      </c>
      <c r="F15" s="70" t="s">
        <v>131</v>
      </c>
      <c r="G15" s="71" t="s">
        <v>480</v>
      </c>
      <c r="H15" s="77" t="s">
        <v>751</v>
      </c>
      <c r="I15" s="71" t="s">
        <v>131</v>
      </c>
      <c r="J15" s="342" t="s">
        <v>131</v>
      </c>
      <c r="K15" s="71" t="s">
        <v>131</v>
      </c>
      <c r="L15" s="71" t="s">
        <v>131</v>
      </c>
      <c r="M15" s="71" t="s">
        <v>730</v>
      </c>
      <c r="N15" s="80" t="s">
        <v>268</v>
      </c>
      <c r="O15" s="295">
        <v>100</v>
      </c>
      <c r="P15" s="296"/>
      <c r="Q15"/>
      <c r="R15"/>
      <c r="S15"/>
      <c r="T15"/>
      <c r="U15"/>
      <c r="V15"/>
      <c r="W15"/>
      <c r="X15"/>
      <c r="Y15" s="45"/>
      <c r="AC15" s="45"/>
    </row>
    <row r="16" spans="2:29" s="341" customFormat="1" ht="21.75" hidden="1" customHeight="1">
      <c r="B16" s="68">
        <v>46024</v>
      </c>
      <c r="C16" s="69" t="str">
        <f t="shared" si="0"/>
        <v>Janeiro</v>
      </c>
      <c r="D16" s="77" t="s">
        <v>386</v>
      </c>
      <c r="E16" s="72" t="s">
        <v>468</v>
      </c>
      <c r="F16" s="70" t="s">
        <v>131</v>
      </c>
      <c r="G16" s="71" t="s">
        <v>480</v>
      </c>
      <c r="H16" s="72" t="s">
        <v>1008</v>
      </c>
      <c r="I16" s="71" t="s">
        <v>131</v>
      </c>
      <c r="J16" s="112" t="s">
        <v>131</v>
      </c>
      <c r="K16" s="73" t="s">
        <v>131</v>
      </c>
      <c r="L16" s="71" t="s">
        <v>131</v>
      </c>
      <c r="M16" s="71" t="s">
        <v>730</v>
      </c>
      <c r="N16" s="80" t="s">
        <v>586</v>
      </c>
      <c r="O16" s="390">
        <v>12732.35</v>
      </c>
      <c r="P16" s="296"/>
      <c r="Q16"/>
      <c r="R16"/>
      <c r="S16"/>
      <c r="T16"/>
      <c r="U16"/>
      <c r="V16"/>
      <c r="W16"/>
      <c r="X16"/>
      <c r="Y16" s="45"/>
      <c r="AC16" s="45"/>
    </row>
    <row r="17" spans="2:29" s="341" customFormat="1" ht="21.75" hidden="1" customHeight="1">
      <c r="B17" s="68">
        <v>46024</v>
      </c>
      <c r="C17" s="69" t="str">
        <f t="shared" si="0"/>
        <v>Janeiro</v>
      </c>
      <c r="D17" s="77" t="s">
        <v>302</v>
      </c>
      <c r="E17" s="72" t="s">
        <v>309</v>
      </c>
      <c r="F17" s="70" t="s">
        <v>136</v>
      </c>
      <c r="G17" s="71" t="s">
        <v>480</v>
      </c>
      <c r="H17" s="77" t="s">
        <v>914</v>
      </c>
      <c r="I17" s="71" t="s">
        <v>131</v>
      </c>
      <c r="J17" s="342" t="s">
        <v>131</v>
      </c>
      <c r="K17" s="71" t="s">
        <v>131</v>
      </c>
      <c r="L17" s="71" t="s">
        <v>197</v>
      </c>
      <c r="M17" s="71" t="s">
        <v>730</v>
      </c>
      <c r="N17" s="80" t="s">
        <v>135</v>
      </c>
      <c r="O17" s="295">
        <v>-0.03</v>
      </c>
      <c r="P17" s="296"/>
      <c r="Q17"/>
      <c r="R17"/>
      <c r="S17"/>
      <c r="T17"/>
      <c r="U17"/>
      <c r="V17"/>
      <c r="W17"/>
      <c r="X17"/>
      <c r="Y17" s="45"/>
      <c r="AC17" s="45"/>
    </row>
    <row r="18" spans="2:29" ht="21.75" hidden="1" customHeight="1">
      <c r="B18" s="68">
        <v>46024</v>
      </c>
      <c r="C18" s="69" t="str">
        <f t="shared" si="0"/>
        <v>Janeiro</v>
      </c>
      <c r="D18" s="77" t="s">
        <v>302</v>
      </c>
      <c r="E18" s="72" t="s">
        <v>309</v>
      </c>
      <c r="F18" s="70" t="s">
        <v>136</v>
      </c>
      <c r="G18" s="71" t="s">
        <v>480</v>
      </c>
      <c r="H18" s="77" t="s">
        <v>915</v>
      </c>
      <c r="I18" s="71" t="s">
        <v>131</v>
      </c>
      <c r="J18" s="342" t="s">
        <v>131</v>
      </c>
      <c r="K18" s="71" t="s">
        <v>131</v>
      </c>
      <c r="L18" s="71" t="s">
        <v>197</v>
      </c>
      <c r="M18" s="71" t="s">
        <v>730</v>
      </c>
      <c r="N18" s="80" t="s">
        <v>135</v>
      </c>
      <c r="O18" s="295">
        <v>-0.21</v>
      </c>
      <c r="P18" s="75"/>
      <c r="Z18" s="16"/>
      <c r="AA18" s="16"/>
      <c r="AB18" s="16"/>
    </row>
    <row r="19" spans="2:29" s="341" customFormat="1" ht="21.75" hidden="1" customHeight="1">
      <c r="B19" s="68">
        <v>46024</v>
      </c>
      <c r="C19" s="69" t="str">
        <f t="shared" si="0"/>
        <v>Janeiro</v>
      </c>
      <c r="D19" s="77" t="s">
        <v>302</v>
      </c>
      <c r="E19" s="72" t="s">
        <v>309</v>
      </c>
      <c r="F19" s="70" t="s">
        <v>136</v>
      </c>
      <c r="G19" s="71" t="s">
        <v>480</v>
      </c>
      <c r="H19" s="77" t="s">
        <v>963</v>
      </c>
      <c r="I19" s="71" t="s">
        <v>131</v>
      </c>
      <c r="J19" s="342" t="s">
        <v>131</v>
      </c>
      <c r="K19" s="71" t="s">
        <v>131</v>
      </c>
      <c r="L19" s="71" t="s">
        <v>197</v>
      </c>
      <c r="M19" s="71" t="s">
        <v>730</v>
      </c>
      <c r="N19" s="80" t="s">
        <v>135</v>
      </c>
      <c r="O19" s="295">
        <v>-1.68</v>
      </c>
      <c r="P19" s="296"/>
      <c r="Q19"/>
      <c r="R19"/>
      <c r="S19"/>
      <c r="T19"/>
      <c r="U19"/>
      <c r="V19"/>
      <c r="W19"/>
      <c r="X19"/>
      <c r="Y19" s="45"/>
      <c r="AC19" s="45"/>
    </row>
    <row r="20" spans="2:29" s="341" customFormat="1" ht="21.75" hidden="1" customHeight="1">
      <c r="B20" s="68">
        <v>46024</v>
      </c>
      <c r="C20" s="69" t="str">
        <f t="shared" si="0"/>
        <v>Janeiro</v>
      </c>
      <c r="D20" s="77" t="s">
        <v>302</v>
      </c>
      <c r="E20" s="72" t="s">
        <v>436</v>
      </c>
      <c r="F20" s="70" t="s">
        <v>138</v>
      </c>
      <c r="G20" s="71" t="s">
        <v>480</v>
      </c>
      <c r="H20" s="77" t="s">
        <v>484</v>
      </c>
      <c r="I20" s="71" t="s">
        <v>131</v>
      </c>
      <c r="J20" s="389" t="s">
        <v>749</v>
      </c>
      <c r="K20" s="71" t="s">
        <v>131</v>
      </c>
      <c r="L20" s="71" t="s">
        <v>197</v>
      </c>
      <c r="M20" s="71" t="s">
        <v>730</v>
      </c>
      <c r="N20" s="80" t="s">
        <v>135</v>
      </c>
      <c r="O20" s="295">
        <v>-100</v>
      </c>
      <c r="P20" s="296"/>
      <c r="Q20"/>
      <c r="R20"/>
      <c r="S20"/>
      <c r="T20"/>
      <c r="U20"/>
      <c r="V20"/>
      <c r="W20"/>
      <c r="X20"/>
      <c r="Y20" s="45"/>
      <c r="AC20" s="45"/>
    </row>
    <row r="21" spans="2:29" s="341" customFormat="1" ht="21.75" hidden="1" customHeight="1">
      <c r="B21" s="376">
        <v>46024</v>
      </c>
      <c r="C21" s="377" t="str">
        <f t="shared" si="0"/>
        <v>Janeiro</v>
      </c>
      <c r="D21" s="378" t="s">
        <v>383</v>
      </c>
      <c r="E21" s="379" t="s">
        <v>471</v>
      </c>
      <c r="F21" s="380" t="s">
        <v>131</v>
      </c>
      <c r="G21" s="342" t="s">
        <v>145</v>
      </c>
      <c r="H21" s="378" t="s">
        <v>865</v>
      </c>
      <c r="I21" s="342" t="s">
        <v>131</v>
      </c>
      <c r="J21" s="112" t="s">
        <v>131</v>
      </c>
      <c r="K21" s="343" t="s">
        <v>131</v>
      </c>
      <c r="L21" s="342" t="s">
        <v>485</v>
      </c>
      <c r="M21" s="342" t="s">
        <v>730</v>
      </c>
      <c r="N21" s="386" t="s">
        <v>144</v>
      </c>
      <c r="O21" s="295">
        <v>1878</v>
      </c>
      <c r="P21" s="296"/>
      <c r="Q21"/>
      <c r="R21"/>
      <c r="S21"/>
      <c r="T21"/>
      <c r="U21"/>
      <c r="V21"/>
      <c r="W21"/>
      <c r="X21"/>
      <c r="Y21" s="45"/>
      <c r="AC21" s="45"/>
    </row>
    <row r="22" spans="2:29" ht="21.75" hidden="1" customHeight="1">
      <c r="B22" s="68">
        <v>46027</v>
      </c>
      <c r="C22" s="69" t="str">
        <f t="shared" si="0"/>
        <v>Janeiro</v>
      </c>
      <c r="D22" s="77" t="s">
        <v>298</v>
      </c>
      <c r="E22" s="72" t="s">
        <v>513</v>
      </c>
      <c r="F22" s="70" t="s">
        <v>138</v>
      </c>
      <c r="G22" s="71" t="s">
        <v>140</v>
      </c>
      <c r="H22" s="77" t="s">
        <v>152</v>
      </c>
      <c r="I22" s="71" t="s">
        <v>131</v>
      </c>
      <c r="J22" s="176" t="s">
        <v>1155</v>
      </c>
      <c r="K22" s="76" t="s">
        <v>131</v>
      </c>
      <c r="L22" s="71" t="s">
        <v>137</v>
      </c>
      <c r="M22" s="71" t="s">
        <v>735</v>
      </c>
      <c r="N22" s="80" t="s">
        <v>135</v>
      </c>
      <c r="O22" s="295">
        <v>-4574</v>
      </c>
      <c r="P22" s="75"/>
      <c r="Z22" s="16"/>
      <c r="AA22" s="16"/>
      <c r="AB22" s="16"/>
    </row>
    <row r="23" spans="2:29" ht="21.75" hidden="1" customHeight="1">
      <c r="B23" s="68">
        <v>46027</v>
      </c>
      <c r="C23" s="69" t="str">
        <f t="shared" si="0"/>
        <v>Janeiro</v>
      </c>
      <c r="D23" s="77" t="s">
        <v>301</v>
      </c>
      <c r="E23" s="72" t="s">
        <v>526</v>
      </c>
      <c r="F23" s="70" t="s">
        <v>136</v>
      </c>
      <c r="G23" s="71" t="s">
        <v>548</v>
      </c>
      <c r="H23" s="77" t="s">
        <v>549</v>
      </c>
      <c r="I23" s="71" t="s">
        <v>131</v>
      </c>
      <c r="J23" s="393" t="s">
        <v>947</v>
      </c>
      <c r="K23" s="73" t="s">
        <v>131</v>
      </c>
      <c r="L23" s="71" t="s">
        <v>137</v>
      </c>
      <c r="M23" s="71" t="s">
        <v>735</v>
      </c>
      <c r="N23" s="80" t="s">
        <v>135</v>
      </c>
      <c r="O23" s="295">
        <v>-70</v>
      </c>
      <c r="P23" s="75"/>
      <c r="Z23" s="16"/>
      <c r="AA23" s="16"/>
      <c r="AB23" s="16"/>
    </row>
    <row r="24" spans="2:29" s="341" customFormat="1" ht="21.75" hidden="1" customHeight="1">
      <c r="B24" s="68">
        <v>46027</v>
      </c>
      <c r="C24" s="69" t="str">
        <f t="shared" si="0"/>
        <v>Janeiro</v>
      </c>
      <c r="D24" s="77" t="s">
        <v>300</v>
      </c>
      <c r="E24" s="72" t="s">
        <v>478</v>
      </c>
      <c r="F24" s="70" t="s">
        <v>136</v>
      </c>
      <c r="G24" s="71" t="s">
        <v>539</v>
      </c>
      <c r="H24" s="72" t="s">
        <v>758</v>
      </c>
      <c r="I24" s="71" t="s">
        <v>131</v>
      </c>
      <c r="J24" s="366" t="s">
        <v>759</v>
      </c>
      <c r="K24" s="73" t="s">
        <v>131</v>
      </c>
      <c r="L24" s="71" t="s">
        <v>137</v>
      </c>
      <c r="M24" s="71" t="s">
        <v>735</v>
      </c>
      <c r="N24" s="80" t="s">
        <v>135</v>
      </c>
      <c r="O24" s="295">
        <v>-258.29000000000002</v>
      </c>
      <c r="P24" s="296"/>
      <c r="Q24"/>
      <c r="R24"/>
      <c r="S24"/>
      <c r="T24"/>
      <c r="U24"/>
      <c r="V24"/>
      <c r="W24"/>
      <c r="X24"/>
      <c r="Y24" s="45"/>
      <c r="AC24" s="45"/>
    </row>
    <row r="25" spans="2:29" s="341" customFormat="1" ht="21.75" hidden="1" customHeight="1">
      <c r="B25" s="68">
        <v>46027</v>
      </c>
      <c r="C25" s="69" t="str">
        <f t="shared" si="0"/>
        <v>Janeiro</v>
      </c>
      <c r="D25" s="77" t="s">
        <v>299</v>
      </c>
      <c r="E25" s="72" t="s">
        <v>757</v>
      </c>
      <c r="F25" s="70" t="s">
        <v>138</v>
      </c>
      <c r="G25" s="19" t="s">
        <v>148</v>
      </c>
      <c r="H25" s="369" t="s">
        <v>177</v>
      </c>
      <c r="I25" s="71" t="s">
        <v>131</v>
      </c>
      <c r="J25" s="343" t="s">
        <v>208</v>
      </c>
      <c r="K25" s="19" t="s">
        <v>131</v>
      </c>
      <c r="L25" s="71" t="s">
        <v>134</v>
      </c>
      <c r="M25" s="71" t="s">
        <v>735</v>
      </c>
      <c r="N25" s="80" t="s">
        <v>135</v>
      </c>
      <c r="O25" s="295">
        <v>-4490.42</v>
      </c>
      <c r="P25" s="296"/>
      <c r="Q25"/>
      <c r="R25"/>
      <c r="S25"/>
      <c r="T25"/>
      <c r="U25"/>
      <c r="V25"/>
      <c r="W25"/>
      <c r="X25"/>
      <c r="Y25" s="45"/>
      <c r="AC25" s="45"/>
    </row>
    <row r="26" spans="2:29" s="341" customFormat="1" ht="21.75" hidden="1" customHeight="1">
      <c r="B26" s="68">
        <v>46027</v>
      </c>
      <c r="C26" s="69" t="str">
        <f t="shared" si="0"/>
        <v>Janeiro</v>
      </c>
      <c r="D26" s="77" t="s">
        <v>509</v>
      </c>
      <c r="E26" s="72" t="s">
        <v>500</v>
      </c>
      <c r="F26" s="70" t="s">
        <v>131</v>
      </c>
      <c r="G26" s="71" t="s">
        <v>132</v>
      </c>
      <c r="H26" s="77" t="s">
        <v>133</v>
      </c>
      <c r="I26" s="71" t="s">
        <v>131</v>
      </c>
      <c r="J26" s="343" t="s">
        <v>749</v>
      </c>
      <c r="K26" s="71" t="s">
        <v>131</v>
      </c>
      <c r="L26" s="71" t="s">
        <v>134</v>
      </c>
      <c r="M26" s="71" t="s">
        <v>735</v>
      </c>
      <c r="N26" s="80" t="s">
        <v>265</v>
      </c>
      <c r="O26" s="295">
        <v>-18359.129999999997</v>
      </c>
      <c r="P26" s="296"/>
      <c r="Q26"/>
      <c r="R26"/>
      <c r="S26"/>
      <c r="T26"/>
      <c r="U26"/>
      <c r="V26"/>
      <c r="W26"/>
      <c r="X26"/>
      <c r="Y26" s="45"/>
      <c r="AC26" s="45"/>
    </row>
    <row r="27" spans="2:29" s="341" customFormat="1" ht="21.75" hidden="1" customHeight="1">
      <c r="B27" s="68">
        <v>46027</v>
      </c>
      <c r="C27" s="69" t="str">
        <f t="shared" si="0"/>
        <v>Janeiro</v>
      </c>
      <c r="D27" s="77" t="s">
        <v>386</v>
      </c>
      <c r="E27" s="72" t="s">
        <v>468</v>
      </c>
      <c r="F27" s="70" t="s">
        <v>131</v>
      </c>
      <c r="G27" s="71" t="s">
        <v>480</v>
      </c>
      <c r="H27" s="72" t="s">
        <v>511</v>
      </c>
      <c r="I27" s="71" t="s">
        <v>131</v>
      </c>
      <c r="J27" s="112" t="s">
        <v>131</v>
      </c>
      <c r="K27" s="73" t="s">
        <v>131</v>
      </c>
      <c r="L27" s="71" t="s">
        <v>131</v>
      </c>
      <c r="M27" s="71" t="s">
        <v>729</v>
      </c>
      <c r="N27" s="80" t="s">
        <v>586</v>
      </c>
      <c r="O27" s="390">
        <v>13000</v>
      </c>
      <c r="P27" s="296"/>
      <c r="Q27"/>
      <c r="R27"/>
      <c r="S27"/>
      <c r="T27"/>
      <c r="U27"/>
      <c r="V27"/>
      <c r="W27"/>
      <c r="X27"/>
      <c r="Y27" s="45"/>
      <c r="AC27" s="45"/>
    </row>
    <row r="28" spans="2:29" s="341" customFormat="1" ht="21.75" hidden="1" customHeight="1">
      <c r="B28" s="68">
        <v>46027</v>
      </c>
      <c r="C28" s="69" t="str">
        <f t="shared" si="0"/>
        <v>Janeiro</v>
      </c>
      <c r="D28" s="77" t="s">
        <v>302</v>
      </c>
      <c r="E28" s="72" t="s">
        <v>436</v>
      </c>
      <c r="F28" s="70" t="s">
        <v>138</v>
      </c>
      <c r="G28" s="71" t="s">
        <v>480</v>
      </c>
      <c r="H28" s="72" t="s">
        <v>482</v>
      </c>
      <c r="I28" s="71" t="s">
        <v>131</v>
      </c>
      <c r="J28" s="389" t="s">
        <v>749</v>
      </c>
      <c r="K28" s="73" t="s">
        <v>131</v>
      </c>
      <c r="L28" s="71" t="s">
        <v>197</v>
      </c>
      <c r="M28" s="71" t="s">
        <v>729</v>
      </c>
      <c r="N28" s="80" t="s">
        <v>135</v>
      </c>
      <c r="O28" s="295">
        <v>-58.9</v>
      </c>
      <c r="P28" s="296"/>
      <c r="Q28"/>
      <c r="R28"/>
      <c r="S28"/>
      <c r="T28"/>
      <c r="U28"/>
      <c r="V28"/>
      <c r="W28"/>
      <c r="X28"/>
      <c r="Y28" s="45"/>
      <c r="AC28" s="45"/>
    </row>
    <row r="29" spans="2:29" s="341" customFormat="1" ht="21.75" hidden="1" customHeight="1">
      <c r="B29" s="68">
        <v>46027</v>
      </c>
      <c r="C29" s="69" t="str">
        <f t="shared" si="0"/>
        <v>Janeiro</v>
      </c>
      <c r="D29" s="77" t="s">
        <v>508</v>
      </c>
      <c r="E29" s="72" t="s">
        <v>497</v>
      </c>
      <c r="F29" s="70" t="s">
        <v>534</v>
      </c>
      <c r="G29" s="71" t="s">
        <v>684</v>
      </c>
      <c r="H29" s="77" t="s">
        <v>685</v>
      </c>
      <c r="I29" s="71" t="s">
        <v>595</v>
      </c>
      <c r="J29" s="393" t="s">
        <v>850</v>
      </c>
      <c r="K29" s="71" t="s">
        <v>206</v>
      </c>
      <c r="L29" s="71" t="s">
        <v>134</v>
      </c>
      <c r="M29" s="71" t="s">
        <v>729</v>
      </c>
      <c r="N29" s="80" t="s">
        <v>135</v>
      </c>
      <c r="O29" s="295">
        <v>-3700</v>
      </c>
      <c r="P29" s="296"/>
      <c r="Q29"/>
      <c r="R29"/>
      <c r="S29"/>
      <c r="T29"/>
      <c r="U29"/>
      <c r="V29"/>
      <c r="W29"/>
      <c r="X29"/>
      <c r="Y29" s="45"/>
      <c r="AC29" s="45"/>
    </row>
    <row r="30" spans="2:29" ht="21.75" hidden="1" customHeight="1">
      <c r="B30" s="68">
        <v>46027</v>
      </c>
      <c r="C30" s="69" t="str">
        <f t="shared" si="0"/>
        <v>Janeiro</v>
      </c>
      <c r="D30" s="77" t="s">
        <v>508</v>
      </c>
      <c r="E30" s="72" t="s">
        <v>497</v>
      </c>
      <c r="F30" s="70" t="s">
        <v>534</v>
      </c>
      <c r="G30" s="71" t="s">
        <v>567</v>
      </c>
      <c r="H30" s="77" t="s">
        <v>693</v>
      </c>
      <c r="I30" s="71" t="s">
        <v>595</v>
      </c>
      <c r="J30" s="112" t="s">
        <v>752</v>
      </c>
      <c r="K30" s="71" t="s">
        <v>272</v>
      </c>
      <c r="L30" s="71" t="s">
        <v>137</v>
      </c>
      <c r="M30" s="71" t="s">
        <v>730</v>
      </c>
      <c r="N30" s="80" t="s">
        <v>135</v>
      </c>
      <c r="O30" s="295">
        <v>-961.93</v>
      </c>
      <c r="P30" s="75"/>
      <c r="Z30" s="16"/>
      <c r="AA30" s="16"/>
      <c r="AB30" s="16"/>
    </row>
    <row r="31" spans="2:29" ht="21.75" hidden="1" customHeight="1">
      <c r="B31" s="68">
        <v>46027</v>
      </c>
      <c r="C31" s="69" t="str">
        <f t="shared" si="0"/>
        <v>Janeiro</v>
      </c>
      <c r="D31" s="77" t="s">
        <v>508</v>
      </c>
      <c r="E31" s="72" t="s">
        <v>497</v>
      </c>
      <c r="F31" s="70" t="s">
        <v>534</v>
      </c>
      <c r="G31" s="71" t="s">
        <v>753</v>
      </c>
      <c r="H31" s="77" t="s">
        <v>754</v>
      </c>
      <c r="I31" s="71" t="s">
        <v>595</v>
      </c>
      <c r="J31" s="342" t="s">
        <v>755</v>
      </c>
      <c r="K31" s="71" t="s">
        <v>285</v>
      </c>
      <c r="L31" s="71" t="s">
        <v>137</v>
      </c>
      <c r="M31" s="71" t="s">
        <v>730</v>
      </c>
      <c r="N31" s="80" t="s">
        <v>135</v>
      </c>
      <c r="O31" s="390">
        <v>-1921.9</v>
      </c>
      <c r="P31" s="75"/>
      <c r="Z31" s="16"/>
      <c r="AA31" s="16"/>
      <c r="AB31" s="16"/>
    </row>
    <row r="32" spans="2:29" ht="21.75" hidden="1" customHeight="1">
      <c r="B32" s="68">
        <v>46027</v>
      </c>
      <c r="C32" s="69" t="str">
        <f t="shared" si="0"/>
        <v>Janeiro</v>
      </c>
      <c r="D32" s="77" t="s">
        <v>508</v>
      </c>
      <c r="E32" s="72" t="s">
        <v>497</v>
      </c>
      <c r="F32" s="70" t="s">
        <v>534</v>
      </c>
      <c r="G32" s="71" t="s">
        <v>520</v>
      </c>
      <c r="H32" s="77" t="s">
        <v>638</v>
      </c>
      <c r="I32" s="342" t="s">
        <v>858</v>
      </c>
      <c r="J32" s="389" t="s">
        <v>756</v>
      </c>
      <c r="K32" s="71" t="s">
        <v>131</v>
      </c>
      <c r="L32" s="71" t="s">
        <v>137</v>
      </c>
      <c r="M32" s="71" t="s">
        <v>730</v>
      </c>
      <c r="N32" s="80" t="s">
        <v>135</v>
      </c>
      <c r="O32" s="295">
        <v>-8797.94</v>
      </c>
      <c r="P32" s="75"/>
      <c r="Z32" s="16"/>
      <c r="AA32" s="16"/>
      <c r="AB32" s="16"/>
    </row>
    <row r="33" spans="2:29" s="341" customFormat="1" ht="21.75" hidden="1" customHeight="1">
      <c r="B33" s="376">
        <v>46027</v>
      </c>
      <c r="C33" s="377" t="str">
        <f t="shared" si="0"/>
        <v>Janeiro</v>
      </c>
      <c r="D33" s="378" t="s">
        <v>508</v>
      </c>
      <c r="E33" s="379" t="s">
        <v>497</v>
      </c>
      <c r="F33" s="380" t="s">
        <v>534</v>
      </c>
      <c r="G33" s="19" t="s">
        <v>853</v>
      </c>
      <c r="H33" s="369" t="s">
        <v>854</v>
      </c>
      <c r="I33" s="342" t="s">
        <v>595</v>
      </c>
      <c r="J33" s="112" t="s">
        <v>855</v>
      </c>
      <c r="K33" s="112" t="s">
        <v>131</v>
      </c>
      <c r="L33" s="342" t="s">
        <v>137</v>
      </c>
      <c r="M33" s="71" t="s">
        <v>730</v>
      </c>
      <c r="N33" s="80" t="s">
        <v>135</v>
      </c>
      <c r="O33" s="295">
        <v>-603.22</v>
      </c>
      <c r="P33" s="296"/>
      <c r="Q33"/>
      <c r="R33"/>
      <c r="S33"/>
      <c r="T33"/>
      <c r="U33"/>
      <c r="V33"/>
      <c r="W33"/>
      <c r="X33"/>
      <c r="Y33" s="45"/>
      <c r="AC33" s="45"/>
    </row>
    <row r="34" spans="2:29" s="341" customFormat="1" ht="21.75" hidden="1" customHeight="1">
      <c r="B34" s="68">
        <v>46028</v>
      </c>
      <c r="C34" s="69" t="str">
        <f t="shared" si="0"/>
        <v>Janeiro</v>
      </c>
      <c r="D34" s="77" t="s">
        <v>386</v>
      </c>
      <c r="E34" s="72" t="s">
        <v>468</v>
      </c>
      <c r="F34" s="70" t="s">
        <v>131</v>
      </c>
      <c r="G34" s="71" t="s">
        <v>480</v>
      </c>
      <c r="H34" s="77" t="s">
        <v>511</v>
      </c>
      <c r="I34" s="71" t="s">
        <v>131</v>
      </c>
      <c r="J34" s="112" t="s">
        <v>131</v>
      </c>
      <c r="K34" s="71" t="s">
        <v>131</v>
      </c>
      <c r="L34" s="71" t="s">
        <v>131</v>
      </c>
      <c r="M34" s="71" t="s">
        <v>729</v>
      </c>
      <c r="N34" s="80" t="s">
        <v>586</v>
      </c>
      <c r="O34" s="295">
        <v>3765.33</v>
      </c>
      <c r="P34" s="296"/>
      <c r="Q34"/>
      <c r="R34"/>
      <c r="S34"/>
      <c r="T34"/>
      <c r="U34"/>
      <c r="V34"/>
      <c r="W34"/>
      <c r="X34"/>
      <c r="Y34" s="45"/>
      <c r="AC34" s="45"/>
    </row>
    <row r="35" spans="2:29" s="341" customFormat="1" ht="21.75" hidden="1" customHeight="1">
      <c r="B35" s="68">
        <v>46028</v>
      </c>
      <c r="C35" s="69" t="str">
        <f t="shared" si="0"/>
        <v>Janeiro</v>
      </c>
      <c r="D35" s="77" t="s">
        <v>508</v>
      </c>
      <c r="E35" s="72" t="s">
        <v>497</v>
      </c>
      <c r="F35" s="70" t="s">
        <v>534</v>
      </c>
      <c r="G35" s="71" t="s">
        <v>686</v>
      </c>
      <c r="H35" s="77" t="s">
        <v>687</v>
      </c>
      <c r="I35" s="71" t="s">
        <v>595</v>
      </c>
      <c r="J35" s="175" t="s">
        <v>209</v>
      </c>
      <c r="K35" s="71" t="s">
        <v>206</v>
      </c>
      <c r="L35" s="71" t="s">
        <v>137</v>
      </c>
      <c r="M35" s="71" t="s">
        <v>729</v>
      </c>
      <c r="N35" s="80" t="s">
        <v>135</v>
      </c>
      <c r="O35" s="390">
        <v>-13000</v>
      </c>
      <c r="P35" s="296"/>
      <c r="Q35"/>
      <c r="R35"/>
      <c r="S35"/>
      <c r="T35"/>
      <c r="U35"/>
      <c r="V35"/>
      <c r="W35"/>
      <c r="X35"/>
      <c r="Y35" s="45"/>
      <c r="AC35" s="45"/>
    </row>
    <row r="36" spans="2:29" s="341" customFormat="1" ht="21.75" hidden="1" customHeight="1">
      <c r="B36" s="68">
        <v>46030</v>
      </c>
      <c r="C36" s="69" t="str">
        <f t="shared" si="0"/>
        <v>Janeiro</v>
      </c>
      <c r="D36" s="77" t="s">
        <v>509</v>
      </c>
      <c r="E36" s="72" t="s">
        <v>500</v>
      </c>
      <c r="F36" s="70" t="s">
        <v>131</v>
      </c>
      <c r="G36" s="71" t="s">
        <v>132</v>
      </c>
      <c r="H36" s="77" t="s">
        <v>133</v>
      </c>
      <c r="I36" s="71" t="s">
        <v>131</v>
      </c>
      <c r="J36" s="343" t="s">
        <v>749</v>
      </c>
      <c r="K36" s="71" t="s">
        <v>131</v>
      </c>
      <c r="L36" s="71" t="s">
        <v>134</v>
      </c>
      <c r="M36" s="71" t="s">
        <v>735</v>
      </c>
      <c r="N36" s="80" t="s">
        <v>265</v>
      </c>
      <c r="O36" s="295">
        <v>-2102.1799999999998</v>
      </c>
      <c r="P36" s="296"/>
      <c r="Q36"/>
      <c r="R36"/>
      <c r="S36"/>
      <c r="T36"/>
      <c r="U36"/>
      <c r="V36"/>
      <c r="W36"/>
      <c r="X36"/>
      <c r="Y36" s="45"/>
      <c r="AC36" s="45"/>
    </row>
    <row r="37" spans="2:29" s="341" customFormat="1" ht="21.75" hidden="1" customHeight="1">
      <c r="B37" s="376">
        <v>46030</v>
      </c>
      <c r="C37" s="377" t="str">
        <f t="shared" si="0"/>
        <v>Janeiro</v>
      </c>
      <c r="D37" s="378" t="s">
        <v>300</v>
      </c>
      <c r="E37" s="379" t="s">
        <v>438</v>
      </c>
      <c r="F37" s="380" t="s">
        <v>136</v>
      </c>
      <c r="G37" s="342" t="s">
        <v>954</v>
      </c>
      <c r="H37" s="378" t="s">
        <v>955</v>
      </c>
      <c r="I37" s="342" t="s">
        <v>131</v>
      </c>
      <c r="J37" s="343" t="s">
        <v>956</v>
      </c>
      <c r="K37" s="384" t="s">
        <v>131</v>
      </c>
      <c r="L37" s="342" t="s">
        <v>134</v>
      </c>
      <c r="M37" s="342" t="s">
        <v>735</v>
      </c>
      <c r="N37" s="381" t="s">
        <v>135</v>
      </c>
      <c r="O37" s="295">
        <v>-740</v>
      </c>
      <c r="P37" s="296"/>
      <c r="Q37"/>
      <c r="R37"/>
      <c r="S37"/>
      <c r="T37"/>
      <c r="U37"/>
      <c r="V37"/>
      <c r="W37"/>
      <c r="X37"/>
      <c r="Y37" s="45"/>
      <c r="AC37" s="45"/>
    </row>
    <row r="38" spans="2:29" s="341" customFormat="1" ht="21.75" hidden="1" customHeight="1">
      <c r="B38" s="376">
        <v>46030</v>
      </c>
      <c r="C38" s="377" t="str">
        <f t="shared" si="0"/>
        <v>Janeiro</v>
      </c>
      <c r="D38" s="378" t="s">
        <v>301</v>
      </c>
      <c r="E38" s="379" t="s">
        <v>414</v>
      </c>
      <c r="F38" s="380" t="s">
        <v>136</v>
      </c>
      <c r="G38" s="342" t="s">
        <v>954</v>
      </c>
      <c r="H38" s="378" t="s">
        <v>957</v>
      </c>
      <c r="I38" s="342" t="s">
        <v>131</v>
      </c>
      <c r="J38" s="343" t="s">
        <v>958</v>
      </c>
      <c r="K38" s="342" t="s">
        <v>131</v>
      </c>
      <c r="L38" s="342" t="s">
        <v>134</v>
      </c>
      <c r="M38" s="342" t="s">
        <v>735</v>
      </c>
      <c r="N38" s="381" t="s">
        <v>135</v>
      </c>
      <c r="O38" s="295">
        <v>-450</v>
      </c>
      <c r="P38" s="296"/>
      <c r="Q38"/>
      <c r="R38"/>
      <c r="S38"/>
      <c r="T38"/>
      <c r="U38"/>
      <c r="V38"/>
      <c r="W38"/>
      <c r="X38"/>
      <c r="Y38" s="45"/>
      <c r="AC38" s="45"/>
    </row>
    <row r="39" spans="2:29" s="341" customFormat="1" ht="21.75" hidden="1" customHeight="1">
      <c r="B39" s="68">
        <v>46030</v>
      </c>
      <c r="C39" s="69" t="str">
        <f t="shared" si="0"/>
        <v>Janeiro</v>
      </c>
      <c r="D39" s="77" t="s">
        <v>386</v>
      </c>
      <c r="E39" s="72" t="s">
        <v>468</v>
      </c>
      <c r="F39" s="70" t="s">
        <v>131</v>
      </c>
      <c r="G39" s="71" t="s">
        <v>480</v>
      </c>
      <c r="H39" s="72" t="s">
        <v>511</v>
      </c>
      <c r="I39" s="71" t="s">
        <v>131</v>
      </c>
      <c r="J39" s="112" t="s">
        <v>131</v>
      </c>
      <c r="K39" s="73" t="s">
        <v>131</v>
      </c>
      <c r="L39" s="71" t="s">
        <v>131</v>
      </c>
      <c r="M39" s="71" t="s">
        <v>729</v>
      </c>
      <c r="N39" s="80" t="s">
        <v>586</v>
      </c>
      <c r="O39" s="295">
        <v>1797</v>
      </c>
      <c r="P39" s="296"/>
      <c r="Q39"/>
      <c r="R39"/>
      <c r="S39"/>
      <c r="T39"/>
      <c r="U39"/>
      <c r="V39"/>
      <c r="W39"/>
      <c r="X39"/>
      <c r="Y39" s="45"/>
      <c r="AC39" s="45"/>
    </row>
    <row r="40" spans="2:29" s="465" customFormat="1" ht="21.75" hidden="1" customHeight="1">
      <c r="B40" s="68">
        <v>46030</v>
      </c>
      <c r="C40" s="69" t="str">
        <f t="shared" si="0"/>
        <v>Janeiro</v>
      </c>
      <c r="D40" s="77" t="s">
        <v>508</v>
      </c>
      <c r="E40" s="72" t="s">
        <v>497</v>
      </c>
      <c r="F40" s="70" t="s">
        <v>534</v>
      </c>
      <c r="G40" s="71" t="s">
        <v>567</v>
      </c>
      <c r="H40" s="77" t="s">
        <v>693</v>
      </c>
      <c r="I40" s="71" t="s">
        <v>595</v>
      </c>
      <c r="J40" s="112" t="s">
        <v>692</v>
      </c>
      <c r="K40" s="71" t="s">
        <v>273</v>
      </c>
      <c r="L40" s="71" t="s">
        <v>137</v>
      </c>
      <c r="M40" s="71" t="s">
        <v>729</v>
      </c>
      <c r="N40" s="80" t="s">
        <v>135</v>
      </c>
      <c r="O40" s="295">
        <v>-3765.33</v>
      </c>
      <c r="P40" s="296"/>
      <c r="Y40" s="45"/>
      <c r="AC40" s="45"/>
    </row>
    <row r="41" spans="2:29" s="465" customFormat="1" ht="21.75" hidden="1" customHeight="1">
      <c r="B41" s="68">
        <v>46030</v>
      </c>
      <c r="C41" s="69" t="str">
        <f t="shared" si="0"/>
        <v>Janeiro</v>
      </c>
      <c r="D41" s="77" t="s">
        <v>508</v>
      </c>
      <c r="E41" s="72" t="s">
        <v>497</v>
      </c>
      <c r="F41" s="70" t="s">
        <v>534</v>
      </c>
      <c r="G41" s="71" t="s">
        <v>702</v>
      </c>
      <c r="H41" s="77" t="s">
        <v>703</v>
      </c>
      <c r="I41" s="71" t="s">
        <v>595</v>
      </c>
      <c r="J41" s="366" t="s">
        <v>717</v>
      </c>
      <c r="K41" s="78" t="s">
        <v>273</v>
      </c>
      <c r="L41" s="71" t="s">
        <v>137</v>
      </c>
      <c r="M41" s="71" t="s">
        <v>729</v>
      </c>
      <c r="N41" s="80" t="s">
        <v>135</v>
      </c>
      <c r="O41" s="295">
        <v>-1797</v>
      </c>
      <c r="P41" s="296"/>
      <c r="Y41" s="45"/>
      <c r="AC41" s="45"/>
    </row>
    <row r="42" spans="2:29" s="465" customFormat="1" ht="21.75" hidden="1" customHeight="1">
      <c r="B42" s="68">
        <v>46030</v>
      </c>
      <c r="C42" s="69" t="str">
        <f t="shared" si="0"/>
        <v>Janeiro</v>
      </c>
      <c r="D42" s="77" t="s">
        <v>302</v>
      </c>
      <c r="E42" s="72" t="s">
        <v>436</v>
      </c>
      <c r="F42" s="70" t="s">
        <v>138</v>
      </c>
      <c r="G42" s="19" t="s">
        <v>480</v>
      </c>
      <c r="H42" s="369" t="s">
        <v>483</v>
      </c>
      <c r="I42" s="71" t="s">
        <v>131</v>
      </c>
      <c r="J42" s="343" t="s">
        <v>749</v>
      </c>
      <c r="K42" s="19" t="s">
        <v>131</v>
      </c>
      <c r="L42" s="71" t="s">
        <v>197</v>
      </c>
      <c r="M42" s="71" t="s">
        <v>729</v>
      </c>
      <c r="N42" s="80" t="s">
        <v>135</v>
      </c>
      <c r="O42" s="295">
        <v>-10</v>
      </c>
      <c r="P42" s="296"/>
      <c r="Y42" s="45"/>
      <c r="AC42" s="45"/>
    </row>
    <row r="43" spans="2:29" s="465" customFormat="1" ht="21.75" hidden="1" customHeight="1">
      <c r="B43" s="68">
        <v>46030</v>
      </c>
      <c r="C43" s="69" t="str">
        <f t="shared" si="0"/>
        <v>Janeiro</v>
      </c>
      <c r="D43" s="77" t="s">
        <v>386</v>
      </c>
      <c r="E43" s="72" t="s">
        <v>468</v>
      </c>
      <c r="F43" s="70" t="s">
        <v>131</v>
      </c>
      <c r="G43" s="19" t="s">
        <v>480</v>
      </c>
      <c r="H43" s="72" t="s">
        <v>1008</v>
      </c>
      <c r="I43" s="71" t="s">
        <v>131</v>
      </c>
      <c r="J43" s="112" t="s">
        <v>131</v>
      </c>
      <c r="K43" s="112" t="s">
        <v>131</v>
      </c>
      <c r="L43" s="71" t="s">
        <v>131</v>
      </c>
      <c r="M43" s="71" t="s">
        <v>730</v>
      </c>
      <c r="N43" s="80" t="s">
        <v>586</v>
      </c>
      <c r="O43" s="295">
        <f>7593.33+1166.77</f>
        <v>8760.1</v>
      </c>
      <c r="P43" s="296"/>
      <c r="Y43" s="45"/>
      <c r="AC43" s="45"/>
    </row>
    <row r="44" spans="2:29" s="465" customFormat="1" ht="21.75" hidden="1" customHeight="1">
      <c r="B44" s="376">
        <v>46030</v>
      </c>
      <c r="C44" s="377" t="str">
        <f t="shared" si="0"/>
        <v>Janeiro</v>
      </c>
      <c r="D44" s="378" t="s">
        <v>508</v>
      </c>
      <c r="E44" s="379" t="s">
        <v>497</v>
      </c>
      <c r="F44" s="380" t="s">
        <v>534</v>
      </c>
      <c r="G44" s="342" t="s">
        <v>962</v>
      </c>
      <c r="H44" s="369" t="s">
        <v>854</v>
      </c>
      <c r="I44" s="342" t="s">
        <v>595</v>
      </c>
      <c r="J44" s="389" t="s">
        <v>1009</v>
      </c>
      <c r="K44" s="342" t="s">
        <v>131</v>
      </c>
      <c r="L44" s="342" t="s">
        <v>134</v>
      </c>
      <c r="M44" s="71" t="s">
        <v>730</v>
      </c>
      <c r="N44" s="381" t="s">
        <v>135</v>
      </c>
      <c r="O44" s="295">
        <v>-1166.77</v>
      </c>
      <c r="P44" s="296"/>
      <c r="Y44" s="45"/>
      <c r="AC44" s="45"/>
    </row>
    <row r="45" spans="2:29" s="341" customFormat="1" ht="21.75" hidden="1" customHeight="1">
      <c r="B45" s="68">
        <v>46031</v>
      </c>
      <c r="C45" s="69" t="str">
        <f t="shared" si="0"/>
        <v>Janeiro</v>
      </c>
      <c r="D45" s="77" t="s">
        <v>300</v>
      </c>
      <c r="E45" s="72" t="s">
        <v>478</v>
      </c>
      <c r="F45" s="70" t="s">
        <v>136</v>
      </c>
      <c r="G45" s="19" t="s">
        <v>184</v>
      </c>
      <c r="H45" s="369" t="s">
        <v>690</v>
      </c>
      <c r="I45" s="71" t="s">
        <v>131</v>
      </c>
      <c r="J45" s="389" t="s">
        <v>691</v>
      </c>
      <c r="K45" s="19" t="s">
        <v>206</v>
      </c>
      <c r="L45" s="71" t="s">
        <v>137</v>
      </c>
      <c r="M45" s="71" t="s">
        <v>735</v>
      </c>
      <c r="N45" s="80" t="s">
        <v>135</v>
      </c>
      <c r="O45" s="295">
        <v>-1695</v>
      </c>
      <c r="P45" s="296"/>
      <c r="Q45" s="92"/>
      <c r="R45"/>
      <c r="S45"/>
      <c r="T45"/>
      <c r="U45"/>
      <c r="V45"/>
      <c r="W45"/>
      <c r="X45"/>
      <c r="Y45" s="45"/>
      <c r="AC45" s="45"/>
    </row>
    <row r="46" spans="2:29" ht="21.75" hidden="1" customHeight="1">
      <c r="B46" s="68">
        <v>46031</v>
      </c>
      <c r="C46" s="69" t="str">
        <f t="shared" si="0"/>
        <v>Janeiro</v>
      </c>
      <c r="D46" s="77" t="s">
        <v>508</v>
      </c>
      <c r="E46" s="72" t="s">
        <v>497</v>
      </c>
      <c r="F46" s="70" t="s">
        <v>534</v>
      </c>
      <c r="G46" s="19" t="s">
        <v>199</v>
      </c>
      <c r="H46" s="369" t="s">
        <v>603</v>
      </c>
      <c r="I46" s="71" t="s">
        <v>634</v>
      </c>
      <c r="J46" s="176" t="s">
        <v>726</v>
      </c>
      <c r="K46" s="112" t="s">
        <v>131</v>
      </c>
      <c r="L46" s="71" t="s">
        <v>150</v>
      </c>
      <c r="M46" s="71" t="s">
        <v>735</v>
      </c>
      <c r="N46" s="80" t="s">
        <v>135</v>
      </c>
      <c r="O46" s="295">
        <v>-5952.38</v>
      </c>
      <c r="P46" s="75"/>
      <c r="Z46" s="16"/>
      <c r="AA46" s="16"/>
      <c r="AB46" s="16"/>
    </row>
    <row r="47" spans="2:29" ht="21.75" hidden="1" customHeight="1">
      <c r="B47" s="68">
        <v>46031</v>
      </c>
      <c r="C47" s="69" t="str">
        <f t="shared" si="0"/>
        <v>Janeiro</v>
      </c>
      <c r="D47" s="77" t="s">
        <v>508</v>
      </c>
      <c r="E47" s="72" t="s">
        <v>497</v>
      </c>
      <c r="F47" s="70" t="s">
        <v>534</v>
      </c>
      <c r="G47" s="19" t="s">
        <v>199</v>
      </c>
      <c r="H47" s="369" t="s">
        <v>603</v>
      </c>
      <c r="I47" s="71" t="s">
        <v>595</v>
      </c>
      <c r="J47" s="372" t="s">
        <v>899</v>
      </c>
      <c r="K47" s="112" t="s">
        <v>131</v>
      </c>
      <c r="L47" s="71" t="s">
        <v>150</v>
      </c>
      <c r="M47" s="71" t="s">
        <v>735</v>
      </c>
      <c r="N47" s="80" t="s">
        <v>135</v>
      </c>
      <c r="O47" s="295">
        <f>-85.63-7.57</f>
        <v>-93.199999999999989</v>
      </c>
      <c r="P47" s="75"/>
      <c r="Z47" s="16"/>
      <c r="AA47" s="16"/>
      <c r="AB47" s="16"/>
    </row>
    <row r="48" spans="2:29" s="465" customFormat="1" ht="21.75" hidden="1" customHeight="1">
      <c r="B48" s="68">
        <v>46031</v>
      </c>
      <c r="C48" s="69" t="str">
        <f t="shared" si="0"/>
        <v>Janeiro</v>
      </c>
      <c r="D48" s="77" t="s">
        <v>508</v>
      </c>
      <c r="E48" s="72" t="s">
        <v>497</v>
      </c>
      <c r="F48" s="70" t="s">
        <v>534</v>
      </c>
      <c r="G48" s="19" t="s">
        <v>199</v>
      </c>
      <c r="H48" s="369" t="s">
        <v>603</v>
      </c>
      <c r="I48" s="71" t="s">
        <v>763</v>
      </c>
      <c r="J48" s="176" t="s">
        <v>867</v>
      </c>
      <c r="K48" s="112" t="s">
        <v>131</v>
      </c>
      <c r="L48" s="71" t="s">
        <v>150</v>
      </c>
      <c r="M48" s="71" t="s">
        <v>735</v>
      </c>
      <c r="N48" s="80" t="s">
        <v>135</v>
      </c>
      <c r="O48" s="295">
        <v>-1555.32</v>
      </c>
      <c r="P48" s="296"/>
      <c r="Y48" s="45"/>
      <c r="AC48" s="45"/>
    </row>
    <row r="49" spans="2:29" ht="21.75" hidden="1" customHeight="1">
      <c r="B49" s="68">
        <v>46031</v>
      </c>
      <c r="C49" s="69" t="str">
        <f t="shared" si="0"/>
        <v>Janeiro</v>
      </c>
      <c r="D49" s="77" t="s">
        <v>386</v>
      </c>
      <c r="E49" s="72" t="s">
        <v>468</v>
      </c>
      <c r="F49" s="70" t="s">
        <v>131</v>
      </c>
      <c r="G49" s="19" t="s">
        <v>480</v>
      </c>
      <c r="H49" s="369" t="s">
        <v>511</v>
      </c>
      <c r="I49" s="71" t="s">
        <v>131</v>
      </c>
      <c r="J49" s="112" t="s">
        <v>131</v>
      </c>
      <c r="K49" s="112" t="s">
        <v>131</v>
      </c>
      <c r="L49" s="71" t="s">
        <v>131</v>
      </c>
      <c r="M49" s="71" t="s">
        <v>729</v>
      </c>
      <c r="N49" s="80" t="s">
        <v>586</v>
      </c>
      <c r="O49" s="295">
        <v>9800</v>
      </c>
      <c r="P49" s="75"/>
      <c r="Z49" s="16"/>
      <c r="AA49" s="16"/>
      <c r="AB49" s="16"/>
    </row>
    <row r="50" spans="2:29" ht="21.75" hidden="1" customHeight="1">
      <c r="B50" s="68">
        <v>46031</v>
      </c>
      <c r="C50" s="69" t="str">
        <f t="shared" si="0"/>
        <v>Janeiro</v>
      </c>
      <c r="D50" s="77" t="s">
        <v>386</v>
      </c>
      <c r="E50" s="72" t="s">
        <v>468</v>
      </c>
      <c r="F50" s="70" t="s">
        <v>131</v>
      </c>
      <c r="G50" s="71" t="s">
        <v>480</v>
      </c>
      <c r="H50" s="72" t="s">
        <v>1008</v>
      </c>
      <c r="I50" s="71" t="s">
        <v>131</v>
      </c>
      <c r="J50" s="112" t="s">
        <v>131</v>
      </c>
      <c r="K50" s="71" t="s">
        <v>131</v>
      </c>
      <c r="L50" s="71" t="s">
        <v>131</v>
      </c>
      <c r="M50" s="71" t="s">
        <v>730</v>
      </c>
      <c r="N50" s="80" t="s">
        <v>586</v>
      </c>
      <c r="O50" s="295">
        <v>129</v>
      </c>
      <c r="P50" s="75"/>
      <c r="Z50" s="16"/>
      <c r="AA50" s="16"/>
      <c r="AB50" s="16"/>
    </row>
    <row r="51" spans="2:29" ht="21.75" hidden="1" customHeight="1">
      <c r="B51" s="68">
        <v>46031</v>
      </c>
      <c r="C51" s="69" t="str">
        <f t="shared" si="0"/>
        <v>Janeiro</v>
      </c>
      <c r="D51" s="77" t="s">
        <v>508</v>
      </c>
      <c r="E51" s="72" t="s">
        <v>497</v>
      </c>
      <c r="F51" s="70" t="s">
        <v>534</v>
      </c>
      <c r="G51" s="71" t="s">
        <v>567</v>
      </c>
      <c r="H51" s="77" t="s">
        <v>693</v>
      </c>
      <c r="I51" s="71" t="s">
        <v>595</v>
      </c>
      <c r="J51" s="112" t="s">
        <v>877</v>
      </c>
      <c r="K51" s="71" t="s">
        <v>272</v>
      </c>
      <c r="L51" s="71" t="s">
        <v>137</v>
      </c>
      <c r="M51" s="71" t="s">
        <v>730</v>
      </c>
      <c r="N51" s="80" t="s">
        <v>135</v>
      </c>
      <c r="O51" s="295">
        <v>-391.66</v>
      </c>
      <c r="P51" s="75"/>
      <c r="Z51" s="16"/>
      <c r="AA51" s="16"/>
      <c r="AB51" s="16"/>
    </row>
    <row r="52" spans="2:29" s="341" customFormat="1" ht="21.75" hidden="1" customHeight="1">
      <c r="B52" s="376">
        <v>46031</v>
      </c>
      <c r="C52" s="377" t="str">
        <f t="shared" si="0"/>
        <v>Janeiro</v>
      </c>
      <c r="D52" s="378" t="s">
        <v>383</v>
      </c>
      <c r="E52" s="379" t="s">
        <v>471</v>
      </c>
      <c r="F52" s="380" t="s">
        <v>131</v>
      </c>
      <c r="G52" s="342" t="s">
        <v>145</v>
      </c>
      <c r="H52" s="378" t="s">
        <v>1021</v>
      </c>
      <c r="I52" s="342" t="s">
        <v>131</v>
      </c>
      <c r="J52" s="112" t="s">
        <v>131</v>
      </c>
      <c r="K52" s="343" t="s">
        <v>131</v>
      </c>
      <c r="L52" s="342" t="s">
        <v>485</v>
      </c>
      <c r="M52" s="342" t="s">
        <v>730</v>
      </c>
      <c r="N52" s="386" t="s">
        <v>144</v>
      </c>
      <c r="O52" s="295">
        <v>100488.96000000001</v>
      </c>
      <c r="P52" s="296"/>
      <c r="Q52"/>
      <c r="R52"/>
      <c r="S52"/>
      <c r="T52"/>
      <c r="U52"/>
      <c r="V52"/>
      <c r="W52"/>
      <c r="X52"/>
      <c r="Y52" s="45"/>
      <c r="AC52" s="45"/>
    </row>
    <row r="53" spans="2:29" s="341" customFormat="1" ht="21.75" hidden="1" customHeight="1">
      <c r="B53" s="376">
        <v>46031</v>
      </c>
      <c r="C53" s="377" t="str">
        <f t="shared" si="0"/>
        <v>Janeiro</v>
      </c>
      <c r="D53" s="77" t="s">
        <v>507</v>
      </c>
      <c r="E53" s="379" t="s">
        <v>494</v>
      </c>
      <c r="F53" s="380" t="s">
        <v>131</v>
      </c>
      <c r="G53" s="342" t="s">
        <v>145</v>
      </c>
      <c r="H53" s="378" t="s">
        <v>989</v>
      </c>
      <c r="I53" s="342" t="s">
        <v>131</v>
      </c>
      <c r="J53" s="112" t="s">
        <v>131</v>
      </c>
      <c r="K53" s="343" t="s">
        <v>131</v>
      </c>
      <c r="L53" s="342" t="s">
        <v>485</v>
      </c>
      <c r="M53" s="342" t="s">
        <v>730</v>
      </c>
      <c r="N53" s="386" t="s">
        <v>587</v>
      </c>
      <c r="O53" s="295">
        <v>-100488.96000000001</v>
      </c>
      <c r="P53" s="296"/>
      <c r="Q53"/>
      <c r="R53"/>
      <c r="S53"/>
      <c r="T53"/>
      <c r="U53"/>
      <c r="V53"/>
      <c r="W53"/>
      <c r="X53"/>
      <c r="Y53" s="45"/>
      <c r="AC53" s="45"/>
    </row>
    <row r="54" spans="2:29" ht="21.75" hidden="1" customHeight="1">
      <c r="B54" s="68">
        <v>46032</v>
      </c>
      <c r="C54" s="69" t="str">
        <f t="shared" si="0"/>
        <v>Janeiro</v>
      </c>
      <c r="D54" s="77" t="s">
        <v>298</v>
      </c>
      <c r="E54" s="72" t="s">
        <v>515</v>
      </c>
      <c r="F54" s="70" t="s">
        <v>138</v>
      </c>
      <c r="G54" s="71" t="s">
        <v>146</v>
      </c>
      <c r="H54" s="72" t="s">
        <v>153</v>
      </c>
      <c r="I54" s="71" t="s">
        <v>131</v>
      </c>
      <c r="J54" s="389" t="s">
        <v>760</v>
      </c>
      <c r="K54" s="73" t="s">
        <v>131</v>
      </c>
      <c r="L54" s="71" t="s">
        <v>134</v>
      </c>
      <c r="M54" s="71" t="s">
        <v>735</v>
      </c>
      <c r="N54" s="80" t="s">
        <v>135</v>
      </c>
      <c r="O54" s="295">
        <v>-1974</v>
      </c>
      <c r="P54" s="75"/>
      <c r="Z54" s="16"/>
      <c r="AA54" s="16"/>
      <c r="AB54" s="16"/>
    </row>
    <row r="55" spans="2:29" ht="21.75" hidden="1" customHeight="1">
      <c r="B55" s="68">
        <v>46033</v>
      </c>
      <c r="C55" s="69" t="str">
        <f t="shared" si="0"/>
        <v>Janeiro</v>
      </c>
      <c r="D55" s="77" t="s">
        <v>508</v>
      </c>
      <c r="E55" s="72" t="s">
        <v>497</v>
      </c>
      <c r="F55" s="70" t="s">
        <v>534</v>
      </c>
      <c r="G55" s="19" t="s">
        <v>184</v>
      </c>
      <c r="H55" s="369" t="s">
        <v>693</v>
      </c>
      <c r="I55" s="71" t="s">
        <v>595</v>
      </c>
      <c r="J55" s="389" t="s">
        <v>857</v>
      </c>
      <c r="K55" s="19" t="s">
        <v>131</v>
      </c>
      <c r="L55" s="71" t="s">
        <v>134</v>
      </c>
      <c r="M55" s="71" t="s">
        <v>730</v>
      </c>
      <c r="N55" s="80" t="s">
        <v>135</v>
      </c>
      <c r="O55" s="295">
        <v>-55.7</v>
      </c>
      <c r="P55" s="75"/>
      <c r="Z55" s="16"/>
      <c r="AA55" s="16"/>
      <c r="AB55" s="16"/>
    </row>
    <row r="56" spans="2:29" ht="21.75" hidden="1" customHeight="1">
      <c r="B56" s="68">
        <v>46034</v>
      </c>
      <c r="C56" s="69" t="str">
        <f t="shared" si="0"/>
        <v>Janeiro</v>
      </c>
      <c r="D56" s="77" t="s">
        <v>508</v>
      </c>
      <c r="E56" s="72" t="s">
        <v>497</v>
      </c>
      <c r="F56" s="70" t="s">
        <v>534</v>
      </c>
      <c r="G56" s="19" t="s">
        <v>661</v>
      </c>
      <c r="H56" s="369" t="s">
        <v>662</v>
      </c>
      <c r="I56" s="71" t="s">
        <v>595</v>
      </c>
      <c r="J56" s="343" t="s">
        <v>1353</v>
      </c>
      <c r="K56" s="19" t="s">
        <v>287</v>
      </c>
      <c r="L56" s="71" t="s">
        <v>134</v>
      </c>
      <c r="M56" s="71" t="s">
        <v>729</v>
      </c>
      <c r="N56" s="80" t="s">
        <v>135</v>
      </c>
      <c r="O56" s="295">
        <v>-9800</v>
      </c>
      <c r="P56" s="75"/>
      <c r="Z56" s="16"/>
      <c r="AA56" s="16"/>
      <c r="AB56" s="16"/>
    </row>
    <row r="57" spans="2:29" s="341" customFormat="1" ht="21.75" hidden="1" customHeight="1">
      <c r="B57" s="68">
        <v>46034</v>
      </c>
      <c r="C57" s="69" t="str">
        <f t="shared" si="0"/>
        <v>Janeiro</v>
      </c>
      <c r="D57" s="77" t="s">
        <v>386</v>
      </c>
      <c r="E57" s="72" t="s">
        <v>468</v>
      </c>
      <c r="F57" s="70" t="s">
        <v>131</v>
      </c>
      <c r="G57" s="71" t="s">
        <v>480</v>
      </c>
      <c r="H57" s="72" t="s">
        <v>1008</v>
      </c>
      <c r="I57" s="71" t="s">
        <v>131</v>
      </c>
      <c r="J57" s="112" t="s">
        <v>131</v>
      </c>
      <c r="K57" s="73" t="s">
        <v>131</v>
      </c>
      <c r="L57" s="71" t="s">
        <v>131</v>
      </c>
      <c r="M57" s="71" t="s">
        <v>730</v>
      </c>
      <c r="N57" s="80" t="s">
        <v>586</v>
      </c>
      <c r="O57" s="295">
        <v>2109</v>
      </c>
      <c r="P57" s="296"/>
      <c r="Q57"/>
      <c r="R57"/>
      <c r="S57"/>
      <c r="T57"/>
      <c r="U57"/>
      <c r="V57"/>
      <c r="W57"/>
      <c r="X57"/>
      <c r="Y57" s="45"/>
      <c r="AC57" s="45"/>
    </row>
    <row r="58" spans="2:29" ht="21.75" hidden="1" customHeight="1">
      <c r="B58" s="376">
        <v>46034</v>
      </c>
      <c r="C58" s="377" t="str">
        <f t="shared" si="0"/>
        <v>Janeiro</v>
      </c>
      <c r="D58" s="378" t="s">
        <v>508</v>
      </c>
      <c r="E58" s="379" t="s">
        <v>497</v>
      </c>
      <c r="F58" s="380" t="s">
        <v>534</v>
      </c>
      <c r="G58" s="342" t="s">
        <v>948</v>
      </c>
      <c r="H58" s="378" t="s">
        <v>949</v>
      </c>
      <c r="I58" s="342" t="s">
        <v>595</v>
      </c>
      <c r="J58" s="372" t="s">
        <v>950</v>
      </c>
      <c r="K58" s="342" t="s">
        <v>131</v>
      </c>
      <c r="L58" s="342" t="s">
        <v>137</v>
      </c>
      <c r="M58" s="71" t="s">
        <v>730</v>
      </c>
      <c r="N58" s="381" t="s">
        <v>135</v>
      </c>
      <c r="O58" s="390">
        <v>-129</v>
      </c>
      <c r="P58" s="75"/>
      <c r="Z58" s="16"/>
      <c r="AA58" s="16"/>
      <c r="AB58" s="16"/>
    </row>
    <row r="59" spans="2:29" ht="21.75" hidden="1" customHeight="1">
      <c r="B59" s="68">
        <v>46034</v>
      </c>
      <c r="C59" s="69" t="str">
        <f t="shared" si="0"/>
        <v>Janeiro</v>
      </c>
      <c r="D59" s="77" t="s">
        <v>302</v>
      </c>
      <c r="E59" s="72" t="s">
        <v>436</v>
      </c>
      <c r="F59" s="70" t="s">
        <v>138</v>
      </c>
      <c r="G59" s="71" t="s">
        <v>480</v>
      </c>
      <c r="H59" s="379" t="s">
        <v>482</v>
      </c>
      <c r="I59" s="71" t="s">
        <v>131</v>
      </c>
      <c r="J59" s="389" t="s">
        <v>749</v>
      </c>
      <c r="K59" s="73" t="s">
        <v>131</v>
      </c>
      <c r="L59" s="71" t="s">
        <v>197</v>
      </c>
      <c r="M59" s="71" t="s">
        <v>730</v>
      </c>
      <c r="N59" s="80" t="s">
        <v>135</v>
      </c>
      <c r="O59" s="295">
        <v>-56.5</v>
      </c>
      <c r="P59" s="75"/>
      <c r="Z59" s="16"/>
      <c r="AA59" s="16"/>
      <c r="AB59" s="16"/>
    </row>
    <row r="60" spans="2:29" ht="21.75" hidden="1" customHeight="1">
      <c r="B60" s="68">
        <v>46035</v>
      </c>
      <c r="C60" s="69" t="str">
        <f t="shared" si="0"/>
        <v>Janeiro</v>
      </c>
      <c r="D60" s="77" t="s">
        <v>300</v>
      </c>
      <c r="E60" s="72" t="s">
        <v>438</v>
      </c>
      <c r="F60" s="70" t="s">
        <v>136</v>
      </c>
      <c r="G60" s="19" t="s">
        <v>880</v>
      </c>
      <c r="H60" s="369" t="s">
        <v>1375</v>
      </c>
      <c r="I60" s="71" t="s">
        <v>131</v>
      </c>
      <c r="J60" s="389" t="s">
        <v>883</v>
      </c>
      <c r="K60" s="19" t="s">
        <v>131</v>
      </c>
      <c r="L60" s="71" t="s">
        <v>137</v>
      </c>
      <c r="M60" s="71" t="s">
        <v>735</v>
      </c>
      <c r="N60" s="80" t="s">
        <v>135</v>
      </c>
      <c r="O60" s="295">
        <v>-875</v>
      </c>
      <c r="P60" s="75"/>
      <c r="Z60" s="16"/>
      <c r="AA60" s="16"/>
      <c r="AB60" s="16"/>
    </row>
    <row r="61" spans="2:29" ht="21.75" hidden="1" customHeight="1">
      <c r="B61" s="68">
        <v>46035</v>
      </c>
      <c r="C61" s="69" t="str">
        <f t="shared" si="0"/>
        <v>Janeiro</v>
      </c>
      <c r="D61" s="77" t="s">
        <v>300</v>
      </c>
      <c r="E61" s="72" t="s">
        <v>475</v>
      </c>
      <c r="F61" s="70" t="s">
        <v>136</v>
      </c>
      <c r="G61" s="71" t="s">
        <v>212</v>
      </c>
      <c r="H61" s="72" t="s">
        <v>896</v>
      </c>
      <c r="I61" s="71" t="s">
        <v>131</v>
      </c>
      <c r="J61" s="366" t="s">
        <v>893</v>
      </c>
      <c r="K61" s="73" t="s">
        <v>131</v>
      </c>
      <c r="L61" s="71" t="s">
        <v>137</v>
      </c>
      <c r="M61" s="71" t="s">
        <v>735</v>
      </c>
      <c r="N61" s="80" t="s">
        <v>135</v>
      </c>
      <c r="O61" s="295">
        <v>-801.56</v>
      </c>
      <c r="P61" s="75"/>
      <c r="Z61" s="16"/>
      <c r="AA61" s="16"/>
      <c r="AB61" s="16"/>
    </row>
    <row r="62" spans="2:29" ht="21.75" hidden="1" customHeight="1">
      <c r="B62" s="376">
        <v>46035</v>
      </c>
      <c r="C62" s="377" t="str">
        <f t="shared" si="0"/>
        <v>Janeiro</v>
      </c>
      <c r="D62" s="378" t="s">
        <v>383</v>
      </c>
      <c r="E62" s="379" t="s">
        <v>471</v>
      </c>
      <c r="F62" s="380" t="s">
        <v>131</v>
      </c>
      <c r="G62" s="342" t="s">
        <v>145</v>
      </c>
      <c r="H62" s="369" t="s">
        <v>990</v>
      </c>
      <c r="I62" s="342" t="s">
        <v>131</v>
      </c>
      <c r="J62" s="343" t="s">
        <v>131</v>
      </c>
      <c r="K62" s="342" t="s">
        <v>131</v>
      </c>
      <c r="L62" s="342" t="s">
        <v>134</v>
      </c>
      <c r="M62" s="71" t="s">
        <v>735</v>
      </c>
      <c r="N62" s="381" t="s">
        <v>144</v>
      </c>
      <c r="O62" s="295">
        <v>7600.9</v>
      </c>
      <c r="P62" s="75"/>
      <c r="Z62" s="16"/>
      <c r="AA62" s="16"/>
      <c r="AB62" s="16"/>
    </row>
    <row r="63" spans="2:29" ht="21.75" hidden="1" customHeight="1">
      <c r="B63" s="68">
        <v>46035</v>
      </c>
      <c r="C63" s="69" t="str">
        <f t="shared" si="0"/>
        <v>Janeiro</v>
      </c>
      <c r="D63" s="77" t="s">
        <v>386</v>
      </c>
      <c r="E63" s="72" t="s">
        <v>468</v>
      </c>
      <c r="F63" s="70" t="s">
        <v>131</v>
      </c>
      <c r="G63" s="71" t="s">
        <v>480</v>
      </c>
      <c r="H63" s="72" t="s">
        <v>1008</v>
      </c>
      <c r="I63" s="71" t="s">
        <v>131</v>
      </c>
      <c r="J63" s="112" t="s">
        <v>131</v>
      </c>
      <c r="K63" s="73" t="s">
        <v>131</v>
      </c>
      <c r="L63" s="71" t="s">
        <v>131</v>
      </c>
      <c r="M63" s="71" t="s">
        <v>730</v>
      </c>
      <c r="N63" s="80" t="s">
        <v>586</v>
      </c>
      <c r="O63" s="390">
        <v>442</v>
      </c>
      <c r="P63" s="75"/>
      <c r="Z63" s="16"/>
      <c r="AA63" s="16"/>
      <c r="AB63" s="16"/>
    </row>
    <row r="64" spans="2:29" ht="21.75" hidden="1" customHeight="1">
      <c r="B64" s="376">
        <v>46035</v>
      </c>
      <c r="C64" s="377" t="str">
        <f t="shared" si="0"/>
        <v>Janeiro</v>
      </c>
      <c r="D64" s="378" t="s">
        <v>386</v>
      </c>
      <c r="E64" s="379" t="s">
        <v>468</v>
      </c>
      <c r="F64" s="380" t="s">
        <v>131</v>
      </c>
      <c r="G64" s="342" t="s">
        <v>480</v>
      </c>
      <c r="H64" s="72" t="s">
        <v>1008</v>
      </c>
      <c r="I64" s="342" t="s">
        <v>131</v>
      </c>
      <c r="J64" s="112" t="s">
        <v>131</v>
      </c>
      <c r="K64" s="343" t="s">
        <v>131</v>
      </c>
      <c r="L64" s="342" t="s">
        <v>131</v>
      </c>
      <c r="M64" s="71" t="s">
        <v>730</v>
      </c>
      <c r="N64" s="381" t="s">
        <v>586</v>
      </c>
      <c r="O64" s="390">
        <f>7037.5+7.57</f>
        <v>7045.07</v>
      </c>
      <c r="P64" s="75"/>
      <c r="Z64" s="16"/>
      <c r="AA64" s="16"/>
      <c r="AB64" s="16"/>
    </row>
    <row r="65" spans="2:28" ht="21.75" hidden="1" customHeight="1">
      <c r="B65" s="68">
        <v>46035</v>
      </c>
      <c r="C65" s="69" t="str">
        <f t="shared" si="0"/>
        <v>Janeiro</v>
      </c>
      <c r="D65" s="77" t="s">
        <v>508</v>
      </c>
      <c r="E65" s="72" t="s">
        <v>497</v>
      </c>
      <c r="F65" s="70" t="s">
        <v>534</v>
      </c>
      <c r="G65" s="71" t="s">
        <v>702</v>
      </c>
      <c r="H65" s="77" t="s">
        <v>703</v>
      </c>
      <c r="I65" s="71" t="s">
        <v>595</v>
      </c>
      <c r="J65" s="366" t="s">
        <v>884</v>
      </c>
      <c r="K65" s="71" t="s">
        <v>131</v>
      </c>
      <c r="L65" s="71" t="s">
        <v>137</v>
      </c>
      <c r="M65" s="71" t="s">
        <v>730</v>
      </c>
      <c r="N65" s="80" t="s">
        <v>135</v>
      </c>
      <c r="O65" s="295">
        <v>-382.4</v>
      </c>
      <c r="P65" s="75"/>
      <c r="Z65" s="16"/>
      <c r="AA65" s="16"/>
      <c r="AB65" s="16"/>
    </row>
    <row r="66" spans="2:28" ht="21.75" hidden="1" customHeight="1">
      <c r="B66" s="68">
        <v>46035</v>
      </c>
      <c r="C66" s="69" t="str">
        <f t="shared" si="0"/>
        <v>Janeiro</v>
      </c>
      <c r="D66" s="77" t="s">
        <v>508</v>
      </c>
      <c r="E66" s="72" t="s">
        <v>497</v>
      </c>
      <c r="F66" s="70" t="s">
        <v>534</v>
      </c>
      <c r="G66" s="71" t="s">
        <v>1003</v>
      </c>
      <c r="H66" s="77" t="s">
        <v>1004</v>
      </c>
      <c r="I66" s="71" t="s">
        <v>595</v>
      </c>
      <c r="J66" s="393" t="s">
        <v>1002</v>
      </c>
      <c r="K66" s="71" t="s">
        <v>131</v>
      </c>
      <c r="L66" s="71" t="s">
        <v>134</v>
      </c>
      <c r="M66" s="71" t="s">
        <v>730</v>
      </c>
      <c r="N66" s="80" t="s">
        <v>135</v>
      </c>
      <c r="O66" s="295">
        <v>-442</v>
      </c>
      <c r="P66" s="75"/>
      <c r="Z66" s="16"/>
      <c r="AA66" s="16"/>
      <c r="AB66" s="16"/>
    </row>
    <row r="67" spans="2:28" ht="21.75" hidden="1" customHeight="1">
      <c r="B67" s="68">
        <v>46035</v>
      </c>
      <c r="C67" s="69" t="str">
        <f t="shared" si="0"/>
        <v>Janeiro</v>
      </c>
      <c r="D67" s="77" t="s">
        <v>508</v>
      </c>
      <c r="E67" s="72" t="s">
        <v>497</v>
      </c>
      <c r="F67" s="70" t="s">
        <v>534</v>
      </c>
      <c r="G67" s="71" t="s">
        <v>998</v>
      </c>
      <c r="H67" s="77" t="s">
        <v>1000</v>
      </c>
      <c r="I67" s="71" t="s">
        <v>595</v>
      </c>
      <c r="J67" s="393" t="s">
        <v>999</v>
      </c>
      <c r="K67" s="78" t="s">
        <v>285</v>
      </c>
      <c r="L67" s="71" t="s">
        <v>134</v>
      </c>
      <c r="M67" s="71" t="s">
        <v>730</v>
      </c>
      <c r="N67" s="80" t="s">
        <v>135</v>
      </c>
      <c r="O67" s="390">
        <v>-3760</v>
      </c>
      <c r="P67" s="75"/>
      <c r="Z67" s="16"/>
      <c r="AA67" s="16"/>
      <c r="AB67" s="16"/>
    </row>
    <row r="68" spans="2:28" ht="21.75" hidden="1" customHeight="1">
      <c r="B68" s="68">
        <v>46035</v>
      </c>
      <c r="C68" s="69" t="str">
        <f t="shared" si="0"/>
        <v>Janeiro</v>
      </c>
      <c r="D68" s="77" t="s">
        <v>508</v>
      </c>
      <c r="E68" s="72" t="s">
        <v>497</v>
      </c>
      <c r="F68" s="70" t="s">
        <v>534</v>
      </c>
      <c r="G68" s="71" t="s">
        <v>998</v>
      </c>
      <c r="H68" s="77" t="s">
        <v>1001</v>
      </c>
      <c r="I68" s="71" t="s">
        <v>595</v>
      </c>
      <c r="J68" s="393" t="s">
        <v>1016</v>
      </c>
      <c r="K68" s="78" t="s">
        <v>285</v>
      </c>
      <c r="L68" s="71" t="s">
        <v>134</v>
      </c>
      <c r="M68" s="71" t="s">
        <v>730</v>
      </c>
      <c r="N68" s="80" t="s">
        <v>135</v>
      </c>
      <c r="O68" s="390">
        <v>-1540</v>
      </c>
      <c r="P68" s="75"/>
      <c r="Z68" s="16"/>
      <c r="AA68" s="16"/>
      <c r="AB68" s="16"/>
    </row>
    <row r="69" spans="2:28" ht="21.75" hidden="1" customHeight="1">
      <c r="B69" s="376">
        <v>46035</v>
      </c>
      <c r="C69" s="377" t="str">
        <f t="shared" si="0"/>
        <v>Janeiro</v>
      </c>
      <c r="D69" s="378" t="s">
        <v>510</v>
      </c>
      <c r="E69" s="379" t="s">
        <v>506</v>
      </c>
      <c r="F69" s="380" t="s">
        <v>131</v>
      </c>
      <c r="G69" s="342" t="s">
        <v>145</v>
      </c>
      <c r="H69" s="369" t="s">
        <v>990</v>
      </c>
      <c r="I69" s="342" t="s">
        <v>131</v>
      </c>
      <c r="J69" s="343" t="s">
        <v>131</v>
      </c>
      <c r="K69" s="342" t="s">
        <v>131</v>
      </c>
      <c r="L69" s="342" t="s">
        <v>134</v>
      </c>
      <c r="M69" s="71" t="s">
        <v>730</v>
      </c>
      <c r="N69" s="381" t="s">
        <v>135</v>
      </c>
      <c r="O69" s="295">
        <v>-7600.92</v>
      </c>
      <c r="P69" s="75"/>
      <c r="Z69" s="16"/>
      <c r="AA69" s="16"/>
      <c r="AB69" s="16"/>
    </row>
    <row r="70" spans="2:28" ht="21.75" hidden="1" customHeight="1">
      <c r="B70" s="68">
        <v>46036</v>
      </c>
      <c r="C70" s="69" t="str">
        <f t="shared" ref="C70:C133" si="1">PROPER(TEXT(B70,"MMMM"))</f>
        <v>Janeiro</v>
      </c>
      <c r="D70" s="77" t="s">
        <v>386</v>
      </c>
      <c r="E70" s="72" t="s">
        <v>468</v>
      </c>
      <c r="F70" s="70" t="s">
        <v>131</v>
      </c>
      <c r="G70" s="71" t="s">
        <v>480</v>
      </c>
      <c r="H70" s="72" t="s">
        <v>1008</v>
      </c>
      <c r="I70" s="71" t="s">
        <v>131</v>
      </c>
      <c r="J70" s="389" t="s">
        <v>131</v>
      </c>
      <c r="K70" s="71" t="s">
        <v>131</v>
      </c>
      <c r="L70" s="71" t="s">
        <v>131</v>
      </c>
      <c r="M70" s="71" t="s">
        <v>730</v>
      </c>
      <c r="N70" s="80" t="s">
        <v>586</v>
      </c>
      <c r="O70" s="295">
        <v>442</v>
      </c>
      <c r="P70" s="75"/>
      <c r="Z70" s="16"/>
      <c r="AA70" s="16"/>
      <c r="AB70" s="16"/>
    </row>
    <row r="71" spans="2:28" ht="21.75" hidden="1" customHeight="1">
      <c r="B71" s="68">
        <v>46036</v>
      </c>
      <c r="C71" s="69" t="str">
        <f t="shared" si="1"/>
        <v>Janeiro</v>
      </c>
      <c r="D71" s="77" t="s">
        <v>508</v>
      </c>
      <c r="E71" s="72" t="s">
        <v>497</v>
      </c>
      <c r="F71" s="70" t="s">
        <v>534</v>
      </c>
      <c r="G71" s="71" t="s">
        <v>970</v>
      </c>
      <c r="H71" s="77" t="s">
        <v>971</v>
      </c>
      <c r="I71" s="71" t="s">
        <v>595</v>
      </c>
      <c r="J71" s="393" t="s">
        <v>972</v>
      </c>
      <c r="K71" s="78" t="s">
        <v>973</v>
      </c>
      <c r="L71" s="71" t="s">
        <v>137</v>
      </c>
      <c r="M71" s="71" t="s">
        <v>730</v>
      </c>
      <c r="N71" s="80" t="s">
        <v>135</v>
      </c>
      <c r="O71" s="390">
        <v>-1737.5</v>
      </c>
      <c r="P71" s="75"/>
      <c r="Z71" s="16"/>
      <c r="AA71" s="16"/>
      <c r="AB71" s="16"/>
    </row>
    <row r="72" spans="2:28" ht="21.75" hidden="1" customHeight="1">
      <c r="B72" s="376">
        <v>46036</v>
      </c>
      <c r="C72" s="377" t="str">
        <f t="shared" si="1"/>
        <v>Janeiro</v>
      </c>
      <c r="D72" s="378" t="s">
        <v>508</v>
      </c>
      <c r="E72" s="379" t="s">
        <v>497</v>
      </c>
      <c r="F72" s="380" t="s">
        <v>534</v>
      </c>
      <c r="G72" s="19" t="s">
        <v>853</v>
      </c>
      <c r="H72" s="369" t="s">
        <v>854</v>
      </c>
      <c r="I72" s="342" t="s">
        <v>595</v>
      </c>
      <c r="J72" s="112" t="s">
        <v>885</v>
      </c>
      <c r="K72" s="112" t="s">
        <v>131</v>
      </c>
      <c r="L72" s="342" t="s">
        <v>137</v>
      </c>
      <c r="M72" s="71" t="s">
        <v>730</v>
      </c>
      <c r="N72" s="80" t="s">
        <v>135</v>
      </c>
      <c r="O72" s="295">
        <v>-1642.2</v>
      </c>
      <c r="P72" s="75"/>
      <c r="Z72" s="16"/>
      <c r="AA72" s="16"/>
      <c r="AB72" s="16"/>
    </row>
    <row r="73" spans="2:28" ht="21.75" hidden="1" customHeight="1">
      <c r="B73" s="68">
        <v>46036</v>
      </c>
      <c r="C73" s="69" t="str">
        <f t="shared" si="1"/>
        <v>Janeiro</v>
      </c>
      <c r="D73" s="77" t="s">
        <v>508</v>
      </c>
      <c r="E73" s="72" t="s">
        <v>497</v>
      </c>
      <c r="F73" s="70" t="s">
        <v>534</v>
      </c>
      <c r="G73" s="71" t="s">
        <v>1003</v>
      </c>
      <c r="H73" s="77" t="s">
        <v>1004</v>
      </c>
      <c r="I73" s="71" t="s">
        <v>595</v>
      </c>
      <c r="J73" s="393" t="s">
        <v>1007</v>
      </c>
      <c r="K73" s="71" t="s">
        <v>131</v>
      </c>
      <c r="L73" s="71" t="s">
        <v>134</v>
      </c>
      <c r="M73" s="71" t="s">
        <v>730</v>
      </c>
      <c r="N73" s="80" t="s">
        <v>135</v>
      </c>
      <c r="O73" s="295">
        <v>-442</v>
      </c>
      <c r="P73" s="75"/>
      <c r="Z73" s="16"/>
      <c r="AA73" s="16"/>
      <c r="AB73" s="16"/>
    </row>
    <row r="74" spans="2:28" ht="21.75" hidden="1" customHeight="1">
      <c r="B74" s="68">
        <v>46037</v>
      </c>
      <c r="C74" s="69" t="str">
        <f t="shared" si="1"/>
        <v>Janeiro</v>
      </c>
      <c r="D74" s="77" t="s">
        <v>300</v>
      </c>
      <c r="E74" s="72" t="s">
        <v>478</v>
      </c>
      <c r="F74" s="70" t="s">
        <v>136</v>
      </c>
      <c r="G74" s="71" t="s">
        <v>888</v>
      </c>
      <c r="H74" s="72" t="s">
        <v>886</v>
      </c>
      <c r="I74" s="71" t="s">
        <v>131</v>
      </c>
      <c r="J74" s="366" t="s">
        <v>887</v>
      </c>
      <c r="K74" s="73" t="s">
        <v>131</v>
      </c>
      <c r="L74" s="71" t="s">
        <v>137</v>
      </c>
      <c r="M74" s="71" t="s">
        <v>735</v>
      </c>
      <c r="N74" s="80" t="s">
        <v>135</v>
      </c>
      <c r="O74" s="295">
        <v>-248.06</v>
      </c>
      <c r="P74" s="75"/>
      <c r="Z74" s="16"/>
      <c r="AA74" s="16"/>
      <c r="AB74" s="16"/>
    </row>
    <row r="75" spans="2:28" ht="21.75" hidden="1" customHeight="1">
      <c r="B75" s="68">
        <v>46037</v>
      </c>
      <c r="C75" s="69" t="str">
        <f t="shared" si="1"/>
        <v>Janeiro</v>
      </c>
      <c r="D75" s="77" t="s">
        <v>298</v>
      </c>
      <c r="E75" s="72" t="s">
        <v>440</v>
      </c>
      <c r="F75" s="70" t="s">
        <v>136</v>
      </c>
      <c r="G75" s="71" t="s">
        <v>425</v>
      </c>
      <c r="H75" s="72" t="s">
        <v>251</v>
      </c>
      <c r="I75" s="71" t="s">
        <v>131</v>
      </c>
      <c r="J75" s="112" t="s">
        <v>131</v>
      </c>
      <c r="K75" s="73" t="s">
        <v>277</v>
      </c>
      <c r="L75" s="71" t="s">
        <v>1046</v>
      </c>
      <c r="M75" s="71" t="s">
        <v>735</v>
      </c>
      <c r="N75" s="80" t="s">
        <v>135</v>
      </c>
      <c r="O75" s="295">
        <v>-24.16</v>
      </c>
      <c r="P75" s="75"/>
      <c r="Z75" s="16"/>
      <c r="AA75" s="16"/>
      <c r="AB75" s="16"/>
    </row>
    <row r="76" spans="2:28" ht="21.75" hidden="1" customHeight="1">
      <c r="B76" s="68">
        <v>46037</v>
      </c>
      <c r="C76" s="69" t="str">
        <f t="shared" si="1"/>
        <v>Janeiro</v>
      </c>
      <c r="D76" s="77" t="s">
        <v>298</v>
      </c>
      <c r="E76" s="72" t="s">
        <v>440</v>
      </c>
      <c r="F76" s="70" t="s">
        <v>136</v>
      </c>
      <c r="G76" s="71" t="s">
        <v>426</v>
      </c>
      <c r="H76" s="72" t="s">
        <v>252</v>
      </c>
      <c r="I76" s="71" t="s">
        <v>131</v>
      </c>
      <c r="J76" s="342" t="s">
        <v>1014</v>
      </c>
      <c r="K76" s="73" t="s">
        <v>253</v>
      </c>
      <c r="L76" s="71" t="s">
        <v>1046</v>
      </c>
      <c r="M76" s="71" t="s">
        <v>735</v>
      </c>
      <c r="N76" s="80" t="s">
        <v>135</v>
      </c>
      <c r="O76" s="295">
        <v>-398.91</v>
      </c>
      <c r="P76" s="75"/>
      <c r="Z76" s="16"/>
      <c r="AA76" s="16"/>
      <c r="AB76" s="16"/>
    </row>
    <row r="77" spans="2:28" ht="21.75" hidden="1" customHeight="1">
      <c r="B77" s="68">
        <v>46037</v>
      </c>
      <c r="C77" s="377" t="str">
        <f t="shared" si="1"/>
        <v>Janeiro</v>
      </c>
      <c r="D77" s="77" t="s">
        <v>298</v>
      </c>
      <c r="E77" s="72" t="s">
        <v>518</v>
      </c>
      <c r="F77" s="70" t="s">
        <v>136</v>
      </c>
      <c r="G77" s="71" t="s">
        <v>1019</v>
      </c>
      <c r="H77" s="77" t="s">
        <v>851</v>
      </c>
      <c r="I77" s="71" t="s">
        <v>131</v>
      </c>
      <c r="J77" s="342" t="s">
        <v>852</v>
      </c>
      <c r="K77" s="71" t="s">
        <v>131</v>
      </c>
      <c r="L77" s="71" t="s">
        <v>1046</v>
      </c>
      <c r="M77" s="71" t="s">
        <v>735</v>
      </c>
      <c r="N77" s="80" t="s">
        <v>135</v>
      </c>
      <c r="O77" s="295">
        <v>-99.25</v>
      </c>
      <c r="P77" s="75"/>
      <c r="Z77" s="16"/>
      <c r="AA77" s="16"/>
      <c r="AB77" s="16"/>
    </row>
    <row r="78" spans="2:28" ht="21.75" hidden="1" customHeight="1">
      <c r="B78" s="68">
        <v>46037</v>
      </c>
      <c r="C78" s="69" t="str">
        <f t="shared" si="1"/>
        <v>Janeiro</v>
      </c>
      <c r="D78" s="77" t="s">
        <v>300</v>
      </c>
      <c r="E78" s="72" t="s">
        <v>432</v>
      </c>
      <c r="F78" s="70" t="s">
        <v>136</v>
      </c>
      <c r="G78" s="71" t="s">
        <v>434</v>
      </c>
      <c r="H78" s="72" t="s">
        <v>154</v>
      </c>
      <c r="I78" s="71" t="s">
        <v>131</v>
      </c>
      <c r="J78" s="112" t="s">
        <v>1015</v>
      </c>
      <c r="K78" s="73" t="s">
        <v>131</v>
      </c>
      <c r="L78" s="71" t="s">
        <v>1046</v>
      </c>
      <c r="M78" s="71" t="s">
        <v>735</v>
      </c>
      <c r="N78" s="80" t="s">
        <v>135</v>
      </c>
      <c r="O78" s="295">
        <v>-235.52</v>
      </c>
      <c r="P78" s="75"/>
      <c r="Z78" s="16"/>
      <c r="AA78" s="16"/>
      <c r="AB78" s="16"/>
    </row>
    <row r="79" spans="2:28" ht="21.75" hidden="1" customHeight="1">
      <c r="B79" s="68">
        <v>46037</v>
      </c>
      <c r="C79" s="377" t="str">
        <f t="shared" si="1"/>
        <v>Janeiro</v>
      </c>
      <c r="D79" s="378" t="s">
        <v>300</v>
      </c>
      <c r="E79" s="379" t="s">
        <v>478</v>
      </c>
      <c r="F79" s="380" t="s">
        <v>136</v>
      </c>
      <c r="G79" s="342" t="s">
        <v>1010</v>
      </c>
      <c r="H79" s="378" t="s">
        <v>1011</v>
      </c>
      <c r="I79" s="342" t="s">
        <v>131</v>
      </c>
      <c r="J79" s="342" t="s">
        <v>1012</v>
      </c>
      <c r="K79" s="342" t="s">
        <v>131</v>
      </c>
      <c r="L79" s="71" t="s">
        <v>1046</v>
      </c>
      <c r="M79" s="342" t="s">
        <v>735</v>
      </c>
      <c r="N79" s="80" t="s">
        <v>135</v>
      </c>
      <c r="O79" s="295">
        <v>-258.7</v>
      </c>
      <c r="P79" s="75"/>
      <c r="Z79" s="16"/>
      <c r="AA79" s="16"/>
      <c r="AB79" s="16"/>
    </row>
    <row r="80" spans="2:28" ht="21.75" hidden="1" customHeight="1">
      <c r="B80" s="68">
        <v>46037</v>
      </c>
      <c r="C80" s="377" t="str">
        <f t="shared" si="1"/>
        <v>Janeiro</v>
      </c>
      <c r="D80" s="378" t="s">
        <v>299</v>
      </c>
      <c r="E80" s="379" t="s">
        <v>303</v>
      </c>
      <c r="F80" s="380" t="s">
        <v>136</v>
      </c>
      <c r="G80" s="19" t="s">
        <v>1017</v>
      </c>
      <c r="H80" s="369" t="s">
        <v>1013</v>
      </c>
      <c r="I80" s="342" t="s">
        <v>131</v>
      </c>
      <c r="J80" s="342" t="s">
        <v>1018</v>
      </c>
      <c r="K80" s="19" t="s">
        <v>131</v>
      </c>
      <c r="L80" s="71" t="s">
        <v>1046</v>
      </c>
      <c r="M80" s="342" t="s">
        <v>735</v>
      </c>
      <c r="N80" s="381" t="s">
        <v>135</v>
      </c>
      <c r="O80" s="295">
        <v>-866</v>
      </c>
      <c r="P80" s="75"/>
      <c r="Z80" s="16"/>
      <c r="AA80" s="16"/>
      <c r="AB80" s="16"/>
    </row>
    <row r="81" spans="2:28" ht="21.75" hidden="1" customHeight="1">
      <c r="B81" s="68">
        <v>46037</v>
      </c>
      <c r="C81" s="69" t="str">
        <f t="shared" si="1"/>
        <v>Janeiro</v>
      </c>
      <c r="D81" s="77" t="s">
        <v>386</v>
      </c>
      <c r="E81" s="72" t="s">
        <v>468</v>
      </c>
      <c r="F81" s="70" t="s">
        <v>131</v>
      </c>
      <c r="G81" s="71" t="s">
        <v>480</v>
      </c>
      <c r="H81" s="77" t="s">
        <v>511</v>
      </c>
      <c r="I81" s="71" t="s">
        <v>131</v>
      </c>
      <c r="J81" s="112" t="s">
        <v>131</v>
      </c>
      <c r="K81" s="71" t="s">
        <v>131</v>
      </c>
      <c r="L81" s="71" t="s">
        <v>131</v>
      </c>
      <c r="M81" s="71" t="s">
        <v>729</v>
      </c>
      <c r="N81" s="80" t="s">
        <v>586</v>
      </c>
      <c r="O81" s="295">
        <v>10616.31</v>
      </c>
      <c r="P81" s="75"/>
      <c r="Z81" s="16"/>
      <c r="AA81" s="16"/>
      <c r="AB81" s="16"/>
    </row>
    <row r="82" spans="2:28" ht="21.75" hidden="1" customHeight="1">
      <c r="B82" s="376">
        <v>46038</v>
      </c>
      <c r="C82" s="377" t="str">
        <f t="shared" si="1"/>
        <v>Janeiro</v>
      </c>
      <c r="D82" s="378" t="s">
        <v>383</v>
      </c>
      <c r="E82" s="379" t="s">
        <v>471</v>
      </c>
      <c r="F82" s="380" t="s">
        <v>131</v>
      </c>
      <c r="G82" s="342" t="s">
        <v>145</v>
      </c>
      <c r="H82" s="378" t="s">
        <v>1021</v>
      </c>
      <c r="I82" s="342" t="s">
        <v>131</v>
      </c>
      <c r="J82" s="343" t="s">
        <v>131</v>
      </c>
      <c r="K82" s="342" t="s">
        <v>131</v>
      </c>
      <c r="L82" s="71" t="s">
        <v>485</v>
      </c>
      <c r="M82" s="71" t="s">
        <v>735</v>
      </c>
      <c r="N82" s="381" t="s">
        <v>144</v>
      </c>
      <c r="O82" s="295">
        <v>200084.84</v>
      </c>
      <c r="P82" s="75"/>
      <c r="Z82" s="16"/>
      <c r="AA82" s="16"/>
      <c r="AB82" s="16"/>
    </row>
    <row r="83" spans="2:28" ht="21.75" hidden="1" customHeight="1">
      <c r="B83" s="376">
        <v>46038</v>
      </c>
      <c r="C83" s="377" t="str">
        <f t="shared" si="1"/>
        <v>Janeiro</v>
      </c>
      <c r="D83" s="378" t="s">
        <v>386</v>
      </c>
      <c r="E83" s="379" t="s">
        <v>468</v>
      </c>
      <c r="F83" s="380" t="s">
        <v>131</v>
      </c>
      <c r="G83" s="342" t="s">
        <v>480</v>
      </c>
      <c r="H83" s="72" t="s">
        <v>1008</v>
      </c>
      <c r="I83" s="342" t="s">
        <v>131</v>
      </c>
      <c r="J83" s="112" t="s">
        <v>131</v>
      </c>
      <c r="K83" s="343" t="s">
        <v>131</v>
      </c>
      <c r="L83" s="342" t="s">
        <v>131</v>
      </c>
      <c r="M83" s="71" t="s">
        <v>730</v>
      </c>
      <c r="N83" s="381" t="s">
        <v>586</v>
      </c>
      <c r="O83" s="390">
        <f>16516.94+804</f>
        <v>17320.939999999999</v>
      </c>
      <c r="P83" s="75"/>
      <c r="Z83" s="16"/>
      <c r="AA83" s="16"/>
      <c r="AB83" s="16"/>
    </row>
    <row r="84" spans="2:28" ht="21.75" hidden="1" customHeight="1">
      <c r="B84" s="68">
        <v>46038</v>
      </c>
      <c r="C84" s="69" t="str">
        <f t="shared" si="1"/>
        <v>Janeiro</v>
      </c>
      <c r="D84" s="77" t="s">
        <v>508</v>
      </c>
      <c r="E84" s="72" t="s">
        <v>497</v>
      </c>
      <c r="F84" s="70" t="s">
        <v>534</v>
      </c>
      <c r="G84" s="19" t="s">
        <v>184</v>
      </c>
      <c r="H84" s="369" t="s">
        <v>693</v>
      </c>
      <c r="I84" s="71" t="s">
        <v>595</v>
      </c>
      <c r="J84" s="389" t="s">
        <v>879</v>
      </c>
      <c r="K84" s="19" t="s">
        <v>131</v>
      </c>
      <c r="L84" s="71" t="s">
        <v>134</v>
      </c>
      <c r="M84" s="71" t="s">
        <v>730</v>
      </c>
      <c r="N84" s="80" t="s">
        <v>135</v>
      </c>
      <c r="O84" s="295">
        <v>-84.4</v>
      </c>
      <c r="P84" s="75"/>
      <c r="Z84" s="16"/>
      <c r="AA84" s="16"/>
      <c r="AB84" s="16"/>
    </row>
    <row r="85" spans="2:28" ht="21.75" hidden="1" customHeight="1">
      <c r="B85" s="68">
        <v>46039</v>
      </c>
      <c r="C85" s="69" t="str">
        <f t="shared" si="1"/>
        <v>Janeiro</v>
      </c>
      <c r="D85" s="77" t="s">
        <v>508</v>
      </c>
      <c r="E85" s="72" t="s">
        <v>497</v>
      </c>
      <c r="F85" s="70" t="s">
        <v>534</v>
      </c>
      <c r="G85" s="19" t="s">
        <v>567</v>
      </c>
      <c r="H85" s="369" t="s">
        <v>693</v>
      </c>
      <c r="I85" s="71" t="s">
        <v>595</v>
      </c>
      <c r="J85" s="112" t="s">
        <v>708</v>
      </c>
      <c r="K85" s="19" t="s">
        <v>273</v>
      </c>
      <c r="L85" s="71" t="s">
        <v>137</v>
      </c>
      <c r="M85" s="71" t="s">
        <v>729</v>
      </c>
      <c r="N85" s="80" t="s">
        <v>135</v>
      </c>
      <c r="O85" s="295">
        <v>-1348.67</v>
      </c>
      <c r="P85" s="75"/>
      <c r="Z85" s="16"/>
      <c r="AA85" s="16"/>
      <c r="AB85" s="16"/>
    </row>
    <row r="86" spans="2:28" ht="21.75" hidden="1" customHeight="1">
      <c r="B86" s="68">
        <v>46039</v>
      </c>
      <c r="C86" s="69" t="str">
        <f t="shared" si="1"/>
        <v>Janeiro</v>
      </c>
      <c r="D86" s="77" t="s">
        <v>508</v>
      </c>
      <c r="E86" s="72" t="s">
        <v>497</v>
      </c>
      <c r="F86" s="70" t="s">
        <v>534</v>
      </c>
      <c r="G86" s="19" t="s">
        <v>520</v>
      </c>
      <c r="H86" s="369" t="s">
        <v>638</v>
      </c>
      <c r="I86" s="342" t="s">
        <v>858</v>
      </c>
      <c r="J86" s="389" t="s">
        <v>709</v>
      </c>
      <c r="K86" s="19" t="s">
        <v>273</v>
      </c>
      <c r="L86" s="71" t="s">
        <v>137</v>
      </c>
      <c r="M86" s="71" t="s">
        <v>729</v>
      </c>
      <c r="N86" s="80" t="s">
        <v>135</v>
      </c>
      <c r="O86" s="295">
        <v>-2583.19</v>
      </c>
      <c r="P86" s="75"/>
      <c r="Q86" s="92"/>
      <c r="Z86" s="16"/>
      <c r="AA86" s="16"/>
      <c r="AB86" s="16"/>
    </row>
    <row r="87" spans="2:28" ht="21.75" hidden="1" customHeight="1">
      <c r="B87" s="68">
        <v>46039</v>
      </c>
      <c r="C87" s="69" t="str">
        <f t="shared" si="1"/>
        <v>Janeiro</v>
      </c>
      <c r="D87" s="77" t="s">
        <v>508</v>
      </c>
      <c r="E87" s="72" t="s">
        <v>497</v>
      </c>
      <c r="F87" s="70" t="s">
        <v>534</v>
      </c>
      <c r="G87" s="71" t="s">
        <v>520</v>
      </c>
      <c r="H87" s="77" t="s">
        <v>638</v>
      </c>
      <c r="I87" s="342" t="s">
        <v>858</v>
      </c>
      <c r="J87" s="389" t="s">
        <v>710</v>
      </c>
      <c r="K87" s="71" t="s">
        <v>273</v>
      </c>
      <c r="L87" s="71" t="s">
        <v>137</v>
      </c>
      <c r="M87" s="71" t="s">
        <v>729</v>
      </c>
      <c r="N87" s="80" t="s">
        <v>135</v>
      </c>
      <c r="O87" s="295">
        <v>-6027.45</v>
      </c>
      <c r="P87" s="75"/>
      <c r="Z87" s="16"/>
      <c r="AA87" s="16"/>
      <c r="AB87" s="16"/>
    </row>
    <row r="88" spans="2:28" ht="21.75" hidden="1" customHeight="1">
      <c r="B88" s="68">
        <v>46040</v>
      </c>
      <c r="C88" s="69" t="str">
        <f t="shared" si="1"/>
        <v>Janeiro</v>
      </c>
      <c r="D88" s="77" t="s">
        <v>508</v>
      </c>
      <c r="E88" s="72" t="s">
        <v>498</v>
      </c>
      <c r="F88" s="70" t="s">
        <v>136</v>
      </c>
      <c r="G88" s="19" t="s">
        <v>184</v>
      </c>
      <c r="H88" s="369" t="s">
        <v>892</v>
      </c>
      <c r="I88" s="71" t="s">
        <v>131</v>
      </c>
      <c r="J88" s="389" t="s">
        <v>891</v>
      </c>
      <c r="K88" s="19" t="s">
        <v>131</v>
      </c>
      <c r="L88" s="71" t="s">
        <v>134</v>
      </c>
      <c r="M88" s="71" t="s">
        <v>735</v>
      </c>
      <c r="N88" s="80" t="s">
        <v>135</v>
      </c>
      <c r="O88" s="295">
        <v>-65.45</v>
      </c>
      <c r="P88" s="75"/>
      <c r="Z88" s="16"/>
      <c r="AA88" s="16"/>
      <c r="AB88" s="16"/>
    </row>
    <row r="89" spans="2:28" ht="21.75" hidden="1" customHeight="1">
      <c r="B89" s="376">
        <v>46041</v>
      </c>
      <c r="C89" s="377" t="str">
        <f t="shared" si="1"/>
        <v>Janeiro</v>
      </c>
      <c r="D89" s="378" t="s">
        <v>383</v>
      </c>
      <c r="E89" s="379" t="s">
        <v>471</v>
      </c>
      <c r="F89" s="380" t="s">
        <v>131</v>
      </c>
      <c r="G89" s="342" t="s">
        <v>145</v>
      </c>
      <c r="H89" s="369" t="s">
        <v>990</v>
      </c>
      <c r="I89" s="342" t="s">
        <v>131</v>
      </c>
      <c r="J89" s="343" t="s">
        <v>131</v>
      </c>
      <c r="K89" s="342" t="s">
        <v>131</v>
      </c>
      <c r="L89" s="342" t="s">
        <v>134</v>
      </c>
      <c r="M89" s="71" t="s">
        <v>735</v>
      </c>
      <c r="N89" s="381" t="s">
        <v>144</v>
      </c>
      <c r="O89" s="390">
        <v>16516.939999999999</v>
      </c>
      <c r="P89" s="75"/>
      <c r="Z89" s="16"/>
      <c r="AA89" s="16"/>
      <c r="AB89" s="16"/>
    </row>
    <row r="90" spans="2:28" ht="21.75" hidden="1" customHeight="1">
      <c r="B90" s="376">
        <v>46041</v>
      </c>
      <c r="C90" s="377" t="str">
        <f t="shared" si="1"/>
        <v>Janeiro</v>
      </c>
      <c r="D90" s="378" t="s">
        <v>510</v>
      </c>
      <c r="E90" s="379" t="s">
        <v>506</v>
      </c>
      <c r="F90" s="380" t="s">
        <v>131</v>
      </c>
      <c r="G90" s="342" t="s">
        <v>145</v>
      </c>
      <c r="H90" s="378" t="s">
        <v>1021</v>
      </c>
      <c r="I90" s="342" t="s">
        <v>131</v>
      </c>
      <c r="J90" s="342" t="s">
        <v>131</v>
      </c>
      <c r="K90" s="342" t="s">
        <v>131</v>
      </c>
      <c r="L90" s="71" t="s">
        <v>485</v>
      </c>
      <c r="M90" s="71" t="s">
        <v>735</v>
      </c>
      <c r="N90" s="381" t="s">
        <v>135</v>
      </c>
      <c r="O90" s="295">
        <v>-200084.84</v>
      </c>
      <c r="P90" s="75"/>
      <c r="Z90" s="16"/>
      <c r="AA90" s="16"/>
      <c r="AB90" s="16"/>
    </row>
    <row r="91" spans="2:28" ht="21.75" hidden="1" customHeight="1">
      <c r="B91" s="68">
        <v>46041</v>
      </c>
      <c r="C91" s="69" t="str">
        <f t="shared" si="1"/>
        <v>Janeiro</v>
      </c>
      <c r="D91" s="77" t="s">
        <v>386</v>
      </c>
      <c r="E91" s="72" t="s">
        <v>468</v>
      </c>
      <c r="F91" s="70" t="s">
        <v>131</v>
      </c>
      <c r="G91" s="71" t="s">
        <v>480</v>
      </c>
      <c r="H91" s="77" t="s">
        <v>511</v>
      </c>
      <c r="I91" s="71" t="s">
        <v>131</v>
      </c>
      <c r="J91" s="112" t="s">
        <v>131</v>
      </c>
      <c r="K91" s="71" t="s">
        <v>131</v>
      </c>
      <c r="L91" s="71" t="s">
        <v>131</v>
      </c>
      <c r="M91" s="71" t="s">
        <v>729</v>
      </c>
      <c r="N91" s="80" t="s">
        <v>586</v>
      </c>
      <c r="O91" s="295">
        <v>26325.57</v>
      </c>
      <c r="P91" s="75"/>
      <c r="Z91" s="16"/>
      <c r="AA91" s="16"/>
      <c r="AB91" s="16"/>
    </row>
    <row r="92" spans="2:28" ht="21.75" hidden="1" customHeight="1">
      <c r="B92" s="466">
        <v>46041</v>
      </c>
      <c r="C92" s="377" t="str">
        <f t="shared" si="1"/>
        <v>Janeiro</v>
      </c>
      <c r="D92" s="378" t="s">
        <v>508</v>
      </c>
      <c r="E92" s="379" t="s">
        <v>497</v>
      </c>
      <c r="F92" s="380" t="s">
        <v>534</v>
      </c>
      <c r="G92" s="19" t="s">
        <v>983</v>
      </c>
      <c r="H92" s="378" t="s">
        <v>984</v>
      </c>
      <c r="I92" s="342" t="s">
        <v>858</v>
      </c>
      <c r="J92" s="176" t="s">
        <v>985</v>
      </c>
      <c r="K92" s="384" t="s">
        <v>131</v>
      </c>
      <c r="L92" s="342" t="s">
        <v>137</v>
      </c>
      <c r="M92" s="71" t="s">
        <v>730</v>
      </c>
      <c r="N92" s="80" t="s">
        <v>135</v>
      </c>
      <c r="O92" s="390">
        <v>-804</v>
      </c>
      <c r="P92" s="75"/>
      <c r="Z92" s="16"/>
      <c r="AA92" s="16"/>
      <c r="AB92" s="16"/>
    </row>
    <row r="93" spans="2:28" ht="21.75" hidden="1" customHeight="1">
      <c r="B93" s="376">
        <v>46041</v>
      </c>
      <c r="C93" s="377" t="str">
        <f t="shared" si="1"/>
        <v>Janeiro</v>
      </c>
      <c r="D93" s="378" t="s">
        <v>510</v>
      </c>
      <c r="E93" s="379" t="s">
        <v>506</v>
      </c>
      <c r="F93" s="380" t="s">
        <v>131</v>
      </c>
      <c r="G93" s="342" t="s">
        <v>145</v>
      </c>
      <c r="H93" s="369" t="s">
        <v>990</v>
      </c>
      <c r="I93" s="342" t="s">
        <v>131</v>
      </c>
      <c r="J93" s="343" t="s">
        <v>131</v>
      </c>
      <c r="K93" s="342" t="s">
        <v>131</v>
      </c>
      <c r="L93" s="342" t="s">
        <v>134</v>
      </c>
      <c r="M93" s="71" t="s">
        <v>730</v>
      </c>
      <c r="N93" s="80" t="s">
        <v>135</v>
      </c>
      <c r="O93" s="390">
        <v>-16516.939999999999</v>
      </c>
      <c r="P93" s="75"/>
      <c r="Z93" s="16"/>
      <c r="AA93" s="16"/>
      <c r="AB93" s="16"/>
    </row>
    <row r="94" spans="2:28" ht="21.75" hidden="1" customHeight="1">
      <c r="B94" s="376">
        <v>46041</v>
      </c>
      <c r="C94" s="377" t="str">
        <f t="shared" si="1"/>
        <v>Janeiro</v>
      </c>
      <c r="D94" s="378" t="s">
        <v>383</v>
      </c>
      <c r="E94" s="379" t="s">
        <v>471</v>
      </c>
      <c r="F94" s="380" t="s">
        <v>131</v>
      </c>
      <c r="G94" s="342" t="s">
        <v>145</v>
      </c>
      <c r="H94" s="378" t="s">
        <v>1021</v>
      </c>
      <c r="I94" s="342" t="s">
        <v>131</v>
      </c>
      <c r="J94" s="343" t="s">
        <v>131</v>
      </c>
      <c r="K94" s="342" t="s">
        <v>131</v>
      </c>
      <c r="L94" s="71" t="s">
        <v>485</v>
      </c>
      <c r="M94" s="71" t="s">
        <v>730</v>
      </c>
      <c r="N94" s="381" t="s">
        <v>144</v>
      </c>
      <c r="O94" s="295">
        <v>200084.84</v>
      </c>
      <c r="P94" s="75"/>
      <c r="Z94" s="16"/>
      <c r="AA94" s="16"/>
      <c r="AB94" s="16"/>
    </row>
    <row r="95" spans="2:28" ht="21.75" hidden="1" customHeight="1">
      <c r="B95" s="376">
        <v>46041</v>
      </c>
      <c r="C95" s="377" t="str">
        <f t="shared" si="1"/>
        <v>Janeiro</v>
      </c>
      <c r="D95" s="378" t="s">
        <v>507</v>
      </c>
      <c r="E95" s="379" t="s">
        <v>494</v>
      </c>
      <c r="F95" s="380" t="s">
        <v>131</v>
      </c>
      <c r="G95" s="342" t="s">
        <v>145</v>
      </c>
      <c r="H95" s="378" t="s">
        <v>989</v>
      </c>
      <c r="I95" s="342" t="s">
        <v>131</v>
      </c>
      <c r="J95" s="112" t="s">
        <v>131</v>
      </c>
      <c r="K95" s="343" t="s">
        <v>131</v>
      </c>
      <c r="L95" s="342" t="s">
        <v>485</v>
      </c>
      <c r="M95" s="342" t="s">
        <v>730</v>
      </c>
      <c r="N95" s="386" t="s">
        <v>587</v>
      </c>
      <c r="O95" s="295">
        <v>-200084.84</v>
      </c>
      <c r="P95" s="75"/>
      <c r="Z95" s="16"/>
      <c r="AA95" s="16"/>
      <c r="AB95" s="16"/>
    </row>
    <row r="96" spans="2:28" ht="21.75" hidden="1" customHeight="1">
      <c r="B96" s="68">
        <v>46042</v>
      </c>
      <c r="C96" s="69" t="str">
        <f t="shared" si="1"/>
        <v>Janeiro</v>
      </c>
      <c r="D96" s="77" t="s">
        <v>300</v>
      </c>
      <c r="E96" s="72" t="s">
        <v>433</v>
      </c>
      <c r="F96" s="70" t="s">
        <v>136</v>
      </c>
      <c r="G96" s="71" t="s">
        <v>142</v>
      </c>
      <c r="H96" s="77" t="s">
        <v>155</v>
      </c>
      <c r="I96" s="71" t="s">
        <v>131</v>
      </c>
      <c r="J96" s="342" t="s">
        <v>953</v>
      </c>
      <c r="K96" s="71" t="s">
        <v>131</v>
      </c>
      <c r="L96" s="71" t="s">
        <v>137</v>
      </c>
      <c r="M96" s="71" t="s">
        <v>735</v>
      </c>
      <c r="N96" s="80" t="s">
        <v>135</v>
      </c>
      <c r="O96" s="390">
        <f>-304-312.5-145.19</f>
        <v>-761.69</v>
      </c>
      <c r="P96" s="75"/>
      <c r="Z96" s="16"/>
      <c r="AA96" s="16"/>
      <c r="AB96" s="16"/>
    </row>
    <row r="97" spans="2:29" ht="21.75" hidden="1" customHeight="1">
      <c r="B97" s="68">
        <v>46042</v>
      </c>
      <c r="C97" s="69" t="str">
        <f t="shared" si="1"/>
        <v>Janeiro</v>
      </c>
      <c r="D97" s="77" t="s">
        <v>508</v>
      </c>
      <c r="E97" s="72" t="s">
        <v>497</v>
      </c>
      <c r="F97" s="70" t="s">
        <v>534</v>
      </c>
      <c r="G97" s="71" t="s">
        <v>163</v>
      </c>
      <c r="H97" s="77" t="s">
        <v>592</v>
      </c>
      <c r="I97" s="71" t="s">
        <v>634</v>
      </c>
      <c r="J97" s="176" t="s">
        <v>726</v>
      </c>
      <c r="K97" s="71" t="s">
        <v>131</v>
      </c>
      <c r="L97" s="71" t="s">
        <v>150</v>
      </c>
      <c r="M97" s="71" t="s">
        <v>735</v>
      </c>
      <c r="N97" s="80" t="s">
        <v>135</v>
      </c>
      <c r="O97" s="390">
        <v>-13095.24</v>
      </c>
      <c r="P97" s="75"/>
      <c r="Z97" s="16"/>
      <c r="AA97" s="16"/>
      <c r="AB97" s="16"/>
    </row>
    <row r="98" spans="2:29" s="341" customFormat="1" ht="21.75" hidden="1" customHeight="1">
      <c r="B98" s="68">
        <v>46042</v>
      </c>
      <c r="C98" s="69" t="str">
        <f t="shared" si="1"/>
        <v>Janeiro</v>
      </c>
      <c r="D98" s="77" t="s">
        <v>508</v>
      </c>
      <c r="E98" s="72" t="s">
        <v>497</v>
      </c>
      <c r="F98" s="70" t="s">
        <v>534</v>
      </c>
      <c r="G98" s="71" t="s">
        <v>163</v>
      </c>
      <c r="H98" s="77" t="s">
        <v>592</v>
      </c>
      <c r="I98" s="71" t="s">
        <v>763</v>
      </c>
      <c r="J98" s="176" t="s">
        <v>867</v>
      </c>
      <c r="K98" s="71" t="s">
        <v>131</v>
      </c>
      <c r="L98" s="71" t="s">
        <v>150</v>
      </c>
      <c r="M98" s="71" t="s">
        <v>735</v>
      </c>
      <c r="N98" s="80" t="s">
        <v>135</v>
      </c>
      <c r="O98" s="390">
        <v>-3421.7</v>
      </c>
      <c r="P98" s="296"/>
      <c r="Q98" s="88"/>
      <c r="R98"/>
      <c r="S98"/>
      <c r="T98"/>
      <c r="U98"/>
      <c r="V98"/>
      <c r="W98"/>
      <c r="X98"/>
      <c r="Y98" s="45"/>
      <c r="AC98" s="45"/>
    </row>
    <row r="99" spans="2:29" ht="21.75" hidden="1" customHeight="1">
      <c r="B99" s="68">
        <v>46042</v>
      </c>
      <c r="C99" s="69" t="str">
        <f t="shared" si="1"/>
        <v>Janeiro</v>
      </c>
      <c r="D99" s="77" t="s">
        <v>299</v>
      </c>
      <c r="E99" s="72" t="s">
        <v>764</v>
      </c>
      <c r="F99" s="70" t="s">
        <v>138</v>
      </c>
      <c r="G99" s="71" t="s">
        <v>163</v>
      </c>
      <c r="H99" s="77" t="s">
        <v>50</v>
      </c>
      <c r="I99" s="71" t="s">
        <v>131</v>
      </c>
      <c r="J99" s="343" t="s">
        <v>208</v>
      </c>
      <c r="K99" s="71" t="s">
        <v>131</v>
      </c>
      <c r="L99" s="71" t="s">
        <v>150</v>
      </c>
      <c r="M99" s="71" t="s">
        <v>735</v>
      </c>
      <c r="N99" s="80" t="s">
        <v>135</v>
      </c>
      <c r="O99" s="390">
        <v>-2428.98</v>
      </c>
      <c r="P99" s="75"/>
      <c r="Z99" s="16"/>
      <c r="AA99" s="16"/>
      <c r="AB99" s="16"/>
    </row>
    <row r="100" spans="2:29" s="341" customFormat="1" ht="21.75" hidden="1" customHeight="1">
      <c r="B100" s="68">
        <v>46042</v>
      </c>
      <c r="C100" s="69" t="str">
        <f t="shared" si="1"/>
        <v>Janeiro</v>
      </c>
      <c r="D100" s="77" t="s">
        <v>299</v>
      </c>
      <c r="E100" s="72" t="s">
        <v>764</v>
      </c>
      <c r="F100" s="70" t="s">
        <v>138</v>
      </c>
      <c r="G100" s="71" t="s">
        <v>139</v>
      </c>
      <c r="H100" s="77" t="s">
        <v>185</v>
      </c>
      <c r="I100" s="71" t="s">
        <v>131</v>
      </c>
      <c r="J100" s="343" t="s">
        <v>878</v>
      </c>
      <c r="K100" s="73" t="s">
        <v>131</v>
      </c>
      <c r="L100" s="71" t="s">
        <v>150</v>
      </c>
      <c r="M100" s="71" t="s">
        <v>735</v>
      </c>
      <c r="N100" s="80" t="s">
        <v>135</v>
      </c>
      <c r="O100" s="295">
        <v>-200</v>
      </c>
      <c r="P100" s="296"/>
      <c r="Q100" s="88"/>
      <c r="R100"/>
      <c r="S100"/>
      <c r="T100"/>
      <c r="U100"/>
      <c r="V100"/>
      <c r="W100"/>
      <c r="X100"/>
      <c r="Y100" s="45"/>
      <c r="AC100" s="45"/>
    </row>
    <row r="101" spans="2:29" s="341" customFormat="1" ht="21.75" hidden="1" customHeight="1">
      <c r="B101" s="68">
        <v>46042</v>
      </c>
      <c r="C101" s="69" t="str">
        <f t="shared" si="1"/>
        <v>Janeiro</v>
      </c>
      <c r="D101" s="77" t="s">
        <v>299</v>
      </c>
      <c r="E101" s="72" t="s">
        <v>764</v>
      </c>
      <c r="F101" s="70" t="s">
        <v>138</v>
      </c>
      <c r="G101" s="71" t="s">
        <v>139</v>
      </c>
      <c r="H101" s="72" t="s">
        <v>49</v>
      </c>
      <c r="I101" s="71" t="s">
        <v>131</v>
      </c>
      <c r="J101" s="343" t="s">
        <v>208</v>
      </c>
      <c r="K101" s="73" t="s">
        <v>131</v>
      </c>
      <c r="L101" s="71" t="s">
        <v>150</v>
      </c>
      <c r="M101" s="71" t="s">
        <v>735</v>
      </c>
      <c r="N101" s="80" t="s">
        <v>135</v>
      </c>
      <c r="O101" s="295">
        <v>-400</v>
      </c>
      <c r="P101" s="296"/>
      <c r="Q101" s="88"/>
      <c r="R101"/>
      <c r="S101"/>
      <c r="T101"/>
      <c r="U101"/>
      <c r="V101"/>
      <c r="W101"/>
      <c r="X101"/>
      <c r="Y101" s="45"/>
      <c r="AC101" s="45"/>
    </row>
    <row r="102" spans="2:29" s="341" customFormat="1" ht="21.75" hidden="1" customHeight="1">
      <c r="B102" s="68">
        <v>46042</v>
      </c>
      <c r="C102" s="69" t="str">
        <f t="shared" si="1"/>
        <v>Janeiro</v>
      </c>
      <c r="D102" s="77" t="s">
        <v>509</v>
      </c>
      <c r="E102" s="72" t="s">
        <v>500</v>
      </c>
      <c r="F102" s="70" t="s">
        <v>131</v>
      </c>
      <c r="G102" s="71" t="s">
        <v>132</v>
      </c>
      <c r="H102" s="77" t="s">
        <v>133</v>
      </c>
      <c r="I102" s="71" t="s">
        <v>131</v>
      </c>
      <c r="J102" s="343" t="s">
        <v>749</v>
      </c>
      <c r="K102" s="71" t="s">
        <v>131</v>
      </c>
      <c r="L102" s="71" t="s">
        <v>134</v>
      </c>
      <c r="M102" s="71" t="s">
        <v>735</v>
      </c>
      <c r="N102" s="80" t="s">
        <v>265</v>
      </c>
      <c r="O102" s="295">
        <v>-915.86</v>
      </c>
      <c r="P102" s="296"/>
      <c r="Q102" s="88"/>
      <c r="R102"/>
      <c r="S102"/>
      <c r="T102"/>
      <c r="U102"/>
      <c r="V102"/>
      <c r="W102"/>
      <c r="X102"/>
      <c r="Y102" s="45"/>
      <c r="AC102" s="45"/>
    </row>
    <row r="103" spans="2:29" s="341" customFormat="1" ht="21.75" hidden="1" customHeight="1">
      <c r="B103" s="68">
        <v>46042</v>
      </c>
      <c r="C103" s="69" t="str">
        <f t="shared" si="1"/>
        <v>Janeiro</v>
      </c>
      <c r="D103" s="77" t="s">
        <v>508</v>
      </c>
      <c r="E103" s="72" t="s">
        <v>497</v>
      </c>
      <c r="F103" s="70" t="s">
        <v>534</v>
      </c>
      <c r="G103" s="71" t="s">
        <v>643</v>
      </c>
      <c r="H103" s="77" t="s">
        <v>644</v>
      </c>
      <c r="I103" s="342" t="s">
        <v>858</v>
      </c>
      <c r="J103" s="176" t="s">
        <v>669</v>
      </c>
      <c r="K103" s="73" t="s">
        <v>210</v>
      </c>
      <c r="L103" s="71" t="s">
        <v>137</v>
      </c>
      <c r="M103" s="71" t="s">
        <v>729</v>
      </c>
      <c r="N103" s="80" t="s">
        <v>135</v>
      </c>
      <c r="O103" s="295">
        <v>-26325.57</v>
      </c>
      <c r="P103" s="296"/>
      <c r="Q103" s="88"/>
      <c r="R103"/>
      <c r="S103"/>
      <c r="T103"/>
      <c r="U103"/>
      <c r="V103"/>
      <c r="W103"/>
      <c r="X103"/>
      <c r="Y103" s="45"/>
      <c r="AC103" s="45"/>
    </row>
    <row r="104" spans="2:29" s="341" customFormat="1" ht="21.75" hidden="1" customHeight="1">
      <c r="B104" s="68">
        <v>46043</v>
      </c>
      <c r="C104" s="69" t="str">
        <f t="shared" si="1"/>
        <v>Janeiro</v>
      </c>
      <c r="D104" s="77" t="s">
        <v>508</v>
      </c>
      <c r="E104" s="72" t="s">
        <v>497</v>
      </c>
      <c r="F104" s="70" t="s">
        <v>534</v>
      </c>
      <c r="G104" s="71" t="s">
        <v>702</v>
      </c>
      <c r="H104" s="77" t="s">
        <v>703</v>
      </c>
      <c r="I104" s="71" t="s">
        <v>595</v>
      </c>
      <c r="J104" s="366" t="s">
        <v>716</v>
      </c>
      <c r="K104" s="71" t="s">
        <v>273</v>
      </c>
      <c r="L104" s="71" t="s">
        <v>137</v>
      </c>
      <c r="M104" s="71" t="s">
        <v>729</v>
      </c>
      <c r="N104" s="80" t="s">
        <v>135</v>
      </c>
      <c r="O104" s="295">
        <v>-657</v>
      </c>
      <c r="P104" s="296"/>
      <c r="Q104" s="88"/>
      <c r="R104"/>
      <c r="S104"/>
      <c r="T104"/>
      <c r="U104"/>
      <c r="V104"/>
      <c r="W104"/>
      <c r="X104"/>
      <c r="Y104" s="45"/>
      <c r="AC104" s="45"/>
    </row>
    <row r="105" spans="2:29" s="341" customFormat="1" ht="21.75" hidden="1" customHeight="1">
      <c r="B105" s="68">
        <v>46043</v>
      </c>
      <c r="C105" s="69" t="str">
        <f t="shared" si="1"/>
        <v>Janeiro</v>
      </c>
      <c r="D105" s="77" t="s">
        <v>302</v>
      </c>
      <c r="E105" s="72" t="s">
        <v>436</v>
      </c>
      <c r="F105" s="70" t="s">
        <v>138</v>
      </c>
      <c r="G105" s="71" t="s">
        <v>480</v>
      </c>
      <c r="H105" s="77" t="s">
        <v>484</v>
      </c>
      <c r="I105" s="71" t="s">
        <v>131</v>
      </c>
      <c r="J105" s="389" t="s">
        <v>749</v>
      </c>
      <c r="K105" s="71" t="s">
        <v>131</v>
      </c>
      <c r="L105" s="71" t="s">
        <v>197</v>
      </c>
      <c r="M105" s="71" t="s">
        <v>729</v>
      </c>
      <c r="N105" s="80" t="s">
        <v>135</v>
      </c>
      <c r="O105" s="295">
        <v>-50</v>
      </c>
      <c r="P105" s="296"/>
      <c r="Q105" s="88"/>
      <c r="R105"/>
      <c r="S105"/>
      <c r="T105"/>
      <c r="U105"/>
      <c r="V105"/>
      <c r="W105"/>
      <c r="X105"/>
      <c r="Y105" s="45"/>
      <c r="AC105" s="45"/>
    </row>
    <row r="106" spans="2:29" s="341" customFormat="1" ht="21.75" hidden="1" customHeight="1">
      <c r="B106" s="68">
        <v>46044</v>
      </c>
      <c r="C106" s="69" t="str">
        <f t="shared" si="1"/>
        <v>Janeiro</v>
      </c>
      <c r="D106" s="77" t="s">
        <v>509</v>
      </c>
      <c r="E106" s="72" t="s">
        <v>500</v>
      </c>
      <c r="F106" s="70" t="s">
        <v>131</v>
      </c>
      <c r="G106" s="71" t="s">
        <v>132</v>
      </c>
      <c r="H106" s="77" t="s">
        <v>133</v>
      </c>
      <c r="I106" s="71" t="s">
        <v>131</v>
      </c>
      <c r="J106" s="343" t="s">
        <v>749</v>
      </c>
      <c r="K106" s="71" t="s">
        <v>131</v>
      </c>
      <c r="L106" s="71" t="s">
        <v>134</v>
      </c>
      <c r="M106" s="71" t="s">
        <v>735</v>
      </c>
      <c r="N106" s="80" t="s">
        <v>265</v>
      </c>
      <c r="O106" s="295">
        <v>-100</v>
      </c>
      <c r="P106" s="296"/>
      <c r="Q106" s="88"/>
      <c r="R106"/>
      <c r="S106"/>
      <c r="T106"/>
      <c r="U106"/>
      <c r="V106"/>
      <c r="W106"/>
      <c r="X106"/>
      <c r="Y106" s="45"/>
      <c r="AC106" s="45"/>
    </row>
    <row r="107" spans="2:29" ht="21.75" hidden="1" customHeight="1">
      <c r="B107" s="376">
        <v>46044</v>
      </c>
      <c r="C107" s="377" t="str">
        <f t="shared" si="1"/>
        <v>Janeiro</v>
      </c>
      <c r="D107" s="378" t="s">
        <v>386</v>
      </c>
      <c r="E107" s="379" t="s">
        <v>468</v>
      </c>
      <c r="F107" s="380" t="s">
        <v>131</v>
      </c>
      <c r="G107" s="342" t="s">
        <v>480</v>
      </c>
      <c r="H107" s="72" t="s">
        <v>1008</v>
      </c>
      <c r="I107" s="342" t="s">
        <v>131</v>
      </c>
      <c r="J107" s="112" t="s">
        <v>131</v>
      </c>
      <c r="K107" s="343" t="s">
        <v>131</v>
      </c>
      <c r="L107" s="342" t="s">
        <v>131</v>
      </c>
      <c r="M107" s="71" t="s">
        <v>730</v>
      </c>
      <c r="N107" s="381" t="s">
        <v>586</v>
      </c>
      <c r="O107" s="390">
        <f>380.13+400</f>
        <v>780.13</v>
      </c>
      <c r="P107" s="75"/>
      <c r="Z107" s="16"/>
      <c r="AA107" s="16"/>
      <c r="AB107" s="16"/>
    </row>
    <row r="108" spans="2:29" ht="21.75" hidden="1" customHeight="1">
      <c r="B108" s="376">
        <v>46044</v>
      </c>
      <c r="C108" s="377" t="str">
        <f t="shared" si="1"/>
        <v>Janeiro</v>
      </c>
      <c r="D108" s="378" t="s">
        <v>386</v>
      </c>
      <c r="E108" s="379" t="s">
        <v>468</v>
      </c>
      <c r="F108" s="380" t="s">
        <v>131</v>
      </c>
      <c r="G108" s="342" t="s">
        <v>480</v>
      </c>
      <c r="H108" s="72" t="s">
        <v>1008</v>
      </c>
      <c r="I108" s="342" t="s">
        <v>131</v>
      </c>
      <c r="J108" s="112" t="s">
        <v>131</v>
      </c>
      <c r="K108" s="343" t="s">
        <v>131</v>
      </c>
      <c r="L108" s="342" t="s">
        <v>131</v>
      </c>
      <c r="M108" s="342" t="s">
        <v>730</v>
      </c>
      <c r="N108" s="381" t="s">
        <v>586</v>
      </c>
      <c r="O108" s="295">
        <v>2850</v>
      </c>
      <c r="P108" s="75"/>
      <c r="Z108" s="16"/>
      <c r="AA108" s="16"/>
      <c r="AB108" s="16"/>
    </row>
    <row r="109" spans="2:29" ht="21.75" hidden="1" customHeight="1">
      <c r="B109" s="376">
        <v>46045</v>
      </c>
      <c r="C109" s="377" t="str">
        <f t="shared" si="1"/>
        <v>Janeiro</v>
      </c>
      <c r="D109" s="378" t="s">
        <v>508</v>
      </c>
      <c r="E109" s="379" t="s">
        <v>497</v>
      </c>
      <c r="F109" s="380" t="s">
        <v>534</v>
      </c>
      <c r="G109" s="342" t="s">
        <v>991</v>
      </c>
      <c r="H109" s="369" t="s">
        <v>992</v>
      </c>
      <c r="I109" s="342" t="s">
        <v>595</v>
      </c>
      <c r="J109" s="112" t="s">
        <v>993</v>
      </c>
      <c r="K109" s="343" t="s">
        <v>131</v>
      </c>
      <c r="L109" s="342" t="s">
        <v>137</v>
      </c>
      <c r="M109" s="71" t="s">
        <v>730</v>
      </c>
      <c r="N109" s="80" t="s">
        <v>135</v>
      </c>
      <c r="O109" s="390">
        <v>-380.13</v>
      </c>
      <c r="P109" s="75"/>
      <c r="Z109" s="16"/>
      <c r="AA109" s="16"/>
      <c r="AB109" s="16"/>
    </row>
    <row r="110" spans="2:29" ht="21.75" hidden="1" customHeight="1">
      <c r="B110" s="68">
        <v>46045</v>
      </c>
      <c r="C110" s="69" t="str">
        <f t="shared" si="1"/>
        <v>Janeiro</v>
      </c>
      <c r="D110" s="77" t="s">
        <v>508</v>
      </c>
      <c r="E110" s="72" t="s">
        <v>497</v>
      </c>
      <c r="F110" s="70" t="s">
        <v>534</v>
      </c>
      <c r="G110" s="71" t="s">
        <v>702</v>
      </c>
      <c r="H110" s="77" t="s">
        <v>703</v>
      </c>
      <c r="I110" s="71" t="s">
        <v>595</v>
      </c>
      <c r="J110" s="366" t="s">
        <v>721</v>
      </c>
      <c r="K110" s="71" t="s">
        <v>765</v>
      </c>
      <c r="L110" s="71" t="s">
        <v>137</v>
      </c>
      <c r="M110" s="71" t="s">
        <v>730</v>
      </c>
      <c r="N110" s="80" t="s">
        <v>135</v>
      </c>
      <c r="O110" s="295">
        <v>-2850</v>
      </c>
      <c r="P110" s="75"/>
      <c r="Z110" s="16"/>
      <c r="AA110" s="16"/>
      <c r="AB110" s="16"/>
    </row>
    <row r="111" spans="2:29" ht="21.75" hidden="1" customHeight="1">
      <c r="B111" s="68">
        <v>46046</v>
      </c>
      <c r="C111" s="69" t="str">
        <f t="shared" si="1"/>
        <v>Janeiro</v>
      </c>
      <c r="D111" s="77" t="s">
        <v>509</v>
      </c>
      <c r="E111" s="72" t="s">
        <v>502</v>
      </c>
      <c r="F111" s="70" t="s">
        <v>138</v>
      </c>
      <c r="G111" s="71" t="s">
        <v>141</v>
      </c>
      <c r="H111" s="77" t="s">
        <v>187</v>
      </c>
      <c r="I111" s="71" t="s">
        <v>131</v>
      </c>
      <c r="J111" s="389" t="s">
        <v>749</v>
      </c>
      <c r="K111" s="71" t="s">
        <v>131</v>
      </c>
      <c r="L111" s="71" t="s">
        <v>134</v>
      </c>
      <c r="M111" s="71" t="s">
        <v>735</v>
      </c>
      <c r="N111" s="80" t="s">
        <v>135</v>
      </c>
      <c r="O111" s="295">
        <v>-8489.33</v>
      </c>
      <c r="P111" s="75"/>
      <c r="Z111" s="16"/>
      <c r="AA111" s="16"/>
      <c r="AB111" s="16"/>
    </row>
    <row r="112" spans="2:29" ht="21.75" hidden="1" customHeight="1">
      <c r="B112" s="68">
        <v>46047</v>
      </c>
      <c r="C112" s="69" t="str">
        <f t="shared" si="1"/>
        <v>Janeiro</v>
      </c>
      <c r="D112" s="77" t="s">
        <v>299</v>
      </c>
      <c r="E112" s="72" t="s">
        <v>303</v>
      </c>
      <c r="F112" s="70" t="s">
        <v>136</v>
      </c>
      <c r="G112" s="71" t="s">
        <v>897</v>
      </c>
      <c r="H112" s="77" t="s">
        <v>766</v>
      </c>
      <c r="I112" s="71" t="s">
        <v>131</v>
      </c>
      <c r="J112" s="389" t="s">
        <v>900</v>
      </c>
      <c r="K112" s="71" t="s">
        <v>131</v>
      </c>
      <c r="L112" s="71" t="s">
        <v>137</v>
      </c>
      <c r="M112" s="71" t="s">
        <v>735</v>
      </c>
      <c r="N112" s="80" t="s">
        <v>135</v>
      </c>
      <c r="O112" s="295">
        <v>-180</v>
      </c>
      <c r="P112" s="75"/>
      <c r="Z112" s="16"/>
      <c r="AA112" s="16"/>
      <c r="AB112" s="16"/>
    </row>
    <row r="113" spans="2:29" s="341" customFormat="1" ht="21.75" hidden="1" customHeight="1">
      <c r="B113" s="68">
        <v>46047</v>
      </c>
      <c r="C113" s="69" t="str">
        <f t="shared" si="1"/>
        <v>Janeiro</v>
      </c>
      <c r="D113" s="77" t="s">
        <v>299</v>
      </c>
      <c r="E113" s="72" t="s">
        <v>303</v>
      </c>
      <c r="F113" s="70" t="s">
        <v>136</v>
      </c>
      <c r="G113" s="71" t="s">
        <v>897</v>
      </c>
      <c r="H113" s="77" t="s">
        <v>767</v>
      </c>
      <c r="I113" s="71" t="s">
        <v>131</v>
      </c>
      <c r="J113" s="402" t="s">
        <v>889</v>
      </c>
      <c r="K113" s="71" t="s">
        <v>131</v>
      </c>
      <c r="L113" s="71" t="s">
        <v>137</v>
      </c>
      <c r="M113" s="71" t="s">
        <v>735</v>
      </c>
      <c r="N113" s="80" t="s">
        <v>135</v>
      </c>
      <c r="O113" s="295">
        <v>-310</v>
      </c>
      <c r="P113" s="75"/>
      <c r="Q113"/>
      <c r="R113"/>
      <c r="S113"/>
      <c r="T113"/>
      <c r="U113"/>
      <c r="V113"/>
      <c r="W113"/>
      <c r="X113"/>
      <c r="Y113" s="45"/>
      <c r="AC113" s="45"/>
    </row>
    <row r="114" spans="2:29" ht="21.75" hidden="1" customHeight="1">
      <c r="B114" s="68">
        <v>46048</v>
      </c>
      <c r="C114" s="69" t="str">
        <f t="shared" si="1"/>
        <v>Janeiro</v>
      </c>
      <c r="D114" s="77" t="s">
        <v>386</v>
      </c>
      <c r="E114" s="72" t="s">
        <v>468</v>
      </c>
      <c r="F114" s="70" t="s">
        <v>131</v>
      </c>
      <c r="G114" s="71" t="s">
        <v>480</v>
      </c>
      <c r="H114" s="77" t="s">
        <v>511</v>
      </c>
      <c r="I114" s="71" t="s">
        <v>131</v>
      </c>
      <c r="J114" s="112" t="s">
        <v>131</v>
      </c>
      <c r="K114" s="71" t="s">
        <v>131</v>
      </c>
      <c r="L114" s="71" t="s">
        <v>131</v>
      </c>
      <c r="M114" s="71" t="s">
        <v>729</v>
      </c>
      <c r="N114" s="80" t="s">
        <v>586</v>
      </c>
      <c r="O114" s="295">
        <v>12200</v>
      </c>
      <c r="P114" s="75"/>
      <c r="Z114" s="16"/>
      <c r="AA114" s="16"/>
      <c r="AB114" s="16"/>
    </row>
    <row r="115" spans="2:29" ht="21.75" hidden="1" customHeight="1">
      <c r="B115" s="376">
        <v>46048</v>
      </c>
      <c r="C115" s="377" t="str">
        <f t="shared" si="1"/>
        <v>Janeiro</v>
      </c>
      <c r="D115" s="378" t="s">
        <v>508</v>
      </c>
      <c r="E115" s="379" t="s">
        <v>497</v>
      </c>
      <c r="F115" s="380" t="s">
        <v>534</v>
      </c>
      <c r="G115" s="19" t="s">
        <v>980</v>
      </c>
      <c r="H115" s="378" t="s">
        <v>981</v>
      </c>
      <c r="I115" s="342" t="s">
        <v>858</v>
      </c>
      <c r="J115" s="112" t="s">
        <v>982</v>
      </c>
      <c r="K115" s="342" t="s">
        <v>131</v>
      </c>
      <c r="L115" s="342" t="s">
        <v>137</v>
      </c>
      <c r="M115" s="71" t="s">
        <v>730</v>
      </c>
      <c r="N115" s="80" t="s">
        <v>135</v>
      </c>
      <c r="O115" s="390">
        <v>-400</v>
      </c>
      <c r="P115" s="75"/>
      <c r="Z115" s="16"/>
      <c r="AA115" s="16"/>
      <c r="AB115" s="16"/>
    </row>
    <row r="116" spans="2:29" ht="21.75" hidden="1" customHeight="1">
      <c r="B116" s="68">
        <v>46049</v>
      </c>
      <c r="C116" s="69" t="str">
        <f t="shared" si="1"/>
        <v>Janeiro</v>
      </c>
      <c r="D116" s="77" t="s">
        <v>298</v>
      </c>
      <c r="E116" s="72" t="s">
        <v>439</v>
      </c>
      <c r="F116" s="70" t="s">
        <v>637</v>
      </c>
      <c r="G116" s="71" t="s">
        <v>198</v>
      </c>
      <c r="H116" s="77" t="s">
        <v>271</v>
      </c>
      <c r="I116" s="71" t="s">
        <v>131</v>
      </c>
      <c r="J116" s="343">
        <v>2026</v>
      </c>
      <c r="K116" s="71" t="s">
        <v>131</v>
      </c>
      <c r="L116" s="71" t="s">
        <v>134</v>
      </c>
      <c r="M116" s="71" t="s">
        <v>735</v>
      </c>
      <c r="N116" s="80" t="s">
        <v>135</v>
      </c>
      <c r="O116" s="295">
        <v>-200</v>
      </c>
      <c r="P116" s="75"/>
      <c r="Z116" s="16"/>
      <c r="AA116" s="16"/>
      <c r="AB116" s="16"/>
    </row>
    <row r="117" spans="2:29" ht="21.75" hidden="1" customHeight="1">
      <c r="B117" s="68">
        <v>46049</v>
      </c>
      <c r="C117" s="69" t="str">
        <f t="shared" si="1"/>
        <v>Janeiro</v>
      </c>
      <c r="D117" s="77" t="s">
        <v>508</v>
      </c>
      <c r="E117" s="72" t="s">
        <v>497</v>
      </c>
      <c r="F117" s="70" t="s">
        <v>534</v>
      </c>
      <c r="G117" s="71" t="s">
        <v>628</v>
      </c>
      <c r="H117" s="72" t="s">
        <v>663</v>
      </c>
      <c r="I117" s="71" t="s">
        <v>595</v>
      </c>
      <c r="J117" s="343" t="s">
        <v>683</v>
      </c>
      <c r="K117" s="73" t="s">
        <v>288</v>
      </c>
      <c r="L117" s="71" t="s">
        <v>137</v>
      </c>
      <c r="M117" s="71" t="s">
        <v>729</v>
      </c>
      <c r="N117" s="80" t="s">
        <v>135</v>
      </c>
      <c r="O117" s="295">
        <v>-12200</v>
      </c>
      <c r="P117" s="75"/>
      <c r="Z117" s="16"/>
      <c r="AA117" s="16"/>
      <c r="AB117" s="16"/>
    </row>
    <row r="118" spans="2:29" ht="21.75" hidden="1" customHeight="1">
      <c r="B118" s="68">
        <v>46051</v>
      </c>
      <c r="C118" s="69" t="str">
        <f t="shared" si="1"/>
        <v>Janeiro</v>
      </c>
      <c r="D118" s="77" t="s">
        <v>298</v>
      </c>
      <c r="E118" s="72" t="s">
        <v>439</v>
      </c>
      <c r="F118" s="70" t="s">
        <v>138</v>
      </c>
      <c r="G118" s="71" t="s">
        <v>164</v>
      </c>
      <c r="H118" s="77" t="s">
        <v>770</v>
      </c>
      <c r="I118" s="71" t="s">
        <v>131</v>
      </c>
      <c r="J118" s="19">
        <v>2025</v>
      </c>
      <c r="K118" s="71" t="s">
        <v>131</v>
      </c>
      <c r="L118" s="71" t="s">
        <v>150</v>
      </c>
      <c r="M118" s="71" t="s">
        <v>735</v>
      </c>
      <c r="N118" s="80" t="s">
        <v>135</v>
      </c>
      <c r="O118" s="295">
        <v>-18524.599999999999</v>
      </c>
      <c r="P118" s="75"/>
      <c r="Z118" s="16"/>
      <c r="AA118" s="16"/>
      <c r="AB118" s="16"/>
    </row>
    <row r="119" spans="2:29" ht="21.75" hidden="1" customHeight="1">
      <c r="B119" s="68">
        <v>46051</v>
      </c>
      <c r="C119" s="69" t="str">
        <f t="shared" si="1"/>
        <v>Janeiro</v>
      </c>
      <c r="D119" s="77" t="s">
        <v>298</v>
      </c>
      <c r="E119" s="72" t="s">
        <v>439</v>
      </c>
      <c r="F119" s="70" t="s">
        <v>138</v>
      </c>
      <c r="G119" s="71" t="s">
        <v>163</v>
      </c>
      <c r="H119" s="77" t="s">
        <v>771</v>
      </c>
      <c r="I119" s="71" t="s">
        <v>131</v>
      </c>
      <c r="J119" s="19">
        <v>2025</v>
      </c>
      <c r="K119" s="71" t="s">
        <v>131</v>
      </c>
      <c r="L119" s="71" t="s">
        <v>150</v>
      </c>
      <c r="M119" s="71" t="s">
        <v>735</v>
      </c>
      <c r="N119" s="80" t="s">
        <v>135</v>
      </c>
      <c r="O119" s="295">
        <v>-10179.9</v>
      </c>
      <c r="P119" s="75"/>
      <c r="Z119" s="16"/>
      <c r="AA119" s="16"/>
      <c r="AB119" s="16"/>
    </row>
    <row r="120" spans="2:29" ht="21.75" hidden="1" customHeight="1">
      <c r="B120" s="68">
        <v>46051</v>
      </c>
      <c r="C120" s="69" t="str">
        <f t="shared" si="1"/>
        <v>Janeiro</v>
      </c>
      <c r="D120" s="77" t="s">
        <v>509</v>
      </c>
      <c r="E120" s="72" t="s">
        <v>500</v>
      </c>
      <c r="F120" s="70" t="s">
        <v>131</v>
      </c>
      <c r="G120" s="71" t="s">
        <v>132</v>
      </c>
      <c r="H120" s="77" t="s">
        <v>133</v>
      </c>
      <c r="I120" s="71" t="s">
        <v>131</v>
      </c>
      <c r="J120" s="343" t="s">
        <v>749</v>
      </c>
      <c r="K120" s="71" t="s">
        <v>131</v>
      </c>
      <c r="L120" s="71" t="s">
        <v>134</v>
      </c>
      <c r="M120" s="71" t="s">
        <v>735</v>
      </c>
      <c r="N120" s="80" t="s">
        <v>265</v>
      </c>
      <c r="O120" s="295">
        <v>-444</v>
      </c>
      <c r="P120" s="75"/>
      <c r="Z120" s="16"/>
      <c r="AA120" s="16"/>
      <c r="AB120" s="16"/>
    </row>
    <row r="121" spans="2:29" ht="21.75" hidden="1" customHeight="1">
      <c r="B121" s="376">
        <v>46051</v>
      </c>
      <c r="C121" s="377" t="str">
        <f t="shared" si="1"/>
        <v>Janeiro</v>
      </c>
      <c r="D121" s="378" t="s">
        <v>298</v>
      </c>
      <c r="E121" s="379" t="s">
        <v>440</v>
      </c>
      <c r="F121" s="380" t="s">
        <v>136</v>
      </c>
      <c r="G121" s="342" t="s">
        <v>1047</v>
      </c>
      <c r="H121" s="378" t="s">
        <v>1128</v>
      </c>
      <c r="I121" s="342" t="s">
        <v>131</v>
      </c>
      <c r="J121" s="366" t="s">
        <v>1127</v>
      </c>
      <c r="K121" s="343" t="s">
        <v>205</v>
      </c>
      <c r="L121" s="71" t="s">
        <v>134</v>
      </c>
      <c r="M121" s="342" t="s">
        <v>735</v>
      </c>
      <c r="N121" s="381" t="s">
        <v>135</v>
      </c>
      <c r="O121" s="469">
        <v>-207.5</v>
      </c>
      <c r="P121" s="75"/>
      <c r="Z121" s="16"/>
      <c r="AA121" s="16"/>
      <c r="AB121" s="16"/>
    </row>
    <row r="122" spans="2:29" ht="21.75" hidden="1" customHeight="1">
      <c r="B122" s="376">
        <v>46051</v>
      </c>
      <c r="C122" s="377" t="str">
        <f t="shared" si="1"/>
        <v>Janeiro</v>
      </c>
      <c r="D122" s="378" t="s">
        <v>386</v>
      </c>
      <c r="E122" s="379" t="s">
        <v>468</v>
      </c>
      <c r="F122" s="380" t="s">
        <v>131</v>
      </c>
      <c r="G122" s="342" t="s">
        <v>480</v>
      </c>
      <c r="H122" s="378" t="s">
        <v>1008</v>
      </c>
      <c r="I122" s="342" t="s">
        <v>131</v>
      </c>
      <c r="J122" s="112" t="s">
        <v>131</v>
      </c>
      <c r="K122" s="343" t="s">
        <v>131</v>
      </c>
      <c r="L122" s="342" t="s">
        <v>131</v>
      </c>
      <c r="M122" s="342" t="s">
        <v>730</v>
      </c>
      <c r="N122" s="381" t="s">
        <v>586</v>
      </c>
      <c r="O122" s="295">
        <v>900</v>
      </c>
      <c r="P122" s="75"/>
      <c r="Z122" s="16"/>
      <c r="AA122" s="16"/>
      <c r="AB122" s="16"/>
    </row>
    <row r="123" spans="2:29" ht="21.75" hidden="1" customHeight="1">
      <c r="B123" s="68">
        <v>46051</v>
      </c>
      <c r="C123" s="69" t="str">
        <f t="shared" si="1"/>
        <v>Janeiro</v>
      </c>
      <c r="D123" s="77" t="s">
        <v>508</v>
      </c>
      <c r="E123" s="72" t="s">
        <v>497</v>
      </c>
      <c r="F123" s="70" t="s">
        <v>534</v>
      </c>
      <c r="G123" s="19" t="s">
        <v>1051</v>
      </c>
      <c r="H123" s="369" t="s">
        <v>1052</v>
      </c>
      <c r="I123" s="71" t="s">
        <v>595</v>
      </c>
      <c r="J123" s="342" t="s">
        <v>1057</v>
      </c>
      <c r="K123" s="19" t="s">
        <v>131</v>
      </c>
      <c r="L123" s="71" t="s">
        <v>134</v>
      </c>
      <c r="M123" s="71" t="s">
        <v>730</v>
      </c>
      <c r="N123" s="80" t="s">
        <v>135</v>
      </c>
      <c r="O123" s="295">
        <v>-900</v>
      </c>
      <c r="P123" s="75"/>
      <c r="Z123" s="16"/>
      <c r="AA123" s="16"/>
      <c r="AB123" s="16"/>
    </row>
    <row r="124" spans="2:29" ht="21.75" hidden="1" customHeight="1">
      <c r="B124" s="68">
        <v>46052</v>
      </c>
      <c r="C124" s="69" t="str">
        <f t="shared" si="1"/>
        <v>Janeiro</v>
      </c>
      <c r="D124" s="77" t="s">
        <v>509</v>
      </c>
      <c r="E124" s="72" t="s">
        <v>500</v>
      </c>
      <c r="F124" s="70" t="s">
        <v>131</v>
      </c>
      <c r="G124" s="71" t="s">
        <v>132</v>
      </c>
      <c r="H124" s="77" t="s">
        <v>133</v>
      </c>
      <c r="I124" s="71" t="s">
        <v>131</v>
      </c>
      <c r="J124" s="343" t="s">
        <v>749</v>
      </c>
      <c r="K124" s="71" t="s">
        <v>131</v>
      </c>
      <c r="L124" s="71" t="s">
        <v>134</v>
      </c>
      <c r="M124" s="71" t="s">
        <v>735</v>
      </c>
      <c r="N124" s="80" t="s">
        <v>265</v>
      </c>
      <c r="O124" s="470">
        <v>-9355.7199999999993</v>
      </c>
      <c r="P124" s="75"/>
      <c r="Z124" s="16"/>
      <c r="AA124" s="16"/>
      <c r="AB124" s="16"/>
    </row>
    <row r="125" spans="2:29" ht="21.75" hidden="1" customHeight="1">
      <c r="B125" s="68">
        <v>46052</v>
      </c>
      <c r="C125" s="69" t="str">
        <f t="shared" si="1"/>
        <v>Janeiro</v>
      </c>
      <c r="D125" s="77" t="s">
        <v>397</v>
      </c>
      <c r="E125" s="72" t="s">
        <v>445</v>
      </c>
      <c r="F125" s="70" t="s">
        <v>131</v>
      </c>
      <c r="G125" s="71" t="s">
        <v>143</v>
      </c>
      <c r="H125" s="77" t="s">
        <v>772</v>
      </c>
      <c r="I125" s="71" t="s">
        <v>131</v>
      </c>
      <c r="J125" s="342" t="s">
        <v>773</v>
      </c>
      <c r="K125" s="71" t="s">
        <v>131</v>
      </c>
      <c r="L125" s="71" t="s">
        <v>134</v>
      </c>
      <c r="M125" s="71" t="s">
        <v>735</v>
      </c>
      <c r="N125" s="80" t="s">
        <v>144</v>
      </c>
      <c r="O125" s="295">
        <v>960000</v>
      </c>
      <c r="P125" s="75"/>
      <c r="Z125" s="16"/>
      <c r="AA125" s="16"/>
      <c r="AB125" s="16"/>
    </row>
    <row r="126" spans="2:29" ht="21.75" hidden="1" customHeight="1">
      <c r="B126" s="68">
        <v>46054</v>
      </c>
      <c r="C126" s="69" t="str">
        <f t="shared" si="1"/>
        <v>Fevereiro</v>
      </c>
      <c r="D126" s="77" t="s">
        <v>509</v>
      </c>
      <c r="E126" s="72" t="s">
        <v>500</v>
      </c>
      <c r="F126" s="70" t="s">
        <v>131</v>
      </c>
      <c r="G126" s="71" t="s">
        <v>132</v>
      </c>
      <c r="H126" s="77" t="s">
        <v>133</v>
      </c>
      <c r="I126" s="71" t="s">
        <v>131</v>
      </c>
      <c r="J126" s="343" t="s">
        <v>775</v>
      </c>
      <c r="K126" s="78" t="s">
        <v>131</v>
      </c>
      <c r="L126" s="71" t="s">
        <v>134</v>
      </c>
      <c r="M126" s="71" t="s">
        <v>735</v>
      </c>
      <c r="N126" s="80" t="s">
        <v>265</v>
      </c>
      <c r="O126" s="295">
        <v>-79702.920000000013</v>
      </c>
      <c r="P126" s="75"/>
      <c r="Z126" s="16"/>
      <c r="AA126" s="16"/>
      <c r="AB126" s="16"/>
    </row>
    <row r="127" spans="2:29" ht="21.75" hidden="1" customHeight="1">
      <c r="B127" s="376">
        <v>46055</v>
      </c>
      <c r="C127" s="69" t="str">
        <f t="shared" si="1"/>
        <v>Fevereiro</v>
      </c>
      <c r="D127" s="77" t="s">
        <v>302</v>
      </c>
      <c r="E127" s="72" t="s">
        <v>436</v>
      </c>
      <c r="F127" s="70" t="s">
        <v>138</v>
      </c>
      <c r="G127" s="71" t="s">
        <v>480</v>
      </c>
      <c r="H127" s="77" t="s">
        <v>484</v>
      </c>
      <c r="I127" s="71" t="s">
        <v>131</v>
      </c>
      <c r="J127" s="343" t="s">
        <v>775</v>
      </c>
      <c r="K127" s="71" t="s">
        <v>131</v>
      </c>
      <c r="L127" s="71" t="s">
        <v>197</v>
      </c>
      <c r="M127" s="71" t="s">
        <v>730</v>
      </c>
      <c r="N127" s="80" t="s">
        <v>135</v>
      </c>
      <c r="O127" s="295">
        <v>-100</v>
      </c>
      <c r="P127" s="75"/>
      <c r="Z127" s="16"/>
      <c r="AA127" s="16"/>
      <c r="AB127" s="16"/>
    </row>
    <row r="128" spans="2:29" ht="21.75" hidden="1" customHeight="1">
      <c r="B128" s="376">
        <v>46055</v>
      </c>
      <c r="C128" s="377" t="str">
        <f t="shared" si="1"/>
        <v>Fevereiro</v>
      </c>
      <c r="D128" s="378" t="s">
        <v>300</v>
      </c>
      <c r="E128" s="379" t="s">
        <v>478</v>
      </c>
      <c r="F128" s="380" t="s">
        <v>136</v>
      </c>
      <c r="G128" s="342" t="s">
        <v>894</v>
      </c>
      <c r="H128" s="378" t="s">
        <v>211</v>
      </c>
      <c r="I128" s="342" t="s">
        <v>131</v>
      </c>
      <c r="J128" s="343" t="s">
        <v>1042</v>
      </c>
      <c r="K128" s="342" t="s">
        <v>131</v>
      </c>
      <c r="L128" s="342" t="s">
        <v>134</v>
      </c>
      <c r="M128" s="342" t="s">
        <v>735</v>
      </c>
      <c r="N128" s="80" t="s">
        <v>135</v>
      </c>
      <c r="O128" s="295">
        <v>-1010</v>
      </c>
      <c r="P128" s="75"/>
      <c r="Z128" s="16"/>
      <c r="AA128" s="16"/>
      <c r="AB128" s="16"/>
    </row>
    <row r="129" spans="2:29" ht="21.75" hidden="1" customHeight="1">
      <c r="B129" s="376">
        <v>46055</v>
      </c>
      <c r="C129" s="69" t="str">
        <f t="shared" si="1"/>
        <v>Fevereiro</v>
      </c>
      <c r="D129" s="378" t="s">
        <v>301</v>
      </c>
      <c r="E129" s="379" t="s">
        <v>414</v>
      </c>
      <c r="F129" s="380" t="s">
        <v>136</v>
      </c>
      <c r="G129" s="342" t="s">
        <v>1044</v>
      </c>
      <c r="H129" s="378" t="s">
        <v>1041</v>
      </c>
      <c r="I129" s="342" t="s">
        <v>131</v>
      </c>
      <c r="J129" s="342" t="s">
        <v>1040</v>
      </c>
      <c r="K129" s="343" t="s">
        <v>131</v>
      </c>
      <c r="L129" s="342" t="s">
        <v>134</v>
      </c>
      <c r="M129" s="342" t="s">
        <v>735</v>
      </c>
      <c r="N129" s="80" t="s">
        <v>135</v>
      </c>
      <c r="O129" s="295">
        <v>-350</v>
      </c>
      <c r="P129" s="75"/>
      <c r="Z129" s="16"/>
      <c r="AA129" s="16"/>
      <c r="AB129" s="16"/>
    </row>
    <row r="130" spans="2:29" ht="21.75" hidden="1" customHeight="1">
      <c r="B130" s="376">
        <v>46055</v>
      </c>
      <c r="C130" s="377" t="str">
        <f t="shared" si="1"/>
        <v>Fevereiro</v>
      </c>
      <c r="D130" s="378" t="s">
        <v>386</v>
      </c>
      <c r="E130" s="379" t="s">
        <v>468</v>
      </c>
      <c r="F130" s="380" t="s">
        <v>131</v>
      </c>
      <c r="G130" s="342" t="s">
        <v>480</v>
      </c>
      <c r="H130" s="72" t="s">
        <v>1008</v>
      </c>
      <c r="I130" s="342" t="s">
        <v>131</v>
      </c>
      <c r="J130" s="112" t="s">
        <v>131</v>
      </c>
      <c r="K130" s="343" t="s">
        <v>131</v>
      </c>
      <c r="L130" s="342" t="s">
        <v>131</v>
      </c>
      <c r="M130" s="71" t="s">
        <v>730</v>
      </c>
      <c r="N130" s="381" t="s">
        <v>586</v>
      </c>
      <c r="O130" s="390">
        <v>1737.5</v>
      </c>
      <c r="P130" s="75"/>
      <c r="Z130" s="16"/>
      <c r="AA130" s="16"/>
      <c r="AB130" s="16"/>
    </row>
    <row r="131" spans="2:29" ht="21.75" hidden="1" customHeight="1">
      <c r="B131" s="68">
        <v>46055</v>
      </c>
      <c r="C131" s="69" t="str">
        <f t="shared" si="1"/>
        <v>Fevereiro</v>
      </c>
      <c r="D131" s="77" t="s">
        <v>386</v>
      </c>
      <c r="E131" s="72" t="s">
        <v>468</v>
      </c>
      <c r="F131" s="70" t="s">
        <v>131</v>
      </c>
      <c r="G131" s="71" t="s">
        <v>480</v>
      </c>
      <c r="H131" s="72" t="s">
        <v>1008</v>
      </c>
      <c r="I131" s="71" t="s">
        <v>131</v>
      </c>
      <c r="J131" s="112" t="s">
        <v>131</v>
      </c>
      <c r="K131" s="73" t="s">
        <v>131</v>
      </c>
      <c r="L131" s="71" t="s">
        <v>131</v>
      </c>
      <c r="M131" s="71" t="s">
        <v>730</v>
      </c>
      <c r="N131" s="80" t="s">
        <v>586</v>
      </c>
      <c r="O131" s="295">
        <v>3270.67</v>
      </c>
      <c r="P131" s="75"/>
      <c r="Z131" s="16"/>
      <c r="AA131" s="16"/>
      <c r="AB131" s="16"/>
    </row>
    <row r="132" spans="2:29" ht="21.75" hidden="1" customHeight="1">
      <c r="B132" s="68">
        <v>46055</v>
      </c>
      <c r="C132" s="69" t="str">
        <f t="shared" si="1"/>
        <v>Fevereiro</v>
      </c>
      <c r="D132" s="77" t="s">
        <v>508</v>
      </c>
      <c r="E132" s="72" t="s">
        <v>497</v>
      </c>
      <c r="F132" s="70" t="s">
        <v>534</v>
      </c>
      <c r="G132" s="71" t="s">
        <v>970</v>
      </c>
      <c r="H132" s="77" t="s">
        <v>971</v>
      </c>
      <c r="I132" s="71" t="s">
        <v>595</v>
      </c>
      <c r="J132" s="393" t="s">
        <v>972</v>
      </c>
      <c r="K132" s="78" t="s">
        <v>974</v>
      </c>
      <c r="L132" s="71" t="s">
        <v>137</v>
      </c>
      <c r="M132" s="71" t="s">
        <v>730</v>
      </c>
      <c r="N132" s="80" t="s">
        <v>135</v>
      </c>
      <c r="O132" s="390">
        <v>-1737.5</v>
      </c>
      <c r="P132" s="75"/>
      <c r="Z132" s="16"/>
      <c r="AA132" s="16"/>
      <c r="AB132" s="16"/>
    </row>
    <row r="133" spans="2:29" ht="21.75" hidden="1" customHeight="1">
      <c r="B133" s="68">
        <v>46056</v>
      </c>
      <c r="C133" s="69" t="str">
        <f t="shared" si="1"/>
        <v>Fevereiro</v>
      </c>
      <c r="D133" s="77" t="s">
        <v>508</v>
      </c>
      <c r="E133" s="72" t="s">
        <v>497</v>
      </c>
      <c r="F133" s="70" t="s">
        <v>534</v>
      </c>
      <c r="G133" s="71" t="s">
        <v>1090</v>
      </c>
      <c r="H133" s="77" t="s">
        <v>1092</v>
      </c>
      <c r="I133" s="71" t="s">
        <v>595</v>
      </c>
      <c r="J133" s="393" t="s">
        <v>1073</v>
      </c>
      <c r="K133" s="78" t="s">
        <v>285</v>
      </c>
      <c r="L133" s="71" t="s">
        <v>137</v>
      </c>
      <c r="M133" s="71" t="s">
        <v>730</v>
      </c>
      <c r="N133" s="80" t="s">
        <v>135</v>
      </c>
      <c r="O133" s="295">
        <v>-5000</v>
      </c>
      <c r="P133" s="75"/>
      <c r="Z133" s="16"/>
      <c r="AA133" s="16"/>
      <c r="AB133" s="16"/>
    </row>
    <row r="134" spans="2:29" ht="21.75" hidden="1" customHeight="1">
      <c r="B134" s="376">
        <v>46056</v>
      </c>
      <c r="C134" s="377" t="str">
        <f t="shared" ref="C134:C197" si="2">PROPER(TEXT(B134,"MMMM"))</f>
        <v>Fevereiro</v>
      </c>
      <c r="D134" s="378" t="s">
        <v>386</v>
      </c>
      <c r="E134" s="379" t="s">
        <v>468</v>
      </c>
      <c r="F134" s="380" t="s">
        <v>131</v>
      </c>
      <c r="G134" s="342" t="s">
        <v>480</v>
      </c>
      <c r="H134" s="378" t="s">
        <v>1008</v>
      </c>
      <c r="I134" s="342" t="s">
        <v>131</v>
      </c>
      <c r="J134" s="112" t="s">
        <v>131</v>
      </c>
      <c r="K134" s="343" t="s">
        <v>131</v>
      </c>
      <c r="L134" s="342" t="s">
        <v>131</v>
      </c>
      <c r="M134" s="342" t="s">
        <v>730</v>
      </c>
      <c r="N134" s="381" t="s">
        <v>586</v>
      </c>
      <c r="O134" s="295">
        <v>6400</v>
      </c>
      <c r="P134" s="75"/>
      <c r="Z134" s="16"/>
      <c r="AA134" s="16"/>
      <c r="AB134" s="16"/>
    </row>
    <row r="135" spans="2:29" ht="21.75" hidden="1" customHeight="1">
      <c r="B135" s="68">
        <v>46056</v>
      </c>
      <c r="C135" s="69" t="str">
        <f t="shared" si="2"/>
        <v>Fevereiro</v>
      </c>
      <c r="D135" s="77" t="s">
        <v>508</v>
      </c>
      <c r="E135" s="72" t="s">
        <v>497</v>
      </c>
      <c r="F135" s="70" t="s">
        <v>534</v>
      </c>
      <c r="G135" s="71" t="s">
        <v>1074</v>
      </c>
      <c r="H135" s="77" t="s">
        <v>1061</v>
      </c>
      <c r="I135" s="342" t="s">
        <v>858</v>
      </c>
      <c r="J135" s="393" t="s">
        <v>1096</v>
      </c>
      <c r="K135" s="78" t="s">
        <v>205</v>
      </c>
      <c r="L135" s="71" t="s">
        <v>134</v>
      </c>
      <c r="M135" s="71" t="s">
        <v>730</v>
      </c>
      <c r="N135" s="80" t="s">
        <v>135</v>
      </c>
      <c r="O135" s="295">
        <v>-1400</v>
      </c>
      <c r="P135" s="75"/>
      <c r="Z135" s="16"/>
      <c r="AA135" s="16"/>
      <c r="AB135" s="16"/>
    </row>
    <row r="136" spans="2:29" s="465" customFormat="1" ht="21.75" hidden="1" customHeight="1">
      <c r="B136" s="68">
        <v>46056</v>
      </c>
      <c r="C136" s="69" t="str">
        <f t="shared" si="2"/>
        <v>Fevereiro</v>
      </c>
      <c r="D136" s="77" t="s">
        <v>509</v>
      </c>
      <c r="E136" s="72" t="s">
        <v>500</v>
      </c>
      <c r="F136" s="70" t="s">
        <v>131</v>
      </c>
      <c r="G136" s="71" t="s">
        <v>132</v>
      </c>
      <c r="H136" s="77" t="s">
        <v>133</v>
      </c>
      <c r="I136" s="71" t="s">
        <v>131</v>
      </c>
      <c r="J136" s="343" t="s">
        <v>775</v>
      </c>
      <c r="K136" s="78" t="s">
        <v>131</v>
      </c>
      <c r="L136" s="71" t="s">
        <v>134</v>
      </c>
      <c r="M136" s="71" t="s">
        <v>735</v>
      </c>
      <c r="N136" s="80" t="s">
        <v>265</v>
      </c>
      <c r="O136" s="295">
        <v>-1100</v>
      </c>
      <c r="P136" s="296"/>
      <c r="Y136" s="45"/>
      <c r="AC136" s="45"/>
    </row>
    <row r="137" spans="2:29" s="465" customFormat="1" ht="21.75" hidden="1" customHeight="1">
      <c r="B137" s="68">
        <v>46056</v>
      </c>
      <c r="C137" s="69" t="str">
        <f t="shared" si="2"/>
        <v>Fevereiro</v>
      </c>
      <c r="D137" s="77" t="s">
        <v>508</v>
      </c>
      <c r="E137" s="72" t="s">
        <v>497</v>
      </c>
      <c r="F137" s="70" t="s">
        <v>534</v>
      </c>
      <c r="G137" s="71" t="s">
        <v>567</v>
      </c>
      <c r="H137" s="72" t="s">
        <v>693</v>
      </c>
      <c r="I137" s="71" t="s">
        <v>595</v>
      </c>
      <c r="J137" s="112" t="s">
        <v>752</v>
      </c>
      <c r="K137" s="73" t="s">
        <v>273</v>
      </c>
      <c r="L137" s="71" t="s">
        <v>137</v>
      </c>
      <c r="M137" s="71" t="s">
        <v>730</v>
      </c>
      <c r="N137" s="80" t="s">
        <v>135</v>
      </c>
      <c r="O137" s="295">
        <v>-961</v>
      </c>
      <c r="P137" s="296"/>
      <c r="Y137" s="45"/>
      <c r="AC137" s="45"/>
    </row>
    <row r="138" spans="2:29" ht="21.75" hidden="1" customHeight="1">
      <c r="B138" s="68">
        <v>46056</v>
      </c>
      <c r="C138" s="69" t="str">
        <f t="shared" si="2"/>
        <v>Fevereiro</v>
      </c>
      <c r="D138" s="77" t="s">
        <v>299</v>
      </c>
      <c r="E138" s="72" t="s">
        <v>303</v>
      </c>
      <c r="F138" s="70" t="s">
        <v>138</v>
      </c>
      <c r="G138" s="19" t="s">
        <v>147</v>
      </c>
      <c r="H138" s="369" t="s">
        <v>629</v>
      </c>
      <c r="I138" s="71" t="s">
        <v>131</v>
      </c>
      <c r="J138" s="342" t="s">
        <v>1082</v>
      </c>
      <c r="K138" s="112" t="s">
        <v>131</v>
      </c>
      <c r="L138" s="71" t="s">
        <v>137</v>
      </c>
      <c r="M138" s="71" t="s">
        <v>735</v>
      </c>
      <c r="N138" s="80" t="s">
        <v>135</v>
      </c>
      <c r="O138" s="295">
        <v>-700</v>
      </c>
      <c r="P138" s="75"/>
      <c r="Z138" s="16"/>
      <c r="AA138" s="16"/>
      <c r="AB138" s="16"/>
    </row>
    <row r="139" spans="2:29" ht="21.75" hidden="1" customHeight="1">
      <c r="B139" s="68">
        <v>46056</v>
      </c>
      <c r="C139" s="69" t="str">
        <f t="shared" si="2"/>
        <v>Fevereiro</v>
      </c>
      <c r="D139" s="77" t="s">
        <v>298</v>
      </c>
      <c r="E139" s="72" t="s">
        <v>439</v>
      </c>
      <c r="F139" s="70" t="s">
        <v>637</v>
      </c>
      <c r="G139" s="71" t="s">
        <v>199</v>
      </c>
      <c r="H139" s="77" t="s">
        <v>780</v>
      </c>
      <c r="I139" s="71" t="s">
        <v>131</v>
      </c>
      <c r="J139" s="342">
        <v>2026</v>
      </c>
      <c r="K139" s="71" t="s">
        <v>131</v>
      </c>
      <c r="L139" s="71" t="s">
        <v>134</v>
      </c>
      <c r="M139" s="71" t="s">
        <v>735</v>
      </c>
      <c r="N139" s="80" t="s">
        <v>135</v>
      </c>
      <c r="O139" s="295">
        <v>-1204.4100000000001</v>
      </c>
      <c r="P139" s="75"/>
      <c r="Z139" s="16"/>
      <c r="AA139" s="16"/>
      <c r="AB139" s="16"/>
    </row>
    <row r="140" spans="2:29" ht="21.75" hidden="1" customHeight="1">
      <c r="B140" s="376">
        <v>46057</v>
      </c>
      <c r="C140" s="377" t="str">
        <f t="shared" si="2"/>
        <v>Fevereiro</v>
      </c>
      <c r="D140" s="378" t="s">
        <v>386</v>
      </c>
      <c r="E140" s="379" t="s">
        <v>468</v>
      </c>
      <c r="F140" s="380" t="s">
        <v>131</v>
      </c>
      <c r="G140" s="342" t="s">
        <v>480</v>
      </c>
      <c r="H140" s="378" t="s">
        <v>1008</v>
      </c>
      <c r="I140" s="342" t="s">
        <v>131</v>
      </c>
      <c r="J140" s="112" t="s">
        <v>131</v>
      </c>
      <c r="K140" s="343" t="s">
        <v>131</v>
      </c>
      <c r="L140" s="342" t="s">
        <v>131</v>
      </c>
      <c r="M140" s="342" t="s">
        <v>730</v>
      </c>
      <c r="N140" s="381" t="s">
        <v>586</v>
      </c>
      <c r="O140" s="295">
        <f>6061.75+129</f>
        <v>6190.75</v>
      </c>
      <c r="P140" s="75"/>
      <c r="Z140" s="16"/>
      <c r="AA140" s="16"/>
      <c r="AB140" s="16"/>
    </row>
    <row r="141" spans="2:29" ht="21.75" hidden="1" customHeight="1">
      <c r="B141" s="68">
        <v>46057</v>
      </c>
      <c r="C141" s="69" t="str">
        <f t="shared" si="2"/>
        <v>Fevereiro</v>
      </c>
      <c r="D141" s="77" t="s">
        <v>298</v>
      </c>
      <c r="E141" s="72" t="s">
        <v>439</v>
      </c>
      <c r="F141" s="70" t="s">
        <v>637</v>
      </c>
      <c r="G141" s="71" t="s">
        <v>132</v>
      </c>
      <c r="H141" s="72" t="s">
        <v>777</v>
      </c>
      <c r="I141" s="71" t="s">
        <v>131</v>
      </c>
      <c r="J141" s="342" t="s">
        <v>131</v>
      </c>
      <c r="K141" s="73" t="s">
        <v>131</v>
      </c>
      <c r="L141" s="71" t="s">
        <v>134</v>
      </c>
      <c r="M141" s="71" t="s">
        <v>735</v>
      </c>
      <c r="N141" s="80" t="s">
        <v>135</v>
      </c>
      <c r="O141" s="295">
        <v>-259.77</v>
      </c>
      <c r="P141" s="75"/>
      <c r="Z141" s="16"/>
      <c r="AA141" s="16"/>
      <c r="AB141" s="16"/>
    </row>
    <row r="142" spans="2:29" ht="21.75" hidden="1" customHeight="1">
      <c r="B142" s="68">
        <v>46057</v>
      </c>
      <c r="C142" s="69" t="str">
        <f t="shared" si="2"/>
        <v>Fevereiro</v>
      </c>
      <c r="D142" s="77" t="s">
        <v>386</v>
      </c>
      <c r="E142" s="72" t="s">
        <v>468</v>
      </c>
      <c r="F142" s="70" t="s">
        <v>131</v>
      </c>
      <c r="G142" s="71" t="s">
        <v>480</v>
      </c>
      <c r="H142" s="72" t="s">
        <v>511</v>
      </c>
      <c r="I142" s="71" t="s">
        <v>131</v>
      </c>
      <c r="J142" s="112" t="s">
        <v>131</v>
      </c>
      <c r="K142" s="73" t="s">
        <v>131</v>
      </c>
      <c r="L142" s="71" t="s">
        <v>131</v>
      </c>
      <c r="M142" s="71" t="s">
        <v>729</v>
      </c>
      <c r="N142" s="80" t="s">
        <v>586</v>
      </c>
      <c r="O142" s="295">
        <v>5562.33</v>
      </c>
      <c r="P142" s="75"/>
      <c r="Z142" s="16"/>
      <c r="AA142" s="16"/>
      <c r="AB142" s="16"/>
    </row>
    <row r="143" spans="2:29" ht="21.75" hidden="1" customHeight="1">
      <c r="B143" s="68">
        <v>46057</v>
      </c>
      <c r="C143" s="69" t="str">
        <f t="shared" si="2"/>
        <v>Fevereiro</v>
      </c>
      <c r="D143" s="77" t="s">
        <v>300</v>
      </c>
      <c r="E143" s="72" t="s">
        <v>475</v>
      </c>
      <c r="F143" s="70" t="s">
        <v>136</v>
      </c>
      <c r="G143" s="71" t="s">
        <v>212</v>
      </c>
      <c r="H143" s="378" t="s">
        <v>1276</v>
      </c>
      <c r="I143" s="71" t="s">
        <v>131</v>
      </c>
      <c r="J143" s="366" t="s">
        <v>978</v>
      </c>
      <c r="K143" s="78" t="s">
        <v>131</v>
      </c>
      <c r="L143" s="71" t="s">
        <v>137</v>
      </c>
      <c r="M143" s="71" t="s">
        <v>735</v>
      </c>
      <c r="N143" s="80" t="s">
        <v>135</v>
      </c>
      <c r="O143" s="295">
        <v>-595.32000000000005</v>
      </c>
      <c r="P143" s="75"/>
      <c r="Z143" s="16"/>
      <c r="AA143" s="16"/>
      <c r="AB143" s="16"/>
    </row>
    <row r="144" spans="2:29" ht="21.75" hidden="1" customHeight="1">
      <c r="B144" s="68">
        <v>46058</v>
      </c>
      <c r="C144" s="69" t="str">
        <f t="shared" si="2"/>
        <v>Fevereiro</v>
      </c>
      <c r="D144" s="77" t="s">
        <v>301</v>
      </c>
      <c r="E144" s="72" t="s">
        <v>526</v>
      </c>
      <c r="F144" s="70" t="s">
        <v>136</v>
      </c>
      <c r="G144" s="71" t="s">
        <v>548</v>
      </c>
      <c r="H144" s="77" t="s">
        <v>549</v>
      </c>
      <c r="I144" s="71" t="s">
        <v>131</v>
      </c>
      <c r="J144" s="366" t="s">
        <v>1072</v>
      </c>
      <c r="K144" s="78" t="s">
        <v>131</v>
      </c>
      <c r="L144" s="71" t="s">
        <v>134</v>
      </c>
      <c r="M144" s="71" t="s">
        <v>735</v>
      </c>
      <c r="N144" s="80" t="s">
        <v>135</v>
      </c>
      <c r="O144" s="390">
        <v>-70</v>
      </c>
      <c r="P144" s="75"/>
      <c r="Z144" s="16"/>
      <c r="AA144" s="16"/>
      <c r="AB144" s="16"/>
    </row>
    <row r="145" spans="2:29" ht="21.75" hidden="1" customHeight="1">
      <c r="B145" s="68">
        <v>46058</v>
      </c>
      <c r="C145" s="69" t="str">
        <f t="shared" si="2"/>
        <v>Fevereiro</v>
      </c>
      <c r="D145" s="77" t="s">
        <v>508</v>
      </c>
      <c r="E145" s="72" t="s">
        <v>497</v>
      </c>
      <c r="F145" s="70" t="s">
        <v>534</v>
      </c>
      <c r="G145" s="71" t="s">
        <v>753</v>
      </c>
      <c r="H145" s="77" t="s">
        <v>754</v>
      </c>
      <c r="I145" s="71" t="s">
        <v>595</v>
      </c>
      <c r="J145" s="342" t="s">
        <v>755</v>
      </c>
      <c r="K145" s="71" t="s">
        <v>286</v>
      </c>
      <c r="L145" s="71" t="s">
        <v>137</v>
      </c>
      <c r="M145" s="71" t="s">
        <v>730</v>
      </c>
      <c r="N145" s="80" t="s">
        <v>135</v>
      </c>
      <c r="O145" s="390">
        <v>-1918</v>
      </c>
      <c r="P145" s="75"/>
      <c r="Z145" s="16"/>
      <c r="AA145" s="16"/>
      <c r="AB145" s="16"/>
    </row>
    <row r="146" spans="2:29" ht="21.75" hidden="1" customHeight="1">
      <c r="B146" s="68">
        <v>46058</v>
      </c>
      <c r="C146" s="69" t="str">
        <f t="shared" si="2"/>
        <v>Fevereiro</v>
      </c>
      <c r="D146" s="77" t="s">
        <v>298</v>
      </c>
      <c r="E146" s="72" t="s">
        <v>513</v>
      </c>
      <c r="F146" s="70" t="s">
        <v>138</v>
      </c>
      <c r="G146" s="19" t="s">
        <v>140</v>
      </c>
      <c r="H146" s="369" t="s">
        <v>152</v>
      </c>
      <c r="I146" s="71" t="s">
        <v>131</v>
      </c>
      <c r="J146" s="366" t="s">
        <v>1048</v>
      </c>
      <c r="K146" s="112" t="s">
        <v>131</v>
      </c>
      <c r="L146" s="71" t="s">
        <v>137</v>
      </c>
      <c r="M146" s="71" t="s">
        <v>735</v>
      </c>
      <c r="N146" s="80" t="s">
        <v>135</v>
      </c>
      <c r="O146" s="295">
        <v>-4885</v>
      </c>
      <c r="P146" s="75"/>
      <c r="Z146" s="16"/>
      <c r="AA146" s="16"/>
      <c r="AB146" s="16"/>
    </row>
    <row r="147" spans="2:29" s="341" customFormat="1" ht="21.75" hidden="1" customHeight="1">
      <c r="B147" s="68">
        <v>46058</v>
      </c>
      <c r="C147" s="69" t="str">
        <f t="shared" si="2"/>
        <v>Fevereiro</v>
      </c>
      <c r="D147" s="77" t="s">
        <v>299</v>
      </c>
      <c r="E147" s="72" t="s">
        <v>757</v>
      </c>
      <c r="F147" s="70" t="s">
        <v>138</v>
      </c>
      <c r="G147" s="19" t="s">
        <v>148</v>
      </c>
      <c r="H147" s="369" t="s">
        <v>177</v>
      </c>
      <c r="I147" s="71" t="s">
        <v>131</v>
      </c>
      <c r="J147" s="112" t="s">
        <v>749</v>
      </c>
      <c r="K147" s="112" t="s">
        <v>131</v>
      </c>
      <c r="L147" s="71" t="s">
        <v>134</v>
      </c>
      <c r="M147" s="71" t="s">
        <v>735</v>
      </c>
      <c r="N147" s="80" t="s">
        <v>135</v>
      </c>
      <c r="O147" s="295">
        <v>-4498.5</v>
      </c>
      <c r="P147" s="296"/>
      <c r="Q147"/>
      <c r="R147"/>
      <c r="S147"/>
      <c r="T147"/>
      <c r="U147"/>
      <c r="V147"/>
      <c r="W147"/>
      <c r="X147"/>
      <c r="Y147" s="45"/>
      <c r="AC147" s="45"/>
    </row>
    <row r="148" spans="2:29" ht="21.75" hidden="1" customHeight="1">
      <c r="B148" s="68">
        <v>46058</v>
      </c>
      <c r="C148" s="69" t="str">
        <f t="shared" si="2"/>
        <v>Fevereiro</v>
      </c>
      <c r="D148" s="77" t="s">
        <v>508</v>
      </c>
      <c r="E148" s="72" t="s">
        <v>497</v>
      </c>
      <c r="F148" s="70" t="s">
        <v>534</v>
      </c>
      <c r="G148" s="71" t="s">
        <v>702</v>
      </c>
      <c r="H148" s="72" t="s">
        <v>703</v>
      </c>
      <c r="I148" s="71" t="s">
        <v>595</v>
      </c>
      <c r="J148" s="366" t="s">
        <v>717</v>
      </c>
      <c r="K148" s="73" t="s">
        <v>274</v>
      </c>
      <c r="L148" s="71" t="s">
        <v>137</v>
      </c>
      <c r="M148" s="71" t="s">
        <v>729</v>
      </c>
      <c r="N148" s="80" t="s">
        <v>135</v>
      </c>
      <c r="O148" s="295">
        <v>-1797</v>
      </c>
      <c r="P148" s="75"/>
      <c r="Z148" s="16"/>
      <c r="AA148" s="16"/>
      <c r="AB148" s="16"/>
    </row>
    <row r="149" spans="2:29" ht="21.75" hidden="1" customHeight="1">
      <c r="B149" s="68">
        <v>46058</v>
      </c>
      <c r="C149" s="69" t="str">
        <f t="shared" si="2"/>
        <v>Fevereiro</v>
      </c>
      <c r="D149" s="77" t="s">
        <v>302</v>
      </c>
      <c r="E149" s="72" t="s">
        <v>436</v>
      </c>
      <c r="F149" s="70" t="s">
        <v>138</v>
      </c>
      <c r="G149" s="19" t="s">
        <v>480</v>
      </c>
      <c r="H149" s="369" t="s">
        <v>482</v>
      </c>
      <c r="I149" s="71" t="s">
        <v>131</v>
      </c>
      <c r="J149" s="389" t="s">
        <v>775</v>
      </c>
      <c r="K149" s="112" t="s">
        <v>131</v>
      </c>
      <c r="L149" s="71" t="s">
        <v>197</v>
      </c>
      <c r="M149" s="71" t="s">
        <v>729</v>
      </c>
      <c r="N149" s="80" t="s">
        <v>135</v>
      </c>
      <c r="O149" s="295">
        <v>-58.9</v>
      </c>
      <c r="P149" s="75"/>
      <c r="Z149" s="16"/>
      <c r="AA149" s="16"/>
      <c r="AB149" s="16"/>
    </row>
    <row r="150" spans="2:29" ht="21.75" hidden="1" customHeight="1">
      <c r="B150" s="376">
        <v>46058</v>
      </c>
      <c r="C150" s="377" t="str">
        <f t="shared" si="2"/>
        <v>Fevereiro</v>
      </c>
      <c r="D150" s="378" t="s">
        <v>508</v>
      </c>
      <c r="E150" s="379" t="s">
        <v>497</v>
      </c>
      <c r="F150" s="380" t="s">
        <v>534</v>
      </c>
      <c r="G150" s="342" t="s">
        <v>948</v>
      </c>
      <c r="H150" s="378" t="s">
        <v>949</v>
      </c>
      <c r="I150" s="342" t="s">
        <v>595</v>
      </c>
      <c r="J150" s="372" t="s">
        <v>1049</v>
      </c>
      <c r="K150" s="342" t="s">
        <v>131</v>
      </c>
      <c r="L150" s="342" t="s">
        <v>137</v>
      </c>
      <c r="M150" s="71" t="s">
        <v>730</v>
      </c>
      <c r="N150" s="80" t="s">
        <v>135</v>
      </c>
      <c r="O150" s="484">
        <v>-129</v>
      </c>
      <c r="P150" s="75"/>
      <c r="Z150" s="16"/>
      <c r="AA150" s="16"/>
      <c r="AB150" s="16"/>
    </row>
    <row r="151" spans="2:29" ht="21.75" hidden="1" customHeight="1">
      <c r="B151" s="376">
        <v>46058</v>
      </c>
      <c r="C151" s="377" t="str">
        <f t="shared" si="2"/>
        <v>Fevereiro</v>
      </c>
      <c r="D151" s="378" t="s">
        <v>300</v>
      </c>
      <c r="E151" s="379" t="s">
        <v>478</v>
      </c>
      <c r="F151" s="380" t="s">
        <v>136</v>
      </c>
      <c r="G151" s="342" t="s">
        <v>948</v>
      </c>
      <c r="H151" s="378" t="s">
        <v>949</v>
      </c>
      <c r="I151" s="342" t="s">
        <v>131</v>
      </c>
      <c r="J151" s="372" t="s">
        <v>1050</v>
      </c>
      <c r="K151" s="342" t="s">
        <v>131</v>
      </c>
      <c r="L151" s="342" t="s">
        <v>137</v>
      </c>
      <c r="M151" s="342" t="s">
        <v>735</v>
      </c>
      <c r="N151" s="381" t="s">
        <v>135</v>
      </c>
      <c r="O151" s="295">
        <v>-129</v>
      </c>
      <c r="P151" s="75"/>
      <c r="Z151" s="16"/>
      <c r="AA151" s="16"/>
      <c r="AB151" s="16"/>
    </row>
    <row r="152" spans="2:29" ht="21.75" hidden="1" customHeight="1">
      <c r="B152" s="68">
        <v>46059</v>
      </c>
      <c r="C152" s="69" t="str">
        <f t="shared" si="2"/>
        <v>Fevereiro</v>
      </c>
      <c r="D152" s="77" t="s">
        <v>508</v>
      </c>
      <c r="E152" s="72" t="s">
        <v>497</v>
      </c>
      <c r="F152" s="70" t="s">
        <v>534</v>
      </c>
      <c r="G152" s="71" t="s">
        <v>567</v>
      </c>
      <c r="H152" s="77" t="s">
        <v>693</v>
      </c>
      <c r="I152" s="71" t="s">
        <v>595</v>
      </c>
      <c r="J152" s="112" t="s">
        <v>692</v>
      </c>
      <c r="K152" s="73" t="s">
        <v>274</v>
      </c>
      <c r="L152" s="71" t="s">
        <v>137</v>
      </c>
      <c r="M152" s="71" t="s">
        <v>729</v>
      </c>
      <c r="N152" s="80" t="s">
        <v>135</v>
      </c>
      <c r="O152" s="295">
        <v>-3765.33</v>
      </c>
      <c r="P152" s="75"/>
      <c r="Z152" s="16"/>
      <c r="AA152" s="16"/>
      <c r="AB152" s="16"/>
    </row>
    <row r="153" spans="2:29" ht="21.75" hidden="1" customHeight="1">
      <c r="B153" s="376">
        <v>46059</v>
      </c>
      <c r="C153" s="377" t="str">
        <f t="shared" si="2"/>
        <v>Fevereiro</v>
      </c>
      <c r="D153" s="378" t="s">
        <v>386</v>
      </c>
      <c r="E153" s="379" t="s">
        <v>468</v>
      </c>
      <c r="F153" s="380" t="s">
        <v>131</v>
      </c>
      <c r="G153" s="342" t="s">
        <v>480</v>
      </c>
      <c r="H153" s="378" t="s">
        <v>1008</v>
      </c>
      <c r="I153" s="342" t="s">
        <v>131</v>
      </c>
      <c r="J153" s="112" t="s">
        <v>131</v>
      </c>
      <c r="K153" s="343" t="s">
        <v>131</v>
      </c>
      <c r="L153" s="342" t="s">
        <v>131</v>
      </c>
      <c r="M153" s="342" t="s">
        <v>730</v>
      </c>
      <c r="N153" s="381" t="s">
        <v>586</v>
      </c>
      <c r="O153" s="390">
        <v>94.56</v>
      </c>
      <c r="P153" s="75"/>
      <c r="Z153" s="16"/>
      <c r="AA153" s="16"/>
      <c r="AB153" s="16"/>
    </row>
    <row r="154" spans="2:29" ht="21.75" hidden="1" customHeight="1">
      <c r="B154" s="68">
        <v>46059</v>
      </c>
      <c r="C154" s="69" t="str">
        <f t="shared" si="2"/>
        <v>Fevereiro</v>
      </c>
      <c r="D154" s="77" t="s">
        <v>386</v>
      </c>
      <c r="E154" s="72" t="s">
        <v>468</v>
      </c>
      <c r="F154" s="70" t="s">
        <v>131</v>
      </c>
      <c r="G154" s="71" t="s">
        <v>480</v>
      </c>
      <c r="H154" s="72" t="s">
        <v>511</v>
      </c>
      <c r="I154" s="71" t="s">
        <v>131</v>
      </c>
      <c r="J154" s="112" t="s">
        <v>131</v>
      </c>
      <c r="K154" s="73" t="s">
        <v>131</v>
      </c>
      <c r="L154" s="71" t="s">
        <v>131</v>
      </c>
      <c r="M154" s="71" t="s">
        <v>730</v>
      </c>
      <c r="N154" s="80" t="s">
        <v>586</v>
      </c>
      <c r="O154" s="390">
        <v>5000</v>
      </c>
      <c r="P154" s="75"/>
      <c r="Z154" s="16"/>
      <c r="AA154" s="16"/>
      <c r="AB154" s="16"/>
    </row>
    <row r="155" spans="2:29" ht="21.75" hidden="1" customHeight="1">
      <c r="B155" s="376">
        <v>46059</v>
      </c>
      <c r="C155" s="377" t="str">
        <f t="shared" si="2"/>
        <v>Fevereiro</v>
      </c>
      <c r="D155" s="378" t="s">
        <v>508</v>
      </c>
      <c r="E155" s="379" t="s">
        <v>497</v>
      </c>
      <c r="F155" s="380" t="s">
        <v>534</v>
      </c>
      <c r="G155" s="342" t="s">
        <v>962</v>
      </c>
      <c r="H155" s="369" t="s">
        <v>854</v>
      </c>
      <c r="I155" s="342" t="s">
        <v>595</v>
      </c>
      <c r="J155" s="366" t="s">
        <v>1093</v>
      </c>
      <c r="K155" s="384" t="s">
        <v>131</v>
      </c>
      <c r="L155" s="342" t="s">
        <v>134</v>
      </c>
      <c r="M155" s="71" t="s">
        <v>730</v>
      </c>
      <c r="N155" s="381" t="s">
        <v>135</v>
      </c>
      <c r="O155" s="295">
        <v>-1357.66</v>
      </c>
      <c r="P155" s="75"/>
      <c r="Z155" s="16"/>
      <c r="AA155" s="16"/>
      <c r="AB155" s="16"/>
    </row>
    <row r="156" spans="2:29" ht="21.75" hidden="1" customHeight="1">
      <c r="B156" s="68">
        <v>46059</v>
      </c>
      <c r="C156" s="69" t="str">
        <f t="shared" si="2"/>
        <v>Fevereiro</v>
      </c>
      <c r="D156" s="77" t="s">
        <v>386</v>
      </c>
      <c r="E156" s="72" t="s">
        <v>468</v>
      </c>
      <c r="F156" s="70" t="s">
        <v>131</v>
      </c>
      <c r="G156" s="71" t="s">
        <v>480</v>
      </c>
      <c r="H156" s="72" t="s">
        <v>511</v>
      </c>
      <c r="I156" s="71" t="s">
        <v>131</v>
      </c>
      <c r="J156" s="112" t="s">
        <v>131</v>
      </c>
      <c r="K156" s="73" t="s">
        <v>131</v>
      </c>
      <c r="L156" s="71" t="s">
        <v>131</v>
      </c>
      <c r="M156" s="71" t="s">
        <v>730</v>
      </c>
      <c r="N156" s="80" t="s">
        <v>586</v>
      </c>
      <c r="O156" s="390">
        <v>1357.66</v>
      </c>
      <c r="P156" s="75"/>
      <c r="Z156" s="16"/>
      <c r="AA156" s="16"/>
      <c r="AB156" s="16"/>
    </row>
    <row r="157" spans="2:29" ht="21.75" hidden="1" customHeight="1">
      <c r="B157" s="68">
        <v>46059</v>
      </c>
      <c r="C157" s="69" t="str">
        <f t="shared" si="2"/>
        <v>Fevereiro</v>
      </c>
      <c r="D157" s="77" t="s">
        <v>508</v>
      </c>
      <c r="E157" s="72" t="s">
        <v>497</v>
      </c>
      <c r="F157" s="70" t="s">
        <v>534</v>
      </c>
      <c r="G157" s="71" t="s">
        <v>1087</v>
      </c>
      <c r="H157" s="77" t="s">
        <v>1088</v>
      </c>
      <c r="I157" s="71" t="s">
        <v>595</v>
      </c>
      <c r="J157" s="366" t="s">
        <v>1089</v>
      </c>
      <c r="K157" s="78" t="s">
        <v>973</v>
      </c>
      <c r="L157" s="71" t="s">
        <v>137</v>
      </c>
      <c r="M157" s="71" t="s">
        <v>730</v>
      </c>
      <c r="N157" s="80" t="s">
        <v>135</v>
      </c>
      <c r="O157" s="295">
        <v>-5000</v>
      </c>
      <c r="P157" s="75"/>
      <c r="Z157" s="16"/>
      <c r="AA157" s="16"/>
      <c r="AB157" s="16"/>
    </row>
    <row r="158" spans="2:29" ht="21.75" hidden="1" customHeight="1">
      <c r="B158" s="376">
        <v>46062</v>
      </c>
      <c r="C158" s="377" t="str">
        <f t="shared" si="2"/>
        <v>Fevereiro</v>
      </c>
      <c r="D158" s="378" t="s">
        <v>508</v>
      </c>
      <c r="E158" s="379" t="s">
        <v>497</v>
      </c>
      <c r="F158" s="380" t="s">
        <v>534</v>
      </c>
      <c r="G158" s="19" t="s">
        <v>853</v>
      </c>
      <c r="H158" s="369" t="s">
        <v>854</v>
      </c>
      <c r="I158" s="342" t="s">
        <v>595</v>
      </c>
      <c r="J158" s="112" t="s">
        <v>964</v>
      </c>
      <c r="K158" s="112" t="s">
        <v>131</v>
      </c>
      <c r="L158" s="342" t="s">
        <v>137</v>
      </c>
      <c r="M158" s="71" t="s">
        <v>730</v>
      </c>
      <c r="N158" s="80" t="s">
        <v>135</v>
      </c>
      <c r="O158" s="295">
        <v>-329.93</v>
      </c>
      <c r="P158" s="75"/>
      <c r="Z158" s="16"/>
      <c r="AA158" s="16"/>
      <c r="AB158" s="16"/>
    </row>
    <row r="159" spans="2:29" ht="21.75" hidden="1" customHeight="1">
      <c r="B159" s="68">
        <v>46062</v>
      </c>
      <c r="C159" s="69" t="str">
        <f t="shared" si="2"/>
        <v>Fevereiro</v>
      </c>
      <c r="D159" s="77" t="s">
        <v>508</v>
      </c>
      <c r="E159" s="72" t="s">
        <v>497</v>
      </c>
      <c r="F159" s="70" t="s">
        <v>534</v>
      </c>
      <c r="G159" s="71" t="s">
        <v>567</v>
      </c>
      <c r="H159" s="77" t="s">
        <v>693</v>
      </c>
      <c r="I159" s="71" t="s">
        <v>595</v>
      </c>
      <c r="J159" s="112" t="s">
        <v>877</v>
      </c>
      <c r="K159" s="78" t="s">
        <v>273</v>
      </c>
      <c r="L159" s="71" t="s">
        <v>137</v>
      </c>
      <c r="M159" s="71" t="s">
        <v>730</v>
      </c>
      <c r="N159" s="80" t="s">
        <v>135</v>
      </c>
      <c r="O159" s="295">
        <v>-391.67</v>
      </c>
      <c r="P159" s="75"/>
      <c r="Z159" s="16"/>
      <c r="AA159" s="16"/>
      <c r="AB159" s="16"/>
    </row>
    <row r="160" spans="2:29" ht="21.75" hidden="1" customHeight="1">
      <c r="B160" s="376">
        <v>46062</v>
      </c>
      <c r="C160" s="377" t="str">
        <f t="shared" si="2"/>
        <v>Fevereiro</v>
      </c>
      <c r="D160" s="378" t="s">
        <v>510</v>
      </c>
      <c r="E160" s="379" t="s">
        <v>506</v>
      </c>
      <c r="F160" s="380" t="s">
        <v>131</v>
      </c>
      <c r="G160" s="342" t="s">
        <v>145</v>
      </c>
      <c r="H160" s="369" t="s">
        <v>990</v>
      </c>
      <c r="I160" s="342" t="s">
        <v>131</v>
      </c>
      <c r="J160" s="343" t="s">
        <v>131</v>
      </c>
      <c r="K160" s="342" t="s">
        <v>131</v>
      </c>
      <c r="L160" s="342" t="s">
        <v>134</v>
      </c>
      <c r="M160" s="342" t="s">
        <v>730</v>
      </c>
      <c r="N160" s="381" t="s">
        <v>135</v>
      </c>
      <c r="O160" s="390">
        <v>-94.56</v>
      </c>
      <c r="P160" s="75"/>
      <c r="Z160" s="16"/>
      <c r="AA160" s="16"/>
      <c r="AB160" s="16"/>
    </row>
    <row r="161" spans="2:29" ht="21.75" hidden="1" customHeight="1">
      <c r="B161" s="68">
        <v>46062</v>
      </c>
      <c r="C161" s="69" t="str">
        <f t="shared" si="2"/>
        <v>Fevereiro</v>
      </c>
      <c r="D161" s="77" t="s">
        <v>386</v>
      </c>
      <c r="E161" s="72" t="s">
        <v>468</v>
      </c>
      <c r="F161" s="70" t="s">
        <v>131</v>
      </c>
      <c r="G161" s="71" t="s">
        <v>480</v>
      </c>
      <c r="H161" s="77" t="s">
        <v>511</v>
      </c>
      <c r="I161" s="71" t="s">
        <v>131</v>
      </c>
      <c r="J161" s="112" t="s">
        <v>131</v>
      </c>
      <c r="K161" s="71" t="s">
        <v>131</v>
      </c>
      <c r="L161" s="71" t="s">
        <v>131</v>
      </c>
      <c r="M161" s="71" t="s">
        <v>729</v>
      </c>
      <c r="N161" s="80" t="s">
        <v>586</v>
      </c>
      <c r="O161" s="295">
        <v>9800</v>
      </c>
      <c r="P161" s="75"/>
      <c r="Z161" s="16"/>
      <c r="AA161" s="16"/>
      <c r="AB161" s="16"/>
    </row>
    <row r="162" spans="2:29" ht="21.75" hidden="1" customHeight="1">
      <c r="B162" s="68">
        <v>46062</v>
      </c>
      <c r="C162" s="69" t="str">
        <f t="shared" si="2"/>
        <v>Fevereiro</v>
      </c>
      <c r="D162" s="77" t="s">
        <v>300</v>
      </c>
      <c r="E162" s="72" t="s">
        <v>478</v>
      </c>
      <c r="F162" s="70" t="s">
        <v>136</v>
      </c>
      <c r="G162" s="71" t="s">
        <v>888</v>
      </c>
      <c r="H162" s="72" t="s">
        <v>965</v>
      </c>
      <c r="I162" s="71" t="s">
        <v>131</v>
      </c>
      <c r="J162" s="366" t="s">
        <v>966</v>
      </c>
      <c r="K162" s="73" t="s">
        <v>131</v>
      </c>
      <c r="L162" s="71" t="s">
        <v>137</v>
      </c>
      <c r="M162" s="71" t="s">
        <v>735</v>
      </c>
      <c r="N162" s="80" t="s">
        <v>135</v>
      </c>
      <c r="O162" s="295">
        <v>-950.2</v>
      </c>
      <c r="P162" s="75"/>
      <c r="Z162" s="16"/>
      <c r="AA162" s="16"/>
      <c r="AB162" s="16"/>
    </row>
    <row r="163" spans="2:29" s="79" customFormat="1" ht="21.75" hidden="1" customHeight="1">
      <c r="B163" s="68">
        <v>46062</v>
      </c>
      <c r="C163" s="69" t="str">
        <f t="shared" si="2"/>
        <v>Fevereiro</v>
      </c>
      <c r="D163" s="77" t="s">
        <v>302</v>
      </c>
      <c r="E163" s="72" t="s">
        <v>436</v>
      </c>
      <c r="F163" s="70" t="s">
        <v>138</v>
      </c>
      <c r="G163" s="71" t="s">
        <v>480</v>
      </c>
      <c r="H163" s="72" t="s">
        <v>483</v>
      </c>
      <c r="I163" s="71" t="s">
        <v>131</v>
      </c>
      <c r="J163" s="343" t="s">
        <v>775</v>
      </c>
      <c r="K163" s="73" t="s">
        <v>131</v>
      </c>
      <c r="L163" s="71" t="s">
        <v>197</v>
      </c>
      <c r="M163" s="71" t="s">
        <v>729</v>
      </c>
      <c r="N163" s="80" t="s">
        <v>135</v>
      </c>
      <c r="O163" s="295">
        <v>-10</v>
      </c>
      <c r="P163" s="75"/>
      <c r="Y163" s="45"/>
      <c r="AC163" s="45"/>
    </row>
    <row r="164" spans="2:29" s="341" customFormat="1" ht="21.75" hidden="1" customHeight="1">
      <c r="B164" s="68">
        <v>46062</v>
      </c>
      <c r="C164" s="377" t="str">
        <f t="shared" si="2"/>
        <v>Fevereiro</v>
      </c>
      <c r="D164" s="378" t="s">
        <v>300</v>
      </c>
      <c r="E164" s="379" t="s">
        <v>438</v>
      </c>
      <c r="F164" s="380" t="s">
        <v>136</v>
      </c>
      <c r="G164" s="19" t="s">
        <v>967</v>
      </c>
      <c r="H164" s="369" t="s">
        <v>968</v>
      </c>
      <c r="I164" s="342" t="s">
        <v>131</v>
      </c>
      <c r="J164" s="112" t="s">
        <v>969</v>
      </c>
      <c r="K164" s="384" t="s">
        <v>131</v>
      </c>
      <c r="L164" s="342" t="s">
        <v>134</v>
      </c>
      <c r="M164" s="342" t="s">
        <v>735</v>
      </c>
      <c r="N164" s="80" t="s">
        <v>135</v>
      </c>
      <c r="O164" s="295">
        <v>-95</v>
      </c>
      <c r="P164" s="296"/>
      <c r="Q164"/>
      <c r="R164"/>
      <c r="S164"/>
      <c r="T164"/>
      <c r="U164"/>
      <c r="V164"/>
      <c r="W164"/>
      <c r="X164"/>
      <c r="Y164" s="45"/>
      <c r="AC164" s="45"/>
    </row>
    <row r="165" spans="2:29" s="79" customFormat="1" ht="21.75" hidden="1" customHeight="1">
      <c r="B165" s="376">
        <v>46062</v>
      </c>
      <c r="C165" s="377" t="str">
        <f t="shared" si="2"/>
        <v>Fevereiro</v>
      </c>
      <c r="D165" s="378" t="s">
        <v>383</v>
      </c>
      <c r="E165" s="379" t="s">
        <v>471</v>
      </c>
      <c r="F165" s="380" t="s">
        <v>131</v>
      </c>
      <c r="G165" s="342" t="s">
        <v>145</v>
      </c>
      <c r="H165" s="369" t="s">
        <v>990</v>
      </c>
      <c r="I165" s="342" t="s">
        <v>131</v>
      </c>
      <c r="J165" s="343" t="s">
        <v>131</v>
      </c>
      <c r="K165" s="342" t="s">
        <v>131</v>
      </c>
      <c r="L165" s="342" t="s">
        <v>134</v>
      </c>
      <c r="M165" s="342" t="s">
        <v>735</v>
      </c>
      <c r="N165" s="381" t="s">
        <v>144</v>
      </c>
      <c r="O165" s="390">
        <v>94.56</v>
      </c>
      <c r="P165" s="75"/>
      <c r="Y165" s="45"/>
      <c r="AC165" s="45"/>
    </row>
    <row r="166" spans="2:29" s="79" customFormat="1" ht="21.75" hidden="1" customHeight="1">
      <c r="B166" s="376">
        <v>46063</v>
      </c>
      <c r="C166" s="377" t="str">
        <f t="shared" si="2"/>
        <v>Fevereiro</v>
      </c>
      <c r="D166" s="378" t="s">
        <v>508</v>
      </c>
      <c r="E166" s="379" t="s">
        <v>497</v>
      </c>
      <c r="F166" s="380" t="s">
        <v>534</v>
      </c>
      <c r="G166" s="342" t="s">
        <v>199</v>
      </c>
      <c r="H166" s="379" t="s">
        <v>603</v>
      </c>
      <c r="I166" s="71" t="s">
        <v>595</v>
      </c>
      <c r="J166" s="393" t="s">
        <v>1016</v>
      </c>
      <c r="K166" s="384" t="s">
        <v>131</v>
      </c>
      <c r="L166" s="342" t="s">
        <v>150</v>
      </c>
      <c r="M166" s="71" t="s">
        <v>735</v>
      </c>
      <c r="N166" s="80" t="s">
        <v>135</v>
      </c>
      <c r="O166" s="390">
        <v>-94.56</v>
      </c>
      <c r="P166" s="75"/>
      <c r="Y166" s="45"/>
      <c r="AC166" s="45"/>
    </row>
    <row r="167" spans="2:29" s="79" customFormat="1" ht="21.75" hidden="1" customHeight="1">
      <c r="B167" s="68">
        <v>46063</v>
      </c>
      <c r="C167" s="69" t="str">
        <f t="shared" si="2"/>
        <v>Fevereiro</v>
      </c>
      <c r="D167" s="77" t="s">
        <v>298</v>
      </c>
      <c r="E167" s="72" t="s">
        <v>515</v>
      </c>
      <c r="F167" s="70" t="s">
        <v>138</v>
      </c>
      <c r="G167" s="71" t="s">
        <v>146</v>
      </c>
      <c r="H167" s="77" t="s">
        <v>153</v>
      </c>
      <c r="I167" s="71" t="s">
        <v>131</v>
      </c>
      <c r="J167" s="389" t="s">
        <v>776</v>
      </c>
      <c r="K167" s="71" t="s">
        <v>131</v>
      </c>
      <c r="L167" s="71" t="s">
        <v>134</v>
      </c>
      <c r="M167" s="71" t="s">
        <v>735</v>
      </c>
      <c r="N167" s="80" t="s">
        <v>135</v>
      </c>
      <c r="O167" s="295">
        <v>-1120</v>
      </c>
      <c r="P167" s="75"/>
      <c r="Y167" s="45"/>
      <c r="AC167" s="45"/>
    </row>
    <row r="168" spans="2:29" s="79" customFormat="1" ht="21.75" hidden="1" customHeight="1">
      <c r="B168" s="68">
        <v>46063</v>
      </c>
      <c r="C168" s="69" t="str">
        <f t="shared" si="2"/>
        <v>Fevereiro</v>
      </c>
      <c r="D168" s="77" t="s">
        <v>508</v>
      </c>
      <c r="E168" s="72" t="s">
        <v>497</v>
      </c>
      <c r="F168" s="70" t="s">
        <v>534</v>
      </c>
      <c r="G168" s="71" t="s">
        <v>661</v>
      </c>
      <c r="H168" s="72" t="s">
        <v>662</v>
      </c>
      <c r="I168" s="71" t="s">
        <v>595</v>
      </c>
      <c r="J168" s="343" t="s">
        <v>1353</v>
      </c>
      <c r="K168" s="73" t="s">
        <v>288</v>
      </c>
      <c r="L168" s="71" t="s">
        <v>134</v>
      </c>
      <c r="M168" s="71" t="s">
        <v>729</v>
      </c>
      <c r="N168" s="80" t="s">
        <v>135</v>
      </c>
      <c r="O168" s="295">
        <v>-9800</v>
      </c>
      <c r="P168" s="75"/>
      <c r="Y168" s="45"/>
      <c r="AC168" s="45"/>
    </row>
    <row r="169" spans="2:29" s="79" customFormat="1" ht="21.75" hidden="1" customHeight="1">
      <c r="B169" s="68">
        <v>46063</v>
      </c>
      <c r="C169" s="69" t="str">
        <f t="shared" si="2"/>
        <v>Fevereiro</v>
      </c>
      <c r="D169" s="77" t="s">
        <v>302</v>
      </c>
      <c r="E169" s="72" t="s">
        <v>436</v>
      </c>
      <c r="F169" s="70" t="s">
        <v>138</v>
      </c>
      <c r="G169" s="71" t="s">
        <v>480</v>
      </c>
      <c r="H169" s="379" t="s">
        <v>482</v>
      </c>
      <c r="I169" s="71" t="s">
        <v>131</v>
      </c>
      <c r="J169" s="389" t="s">
        <v>775</v>
      </c>
      <c r="K169" s="71" t="s">
        <v>131</v>
      </c>
      <c r="L169" s="71" t="s">
        <v>197</v>
      </c>
      <c r="M169" s="71" t="s">
        <v>730</v>
      </c>
      <c r="N169" s="80" t="s">
        <v>135</v>
      </c>
      <c r="O169" s="295">
        <v>-56.5</v>
      </c>
      <c r="P169" s="75"/>
      <c r="Y169" s="45"/>
      <c r="AC169" s="45"/>
    </row>
    <row r="170" spans="2:29" ht="21.75" hidden="1" customHeight="1">
      <c r="B170" s="68">
        <v>46064</v>
      </c>
      <c r="C170" s="69" t="str">
        <f t="shared" si="2"/>
        <v>Fevereiro</v>
      </c>
      <c r="D170" s="77" t="s">
        <v>509</v>
      </c>
      <c r="E170" s="72" t="s">
        <v>500</v>
      </c>
      <c r="F170" s="70" t="s">
        <v>131</v>
      </c>
      <c r="G170" s="71" t="s">
        <v>132</v>
      </c>
      <c r="H170" s="77" t="s">
        <v>133</v>
      </c>
      <c r="I170" s="71" t="s">
        <v>131</v>
      </c>
      <c r="J170" s="343" t="s">
        <v>775</v>
      </c>
      <c r="K170" s="78" t="s">
        <v>131</v>
      </c>
      <c r="L170" s="71" t="s">
        <v>134</v>
      </c>
      <c r="M170" s="71" t="s">
        <v>735</v>
      </c>
      <c r="N170" s="80" t="s">
        <v>265</v>
      </c>
      <c r="O170" s="295">
        <v>-855.76</v>
      </c>
      <c r="P170" s="75"/>
      <c r="Z170" s="16"/>
      <c r="AA170" s="16"/>
      <c r="AB170" s="16"/>
    </row>
    <row r="171" spans="2:29" ht="21.75" hidden="1" customHeight="1">
      <c r="B171" s="376">
        <v>46064</v>
      </c>
      <c r="C171" s="377" t="str">
        <f t="shared" si="2"/>
        <v>Fevereiro</v>
      </c>
      <c r="D171" s="378" t="s">
        <v>508</v>
      </c>
      <c r="E171" s="379" t="s">
        <v>497</v>
      </c>
      <c r="F171" s="380" t="s">
        <v>534</v>
      </c>
      <c r="G171" s="342" t="s">
        <v>976</v>
      </c>
      <c r="H171" s="378" t="s">
        <v>1131</v>
      </c>
      <c r="I171" s="342" t="s">
        <v>595</v>
      </c>
      <c r="J171" s="389" t="s">
        <v>997</v>
      </c>
      <c r="K171" s="342" t="s">
        <v>131</v>
      </c>
      <c r="L171" s="342" t="s">
        <v>137</v>
      </c>
      <c r="M171" s="342" t="s">
        <v>730</v>
      </c>
      <c r="N171" s="80" t="s">
        <v>135</v>
      </c>
      <c r="O171" s="295">
        <v>-370</v>
      </c>
      <c r="P171" s="75"/>
      <c r="Z171" s="16"/>
      <c r="AA171" s="16"/>
      <c r="AB171" s="16"/>
    </row>
    <row r="172" spans="2:29" s="79" customFormat="1" ht="21.75" hidden="1" customHeight="1">
      <c r="B172" s="68">
        <v>46064</v>
      </c>
      <c r="C172" s="69" t="str">
        <f t="shared" si="2"/>
        <v>Fevereiro</v>
      </c>
      <c r="D172" s="77" t="s">
        <v>386</v>
      </c>
      <c r="E172" s="72" t="s">
        <v>468</v>
      </c>
      <c r="F172" s="70" t="s">
        <v>131</v>
      </c>
      <c r="G172" s="71" t="s">
        <v>480</v>
      </c>
      <c r="H172" s="72" t="s">
        <v>511</v>
      </c>
      <c r="I172" s="71" t="s">
        <v>131</v>
      </c>
      <c r="J172" s="112" t="s">
        <v>131</v>
      </c>
      <c r="K172" s="73" t="s">
        <v>131</v>
      </c>
      <c r="L172" s="71" t="s">
        <v>131</v>
      </c>
      <c r="M172" s="71" t="s">
        <v>730</v>
      </c>
      <c r="N172" s="80" t="s">
        <v>586</v>
      </c>
      <c r="O172" s="390">
        <v>804</v>
      </c>
      <c r="P172" s="75"/>
      <c r="Y172" s="45"/>
      <c r="AC172" s="45"/>
    </row>
    <row r="173" spans="2:29" s="79" customFormat="1" ht="21.75" hidden="1" customHeight="1">
      <c r="B173" s="68">
        <v>46064</v>
      </c>
      <c r="C173" s="69" t="str">
        <f t="shared" si="2"/>
        <v>Fevereiro</v>
      </c>
      <c r="D173" s="77" t="s">
        <v>300</v>
      </c>
      <c r="E173" s="72" t="s">
        <v>438</v>
      </c>
      <c r="F173" s="70" t="s">
        <v>136</v>
      </c>
      <c r="G173" s="19" t="s">
        <v>880</v>
      </c>
      <c r="H173" s="369" t="s">
        <v>881</v>
      </c>
      <c r="I173" s="71" t="s">
        <v>131</v>
      </c>
      <c r="J173" s="389" t="s">
        <v>882</v>
      </c>
      <c r="K173" s="19" t="s">
        <v>131</v>
      </c>
      <c r="L173" s="71" t="s">
        <v>137</v>
      </c>
      <c r="M173" s="71" t="s">
        <v>735</v>
      </c>
      <c r="N173" s="80" t="s">
        <v>135</v>
      </c>
      <c r="O173" s="295">
        <v>-955</v>
      </c>
      <c r="P173" s="75"/>
      <c r="Y173" s="45"/>
      <c r="AC173" s="45"/>
    </row>
    <row r="174" spans="2:29" s="79" customFormat="1" ht="21.75" hidden="1" customHeight="1">
      <c r="B174" s="376">
        <v>46064</v>
      </c>
      <c r="C174" s="377" t="str">
        <f t="shared" si="2"/>
        <v>Fevereiro</v>
      </c>
      <c r="D174" s="378" t="s">
        <v>300</v>
      </c>
      <c r="E174" s="379" t="s">
        <v>478</v>
      </c>
      <c r="F174" s="380" t="s">
        <v>136</v>
      </c>
      <c r="G174" s="342" t="s">
        <v>976</v>
      </c>
      <c r="H174" s="378" t="s">
        <v>977</v>
      </c>
      <c r="I174" s="342" t="s">
        <v>131</v>
      </c>
      <c r="J174" s="389" t="s">
        <v>996</v>
      </c>
      <c r="K174" s="342" t="s">
        <v>131</v>
      </c>
      <c r="L174" s="342" t="s">
        <v>137</v>
      </c>
      <c r="M174" s="342" t="s">
        <v>735</v>
      </c>
      <c r="N174" s="80" t="s">
        <v>135</v>
      </c>
      <c r="O174" s="295">
        <v>-275</v>
      </c>
      <c r="P174" s="75"/>
      <c r="Y174" s="45"/>
      <c r="AC174" s="45"/>
    </row>
    <row r="175" spans="2:29" s="79" customFormat="1" ht="21.75" hidden="1" customHeight="1">
      <c r="B175" s="68">
        <v>46064</v>
      </c>
      <c r="C175" s="69" t="str">
        <f t="shared" si="2"/>
        <v>Fevereiro</v>
      </c>
      <c r="D175" s="77" t="s">
        <v>508</v>
      </c>
      <c r="E175" s="72" t="s">
        <v>497</v>
      </c>
      <c r="F175" s="70" t="s">
        <v>534</v>
      </c>
      <c r="G175" s="71" t="s">
        <v>1094</v>
      </c>
      <c r="H175" s="369" t="s">
        <v>638</v>
      </c>
      <c r="I175" s="71" t="s">
        <v>595</v>
      </c>
      <c r="J175" s="389" t="s">
        <v>1095</v>
      </c>
      <c r="K175" s="73" t="s">
        <v>131</v>
      </c>
      <c r="L175" s="71" t="s">
        <v>1045</v>
      </c>
      <c r="M175" s="71" t="s">
        <v>730</v>
      </c>
      <c r="N175" s="80" t="s">
        <v>135</v>
      </c>
      <c r="O175" s="295">
        <v>-62.8</v>
      </c>
      <c r="P175" s="75"/>
      <c r="Y175" s="45"/>
      <c r="AC175" s="45"/>
    </row>
    <row r="176" spans="2:29" s="79" customFormat="1" ht="21.75" hidden="1" customHeight="1">
      <c r="B176" s="68">
        <v>46065</v>
      </c>
      <c r="C176" s="69" t="str">
        <f t="shared" si="2"/>
        <v>Fevereiro</v>
      </c>
      <c r="D176" s="77" t="s">
        <v>386</v>
      </c>
      <c r="E176" s="72" t="s">
        <v>468</v>
      </c>
      <c r="F176" s="70" t="s">
        <v>131</v>
      </c>
      <c r="G176" s="71" t="s">
        <v>480</v>
      </c>
      <c r="H176" s="72" t="s">
        <v>1008</v>
      </c>
      <c r="I176" s="71" t="s">
        <v>131</v>
      </c>
      <c r="J176" s="112" t="s">
        <v>131</v>
      </c>
      <c r="K176" s="71" t="s">
        <v>131</v>
      </c>
      <c r="L176" s="71" t="s">
        <v>131</v>
      </c>
      <c r="M176" s="71" t="s">
        <v>730</v>
      </c>
      <c r="N176" s="80" t="s">
        <v>586</v>
      </c>
      <c r="O176" s="295">
        <v>4000</v>
      </c>
      <c r="P176" s="75"/>
      <c r="Y176" s="45"/>
      <c r="AC176" s="45"/>
    </row>
    <row r="177" spans="2:29" s="79" customFormat="1" ht="21.75" hidden="1" customHeight="1">
      <c r="B177" s="68">
        <v>46065</v>
      </c>
      <c r="C177" s="69" t="str">
        <f t="shared" si="2"/>
        <v>Fevereiro</v>
      </c>
      <c r="D177" s="77" t="s">
        <v>386</v>
      </c>
      <c r="E177" s="72" t="s">
        <v>468</v>
      </c>
      <c r="F177" s="70" t="s">
        <v>131</v>
      </c>
      <c r="G177" s="71" t="s">
        <v>480</v>
      </c>
      <c r="H177" s="72" t="s">
        <v>1008</v>
      </c>
      <c r="I177" s="71" t="s">
        <v>131</v>
      </c>
      <c r="J177" s="112" t="s">
        <v>131</v>
      </c>
      <c r="K177" s="71" t="s">
        <v>131</v>
      </c>
      <c r="L177" s="71" t="s">
        <v>131</v>
      </c>
      <c r="M177" s="71" t="s">
        <v>730</v>
      </c>
      <c r="N177" s="80" t="s">
        <v>586</v>
      </c>
      <c r="O177" s="295">
        <v>4500</v>
      </c>
      <c r="P177" s="75"/>
      <c r="Y177" s="45"/>
      <c r="AC177" s="45"/>
    </row>
    <row r="178" spans="2:29" s="465" customFormat="1" ht="21.75" hidden="1" customHeight="1">
      <c r="B178" s="68">
        <v>46065</v>
      </c>
      <c r="C178" s="69" t="str">
        <f t="shared" si="2"/>
        <v>Fevereiro</v>
      </c>
      <c r="D178" s="77" t="s">
        <v>508</v>
      </c>
      <c r="E178" s="72" t="s">
        <v>497</v>
      </c>
      <c r="F178" s="70" t="s">
        <v>534</v>
      </c>
      <c r="G178" s="71" t="s">
        <v>1091</v>
      </c>
      <c r="H178" s="77" t="s">
        <v>1098</v>
      </c>
      <c r="I178" s="71" t="s">
        <v>595</v>
      </c>
      <c r="J178" s="366" t="s">
        <v>1097</v>
      </c>
      <c r="K178" s="78" t="s">
        <v>205</v>
      </c>
      <c r="L178" s="71" t="s">
        <v>134</v>
      </c>
      <c r="M178" s="71" t="s">
        <v>730</v>
      </c>
      <c r="N178" s="80" t="s">
        <v>135</v>
      </c>
      <c r="O178" s="295">
        <v>-4500</v>
      </c>
      <c r="P178" s="296"/>
      <c r="Y178" s="45"/>
      <c r="AC178" s="45"/>
    </row>
    <row r="179" spans="2:29" s="341" customFormat="1" ht="21.75" hidden="1" customHeight="1">
      <c r="B179" s="466">
        <v>46065</v>
      </c>
      <c r="C179" s="377" t="str">
        <f t="shared" si="2"/>
        <v>Fevereiro</v>
      </c>
      <c r="D179" s="378" t="s">
        <v>508</v>
      </c>
      <c r="E179" s="379" t="s">
        <v>497</v>
      </c>
      <c r="F179" s="380" t="s">
        <v>534</v>
      </c>
      <c r="G179" s="19" t="s">
        <v>983</v>
      </c>
      <c r="H179" s="378" t="s">
        <v>984</v>
      </c>
      <c r="I179" s="342" t="s">
        <v>858</v>
      </c>
      <c r="J179" s="176" t="s">
        <v>1058</v>
      </c>
      <c r="K179" s="384" t="s">
        <v>131</v>
      </c>
      <c r="L179" s="342" t="s">
        <v>137</v>
      </c>
      <c r="M179" s="71" t="s">
        <v>730</v>
      </c>
      <c r="N179" s="80" t="s">
        <v>135</v>
      </c>
      <c r="O179" s="390">
        <v>-804</v>
      </c>
      <c r="P179" s="296"/>
      <c r="Q179"/>
      <c r="R179"/>
      <c r="S179"/>
      <c r="T179"/>
      <c r="U179"/>
      <c r="V179"/>
      <c r="W179"/>
      <c r="X179"/>
      <c r="Y179" s="45"/>
      <c r="AC179" s="45"/>
    </row>
    <row r="180" spans="2:29" s="341" customFormat="1" ht="21.75" hidden="1" customHeight="1">
      <c r="B180" s="68">
        <v>46065</v>
      </c>
      <c r="C180" s="69" t="str">
        <f t="shared" si="2"/>
        <v>Fevereiro</v>
      </c>
      <c r="D180" s="77" t="s">
        <v>386</v>
      </c>
      <c r="E180" s="72" t="s">
        <v>468</v>
      </c>
      <c r="F180" s="70" t="s">
        <v>131</v>
      </c>
      <c r="G180" s="71" t="s">
        <v>480</v>
      </c>
      <c r="H180" s="77" t="s">
        <v>511</v>
      </c>
      <c r="I180" s="71" t="s">
        <v>131</v>
      </c>
      <c r="J180" s="112" t="s">
        <v>131</v>
      </c>
      <c r="K180" s="71" t="s">
        <v>131</v>
      </c>
      <c r="L180" s="71" t="s">
        <v>131</v>
      </c>
      <c r="M180" s="71" t="s">
        <v>730</v>
      </c>
      <c r="N180" s="80" t="s">
        <v>586</v>
      </c>
      <c r="O180" s="295">
        <v>62.8</v>
      </c>
      <c r="P180" s="296"/>
      <c r="Q180"/>
      <c r="R180"/>
      <c r="S180"/>
      <c r="T180"/>
      <c r="U180"/>
      <c r="V180"/>
      <c r="W180"/>
      <c r="X180"/>
      <c r="Y180" s="45"/>
      <c r="AC180" s="45"/>
    </row>
    <row r="181" spans="2:29" ht="21.75" hidden="1" customHeight="1">
      <c r="B181" s="68">
        <v>46065</v>
      </c>
      <c r="C181" s="69" t="str">
        <f t="shared" si="2"/>
        <v>Fevereiro</v>
      </c>
      <c r="D181" s="77" t="s">
        <v>508</v>
      </c>
      <c r="E181" s="72" t="s">
        <v>497</v>
      </c>
      <c r="F181" s="70" t="s">
        <v>534</v>
      </c>
      <c r="G181" s="71" t="s">
        <v>1087</v>
      </c>
      <c r="H181" s="77" t="s">
        <v>1088</v>
      </c>
      <c r="I181" s="71" t="s">
        <v>595</v>
      </c>
      <c r="J181" s="366" t="s">
        <v>1089</v>
      </c>
      <c r="K181" s="78" t="s">
        <v>974</v>
      </c>
      <c r="L181" s="71" t="s">
        <v>137</v>
      </c>
      <c r="M181" s="71" t="s">
        <v>730</v>
      </c>
      <c r="N181" s="80" t="s">
        <v>135</v>
      </c>
      <c r="O181" s="295">
        <v>-4000</v>
      </c>
      <c r="P181" s="75"/>
      <c r="Z181" s="16"/>
      <c r="AA181" s="16"/>
      <c r="AB181" s="16"/>
    </row>
    <row r="182" spans="2:29" ht="21.75" hidden="1" customHeight="1">
      <c r="B182" s="68">
        <v>46065</v>
      </c>
      <c r="C182" s="69" t="str">
        <f t="shared" si="2"/>
        <v>Fevereiro</v>
      </c>
      <c r="D182" s="77" t="s">
        <v>508</v>
      </c>
      <c r="E182" s="72" t="s">
        <v>497</v>
      </c>
      <c r="F182" s="70" t="s">
        <v>534</v>
      </c>
      <c r="G182" s="71" t="s">
        <v>520</v>
      </c>
      <c r="H182" s="369" t="s">
        <v>638</v>
      </c>
      <c r="I182" s="342" t="s">
        <v>858</v>
      </c>
      <c r="J182" s="389" t="s">
        <v>979</v>
      </c>
      <c r="K182" s="73" t="s">
        <v>272</v>
      </c>
      <c r="L182" s="71" t="s">
        <v>137</v>
      </c>
      <c r="M182" s="71" t="s">
        <v>730</v>
      </c>
      <c r="N182" s="80" t="s">
        <v>135</v>
      </c>
      <c r="O182" s="295">
        <v>-5194.1000000000004</v>
      </c>
      <c r="P182" s="75"/>
      <c r="Z182" s="16"/>
      <c r="AA182" s="16"/>
      <c r="AB182" s="16"/>
    </row>
    <row r="183" spans="2:29" s="79" customFormat="1" ht="21.75" hidden="1" customHeight="1">
      <c r="B183" s="68">
        <v>46065</v>
      </c>
      <c r="C183" s="69" t="str">
        <f t="shared" si="2"/>
        <v>Fevereiro</v>
      </c>
      <c r="D183" s="77" t="s">
        <v>386</v>
      </c>
      <c r="E183" s="72" t="s">
        <v>468</v>
      </c>
      <c r="F183" s="70" t="s">
        <v>131</v>
      </c>
      <c r="G183" s="71" t="s">
        <v>480</v>
      </c>
      <c r="H183" s="77" t="s">
        <v>511</v>
      </c>
      <c r="I183" s="71" t="s">
        <v>131</v>
      </c>
      <c r="J183" s="112" t="s">
        <v>131</v>
      </c>
      <c r="K183" s="71" t="s">
        <v>131</v>
      </c>
      <c r="L183" s="71" t="s">
        <v>131</v>
      </c>
      <c r="M183" s="71" t="s">
        <v>729</v>
      </c>
      <c r="N183" s="80" t="s">
        <v>586</v>
      </c>
      <c r="O183" s="295">
        <v>10616.31</v>
      </c>
      <c r="P183" s="75"/>
      <c r="Y183" s="45"/>
      <c r="AC183" s="45"/>
    </row>
    <row r="184" spans="2:29" s="79" customFormat="1" ht="21.75" hidden="1" customHeight="1">
      <c r="B184" s="68">
        <v>46065</v>
      </c>
      <c r="C184" s="69" t="str">
        <f t="shared" si="2"/>
        <v>Fevereiro</v>
      </c>
      <c r="D184" s="378" t="s">
        <v>300</v>
      </c>
      <c r="E184" s="72" t="s">
        <v>438</v>
      </c>
      <c r="F184" s="70" t="s">
        <v>136</v>
      </c>
      <c r="G184" s="71" t="s">
        <v>1043</v>
      </c>
      <c r="H184" s="77" t="s">
        <v>994</v>
      </c>
      <c r="I184" s="71" t="s">
        <v>131</v>
      </c>
      <c r="J184" s="71" t="s">
        <v>995</v>
      </c>
      <c r="K184" s="76" t="s">
        <v>131</v>
      </c>
      <c r="L184" s="76" t="s">
        <v>137</v>
      </c>
      <c r="M184" s="71" t="s">
        <v>735</v>
      </c>
      <c r="N184" s="80" t="s">
        <v>135</v>
      </c>
      <c r="O184" s="82">
        <v>-2130</v>
      </c>
      <c r="P184" s="75"/>
      <c r="Y184" s="45"/>
      <c r="AC184" s="45"/>
    </row>
    <row r="185" spans="2:29" s="79" customFormat="1" ht="21.75" hidden="1" customHeight="1">
      <c r="B185" s="68">
        <v>46066</v>
      </c>
      <c r="C185" s="69" t="str">
        <f t="shared" si="2"/>
        <v>Fevereiro</v>
      </c>
      <c r="D185" s="77" t="s">
        <v>508</v>
      </c>
      <c r="E185" s="72" t="s">
        <v>497</v>
      </c>
      <c r="F185" s="70" t="s">
        <v>534</v>
      </c>
      <c r="G185" s="19" t="s">
        <v>184</v>
      </c>
      <c r="H185" s="369" t="s">
        <v>693</v>
      </c>
      <c r="I185" s="71" t="s">
        <v>595</v>
      </c>
      <c r="J185" s="389" t="s">
        <v>1006</v>
      </c>
      <c r="K185" s="19" t="s">
        <v>131</v>
      </c>
      <c r="L185" s="71" t="s">
        <v>137</v>
      </c>
      <c r="M185" s="71" t="s">
        <v>730</v>
      </c>
      <c r="N185" s="80" t="s">
        <v>135</v>
      </c>
      <c r="O185" s="295">
        <v>-167.72</v>
      </c>
      <c r="P185" s="75"/>
      <c r="Y185" s="45"/>
      <c r="AC185" s="45"/>
    </row>
    <row r="186" spans="2:29" s="79" customFormat="1" ht="21.75" hidden="1" customHeight="1">
      <c r="B186" s="376">
        <v>46066</v>
      </c>
      <c r="C186" s="377" t="str">
        <f t="shared" si="2"/>
        <v>Fevereiro</v>
      </c>
      <c r="D186" s="378" t="s">
        <v>386</v>
      </c>
      <c r="E186" s="379" t="s">
        <v>468</v>
      </c>
      <c r="F186" s="380" t="s">
        <v>131</v>
      </c>
      <c r="G186" s="342" t="s">
        <v>480</v>
      </c>
      <c r="H186" s="378" t="s">
        <v>1008</v>
      </c>
      <c r="I186" s="342" t="s">
        <v>131</v>
      </c>
      <c r="J186" s="112" t="s">
        <v>131</v>
      </c>
      <c r="K186" s="343" t="s">
        <v>131</v>
      </c>
      <c r="L186" s="342" t="s">
        <v>131</v>
      </c>
      <c r="M186" s="342" t="s">
        <v>730</v>
      </c>
      <c r="N186" s="381" t="s">
        <v>586</v>
      </c>
      <c r="O186" s="295">
        <v>3372.17</v>
      </c>
      <c r="P186" s="75"/>
      <c r="Y186" s="45"/>
      <c r="AC186" s="45"/>
    </row>
    <row r="187" spans="2:29" s="79" customFormat="1" ht="21.75" hidden="1" customHeight="1">
      <c r="B187" s="68">
        <v>46066</v>
      </c>
      <c r="C187" s="69" t="str">
        <f t="shared" si="2"/>
        <v>Fevereiro</v>
      </c>
      <c r="D187" s="77" t="s">
        <v>300</v>
      </c>
      <c r="E187" s="72" t="s">
        <v>433</v>
      </c>
      <c r="F187" s="70" t="s">
        <v>136</v>
      </c>
      <c r="G187" s="71" t="s">
        <v>142</v>
      </c>
      <c r="H187" s="369" t="s">
        <v>155</v>
      </c>
      <c r="I187" s="71" t="s">
        <v>131</v>
      </c>
      <c r="J187" s="342" t="s">
        <v>1083</v>
      </c>
      <c r="K187" s="73" t="s">
        <v>131</v>
      </c>
      <c r="L187" s="71" t="s">
        <v>137</v>
      </c>
      <c r="M187" s="71" t="s">
        <v>735</v>
      </c>
      <c r="N187" s="80" t="s">
        <v>135</v>
      </c>
      <c r="O187" s="295">
        <f>-179.25-312.5-425.6</f>
        <v>-917.35</v>
      </c>
      <c r="P187" s="75"/>
      <c r="Y187" s="45"/>
      <c r="AC187" s="45"/>
    </row>
    <row r="188" spans="2:29" s="79" customFormat="1" ht="21.75" hidden="1" customHeight="1">
      <c r="B188" s="376">
        <v>46066</v>
      </c>
      <c r="C188" s="377" t="str">
        <f t="shared" si="2"/>
        <v>Fevereiro</v>
      </c>
      <c r="D188" s="378" t="s">
        <v>386</v>
      </c>
      <c r="E188" s="379" t="s">
        <v>468</v>
      </c>
      <c r="F188" s="380" t="s">
        <v>131</v>
      </c>
      <c r="G188" s="342" t="s">
        <v>480</v>
      </c>
      <c r="H188" s="378" t="s">
        <v>1008</v>
      </c>
      <c r="I188" s="342" t="s">
        <v>131</v>
      </c>
      <c r="J188" s="112" t="s">
        <v>131</v>
      </c>
      <c r="K188" s="343" t="s">
        <v>131</v>
      </c>
      <c r="L188" s="342" t="s">
        <v>131</v>
      </c>
      <c r="M188" s="342" t="s">
        <v>730</v>
      </c>
      <c r="N188" s="381" t="s">
        <v>586</v>
      </c>
      <c r="O188" s="295">
        <v>1301.3900000000001</v>
      </c>
      <c r="P188" s="75"/>
      <c r="Y188" s="45"/>
      <c r="AC188" s="45"/>
    </row>
    <row r="189" spans="2:29" s="79" customFormat="1" ht="21.75" hidden="1" customHeight="1">
      <c r="B189" s="68">
        <v>46066</v>
      </c>
      <c r="C189" s="69" t="str">
        <f t="shared" si="2"/>
        <v>Fevereiro</v>
      </c>
      <c r="D189" s="77" t="s">
        <v>300</v>
      </c>
      <c r="E189" s="72" t="s">
        <v>478</v>
      </c>
      <c r="F189" s="70" t="s">
        <v>136</v>
      </c>
      <c r="G189" s="71" t="s">
        <v>539</v>
      </c>
      <c r="H189" s="72" t="s">
        <v>1024</v>
      </c>
      <c r="I189" s="71" t="s">
        <v>131</v>
      </c>
      <c r="J189" s="366" t="s">
        <v>1025</v>
      </c>
      <c r="K189" s="73" t="s">
        <v>131</v>
      </c>
      <c r="L189" s="71" t="s">
        <v>137</v>
      </c>
      <c r="M189" s="71" t="s">
        <v>735</v>
      </c>
      <c r="N189" s="80" t="s">
        <v>135</v>
      </c>
      <c r="O189" s="295">
        <v>-140.46</v>
      </c>
      <c r="P189" s="75"/>
      <c r="Y189" s="45"/>
      <c r="AC189" s="45"/>
    </row>
    <row r="190" spans="2:29" s="79" customFormat="1" ht="21.75" hidden="1" customHeight="1">
      <c r="B190" s="68">
        <v>46071</v>
      </c>
      <c r="C190" s="69" t="str">
        <f t="shared" si="2"/>
        <v>Fevereiro</v>
      </c>
      <c r="D190" s="77" t="s">
        <v>508</v>
      </c>
      <c r="E190" s="72" t="s">
        <v>497</v>
      </c>
      <c r="F190" s="70" t="s">
        <v>534</v>
      </c>
      <c r="G190" s="71" t="s">
        <v>520</v>
      </c>
      <c r="H190" s="369" t="s">
        <v>638</v>
      </c>
      <c r="I190" s="342" t="s">
        <v>858</v>
      </c>
      <c r="J190" s="389" t="s">
        <v>709</v>
      </c>
      <c r="K190" s="73" t="s">
        <v>274</v>
      </c>
      <c r="L190" s="71" t="s">
        <v>137</v>
      </c>
      <c r="M190" s="71" t="s">
        <v>729</v>
      </c>
      <c r="N190" s="80" t="s">
        <v>135</v>
      </c>
      <c r="O190" s="295">
        <v>-2583.1999999999998</v>
      </c>
      <c r="P190" s="75"/>
      <c r="Y190" s="45"/>
      <c r="AC190" s="45"/>
    </row>
    <row r="191" spans="2:29" s="79" customFormat="1" ht="21.75" hidden="1" customHeight="1">
      <c r="B191" s="68">
        <v>46071</v>
      </c>
      <c r="C191" s="69" t="str">
        <f t="shared" si="2"/>
        <v>Fevereiro</v>
      </c>
      <c r="D191" s="77" t="s">
        <v>508</v>
      </c>
      <c r="E191" s="72" t="s">
        <v>497</v>
      </c>
      <c r="F191" s="70" t="s">
        <v>534</v>
      </c>
      <c r="G191" s="71" t="s">
        <v>520</v>
      </c>
      <c r="H191" s="369" t="s">
        <v>638</v>
      </c>
      <c r="I191" s="342" t="s">
        <v>858</v>
      </c>
      <c r="J191" s="389" t="s">
        <v>710</v>
      </c>
      <c r="K191" s="73" t="s">
        <v>274</v>
      </c>
      <c r="L191" s="71" t="s">
        <v>137</v>
      </c>
      <c r="M191" s="71" t="s">
        <v>729</v>
      </c>
      <c r="N191" s="80" t="s">
        <v>135</v>
      </c>
      <c r="O191" s="295">
        <v>-6027.44</v>
      </c>
      <c r="P191" s="75"/>
      <c r="Y191" s="45"/>
      <c r="AC191" s="45"/>
    </row>
    <row r="192" spans="2:29" s="79" customFormat="1" ht="21.75" hidden="1" customHeight="1">
      <c r="B192" s="68">
        <v>46071</v>
      </c>
      <c r="C192" s="377" t="str">
        <f t="shared" si="2"/>
        <v>Fevereiro</v>
      </c>
      <c r="D192" s="378" t="s">
        <v>300</v>
      </c>
      <c r="E192" s="379" t="s">
        <v>478</v>
      </c>
      <c r="F192" s="380" t="s">
        <v>136</v>
      </c>
      <c r="G192" s="342" t="s">
        <v>1037</v>
      </c>
      <c r="H192" s="378" t="s">
        <v>1038</v>
      </c>
      <c r="I192" s="342" t="s">
        <v>131</v>
      </c>
      <c r="J192" s="342" t="s">
        <v>1039</v>
      </c>
      <c r="K192" s="342" t="s">
        <v>131</v>
      </c>
      <c r="L192" s="71" t="s">
        <v>1046</v>
      </c>
      <c r="M192" s="342" t="s">
        <v>735</v>
      </c>
      <c r="N192" s="80" t="s">
        <v>135</v>
      </c>
      <c r="O192" s="295">
        <v>-93.5</v>
      </c>
      <c r="P192" s="75"/>
      <c r="Y192" s="45"/>
      <c r="AC192" s="45"/>
    </row>
    <row r="193" spans="2:29" s="465" customFormat="1" ht="21.75" hidden="1" customHeight="1">
      <c r="B193" s="68">
        <v>46071</v>
      </c>
      <c r="C193" s="69" t="str">
        <f t="shared" si="2"/>
        <v>Fevereiro</v>
      </c>
      <c r="D193" s="77" t="s">
        <v>298</v>
      </c>
      <c r="E193" s="72" t="s">
        <v>440</v>
      </c>
      <c r="F193" s="70" t="s">
        <v>136</v>
      </c>
      <c r="G193" s="71" t="s">
        <v>425</v>
      </c>
      <c r="H193" s="77" t="s">
        <v>251</v>
      </c>
      <c r="I193" s="71" t="s">
        <v>131</v>
      </c>
      <c r="J193" s="112" t="s">
        <v>131</v>
      </c>
      <c r="K193" s="71" t="s">
        <v>280</v>
      </c>
      <c r="L193" s="71" t="s">
        <v>1046</v>
      </c>
      <c r="M193" s="71" t="s">
        <v>735</v>
      </c>
      <c r="N193" s="80" t="s">
        <v>135</v>
      </c>
      <c r="O193" s="295">
        <v>-24.16</v>
      </c>
      <c r="P193" s="296"/>
      <c r="Y193" s="45"/>
      <c r="AC193" s="45"/>
    </row>
    <row r="194" spans="2:29" s="79" customFormat="1" ht="21.75" hidden="1" customHeight="1">
      <c r="B194" s="68">
        <v>46071</v>
      </c>
      <c r="C194" s="377" t="str">
        <f t="shared" si="2"/>
        <v>Fevereiro</v>
      </c>
      <c r="D194" s="378" t="s">
        <v>300</v>
      </c>
      <c r="E194" s="379" t="s">
        <v>478</v>
      </c>
      <c r="F194" s="380" t="s">
        <v>136</v>
      </c>
      <c r="G194" s="342" t="s">
        <v>1099</v>
      </c>
      <c r="H194" s="378" t="s">
        <v>1100</v>
      </c>
      <c r="I194" s="342" t="s">
        <v>131</v>
      </c>
      <c r="J194" s="342" t="s">
        <v>1101</v>
      </c>
      <c r="K194" s="342" t="s">
        <v>131</v>
      </c>
      <c r="L194" s="71" t="s">
        <v>1046</v>
      </c>
      <c r="M194" s="342" t="s">
        <v>735</v>
      </c>
      <c r="N194" s="80" t="s">
        <v>135</v>
      </c>
      <c r="O194" s="295">
        <v>-850</v>
      </c>
      <c r="P194" s="75"/>
      <c r="Y194" s="45"/>
      <c r="AC194" s="45"/>
    </row>
    <row r="195" spans="2:29" s="79" customFormat="1" ht="21.75" hidden="1" customHeight="1">
      <c r="B195" s="68">
        <v>46071</v>
      </c>
      <c r="C195" s="69" t="str">
        <f t="shared" si="2"/>
        <v>Fevereiro</v>
      </c>
      <c r="D195" s="77" t="s">
        <v>298</v>
      </c>
      <c r="E195" s="72" t="s">
        <v>440</v>
      </c>
      <c r="F195" s="70" t="s">
        <v>136</v>
      </c>
      <c r="G195" s="71" t="s">
        <v>426</v>
      </c>
      <c r="H195" s="77" t="s">
        <v>252</v>
      </c>
      <c r="I195" s="71" t="s">
        <v>131</v>
      </c>
      <c r="J195" s="342" t="s">
        <v>1014</v>
      </c>
      <c r="K195" s="71" t="s">
        <v>254</v>
      </c>
      <c r="L195" s="71" t="s">
        <v>1046</v>
      </c>
      <c r="M195" s="71" t="s">
        <v>735</v>
      </c>
      <c r="N195" s="80" t="s">
        <v>135</v>
      </c>
      <c r="O195" s="295">
        <v>-398.91</v>
      </c>
      <c r="P195" s="75"/>
      <c r="Y195" s="45"/>
      <c r="AC195" s="45"/>
    </row>
    <row r="196" spans="2:29" s="79" customFormat="1" ht="21.75" hidden="1" customHeight="1">
      <c r="B196" s="68">
        <v>46071</v>
      </c>
      <c r="C196" s="69" t="str">
        <f t="shared" si="2"/>
        <v>Fevereiro</v>
      </c>
      <c r="D196" s="77" t="s">
        <v>508</v>
      </c>
      <c r="E196" s="72" t="s">
        <v>497</v>
      </c>
      <c r="F196" s="70" t="s">
        <v>534</v>
      </c>
      <c r="G196" s="71" t="s">
        <v>998</v>
      </c>
      <c r="H196" s="77" t="s">
        <v>1001</v>
      </c>
      <c r="I196" s="71" t="s">
        <v>595</v>
      </c>
      <c r="J196" s="393" t="s">
        <v>1016</v>
      </c>
      <c r="K196" s="78" t="s">
        <v>286</v>
      </c>
      <c r="L196" s="71" t="s">
        <v>1046</v>
      </c>
      <c r="M196" s="71" t="s">
        <v>730</v>
      </c>
      <c r="N196" s="80" t="s">
        <v>135</v>
      </c>
      <c r="O196" s="295">
        <v>-361.39</v>
      </c>
      <c r="P196" s="75"/>
      <c r="Y196" s="45"/>
      <c r="AC196" s="45"/>
    </row>
    <row r="197" spans="2:29" s="79" customFormat="1" ht="21.75" hidden="1" customHeight="1">
      <c r="B197" s="68">
        <v>46071</v>
      </c>
      <c r="C197" s="69" t="str">
        <f t="shared" si="2"/>
        <v>Fevereiro</v>
      </c>
      <c r="D197" s="77" t="s">
        <v>508</v>
      </c>
      <c r="E197" s="72" t="s">
        <v>497</v>
      </c>
      <c r="F197" s="70" t="s">
        <v>534</v>
      </c>
      <c r="G197" s="71" t="s">
        <v>998</v>
      </c>
      <c r="H197" s="77" t="s">
        <v>1005</v>
      </c>
      <c r="I197" s="71" t="s">
        <v>595</v>
      </c>
      <c r="J197" s="393" t="s">
        <v>999</v>
      </c>
      <c r="K197" s="78" t="s">
        <v>286</v>
      </c>
      <c r="L197" s="71" t="s">
        <v>1046</v>
      </c>
      <c r="M197" s="71" t="s">
        <v>730</v>
      </c>
      <c r="N197" s="80" t="s">
        <v>135</v>
      </c>
      <c r="O197" s="295">
        <v>-940</v>
      </c>
      <c r="P197" s="75"/>
      <c r="Y197" s="45"/>
      <c r="AC197" s="45"/>
    </row>
    <row r="198" spans="2:29" s="79" customFormat="1" ht="21.75" hidden="1" customHeight="1">
      <c r="B198" s="68">
        <v>46071</v>
      </c>
      <c r="C198" s="69" t="str">
        <f t="shared" ref="C198:C261" si="3">PROPER(TEXT(B198,"MMMM"))</f>
        <v>Fevereiro</v>
      </c>
      <c r="D198" s="77" t="s">
        <v>300</v>
      </c>
      <c r="E198" s="72" t="s">
        <v>432</v>
      </c>
      <c r="F198" s="70" t="s">
        <v>136</v>
      </c>
      <c r="G198" s="71" t="s">
        <v>434</v>
      </c>
      <c r="H198" s="72" t="s">
        <v>154</v>
      </c>
      <c r="I198" s="71" t="s">
        <v>131</v>
      </c>
      <c r="J198" s="112" t="s">
        <v>1015</v>
      </c>
      <c r="K198" s="73" t="s">
        <v>131</v>
      </c>
      <c r="L198" s="71" t="s">
        <v>1046</v>
      </c>
      <c r="M198" s="71" t="s">
        <v>735</v>
      </c>
      <c r="N198" s="80" t="s">
        <v>135</v>
      </c>
      <c r="O198" s="295">
        <v>-235.52</v>
      </c>
      <c r="P198" s="75"/>
      <c r="Y198" s="45"/>
      <c r="AC198" s="45"/>
    </row>
    <row r="199" spans="2:29" s="79" customFormat="1" ht="21.75" hidden="1" customHeight="1">
      <c r="B199" s="68">
        <v>46071</v>
      </c>
      <c r="C199" s="69" t="str">
        <f t="shared" si="3"/>
        <v>Fevereiro</v>
      </c>
      <c r="D199" s="77" t="s">
        <v>508</v>
      </c>
      <c r="E199" s="72" t="s">
        <v>497</v>
      </c>
      <c r="F199" s="70" t="s">
        <v>534</v>
      </c>
      <c r="G199" s="71" t="s">
        <v>567</v>
      </c>
      <c r="H199" s="72" t="s">
        <v>693</v>
      </c>
      <c r="I199" s="71" t="s">
        <v>595</v>
      </c>
      <c r="J199" s="112" t="s">
        <v>708</v>
      </c>
      <c r="K199" s="73" t="s">
        <v>274</v>
      </c>
      <c r="L199" s="71" t="s">
        <v>137</v>
      </c>
      <c r="M199" s="71" t="s">
        <v>729</v>
      </c>
      <c r="N199" s="80" t="s">
        <v>135</v>
      </c>
      <c r="O199" s="295">
        <v>-1348.67</v>
      </c>
      <c r="P199" s="75"/>
      <c r="Y199" s="45"/>
      <c r="AC199" s="45"/>
    </row>
    <row r="200" spans="2:29" s="79" customFormat="1" ht="21.75" hidden="1" customHeight="1">
      <c r="B200" s="68">
        <v>46071</v>
      </c>
      <c r="C200" s="69" t="str">
        <f t="shared" si="3"/>
        <v>Fevereiro</v>
      </c>
      <c r="D200" s="77" t="s">
        <v>508</v>
      </c>
      <c r="E200" s="72" t="s">
        <v>497</v>
      </c>
      <c r="F200" s="70" t="s">
        <v>534</v>
      </c>
      <c r="G200" s="71" t="s">
        <v>702</v>
      </c>
      <c r="H200" s="77" t="s">
        <v>703</v>
      </c>
      <c r="I200" s="71" t="s">
        <v>595</v>
      </c>
      <c r="J200" s="366" t="s">
        <v>1031</v>
      </c>
      <c r="K200" s="71" t="s">
        <v>131</v>
      </c>
      <c r="L200" s="71" t="s">
        <v>137</v>
      </c>
      <c r="M200" s="71" t="s">
        <v>730</v>
      </c>
      <c r="N200" s="80" t="s">
        <v>135</v>
      </c>
      <c r="O200" s="295">
        <v>-782.5</v>
      </c>
      <c r="P200" s="75"/>
      <c r="R200"/>
      <c r="S200"/>
      <c r="Y200" s="45"/>
      <c r="AC200" s="45"/>
    </row>
    <row r="201" spans="2:29" s="79" customFormat="1" ht="21.75" hidden="1" customHeight="1">
      <c r="B201" s="376">
        <v>46071</v>
      </c>
      <c r="C201" s="377" t="str">
        <f t="shared" si="3"/>
        <v>Fevereiro</v>
      </c>
      <c r="D201" s="378" t="s">
        <v>508</v>
      </c>
      <c r="E201" s="379" t="s">
        <v>497</v>
      </c>
      <c r="F201" s="380" t="s">
        <v>534</v>
      </c>
      <c r="G201" s="19" t="s">
        <v>853</v>
      </c>
      <c r="H201" s="369" t="s">
        <v>854</v>
      </c>
      <c r="I201" s="342" t="s">
        <v>595</v>
      </c>
      <c r="J201" s="112" t="s">
        <v>1034</v>
      </c>
      <c r="K201" s="112" t="s">
        <v>131</v>
      </c>
      <c r="L201" s="342" t="s">
        <v>137</v>
      </c>
      <c r="M201" s="71" t="s">
        <v>730</v>
      </c>
      <c r="N201" s="80" t="s">
        <v>135</v>
      </c>
      <c r="O201" s="295">
        <v>-78.239999999999995</v>
      </c>
      <c r="P201" s="75"/>
      <c r="R201" s="246"/>
      <c r="Y201" s="45"/>
      <c r="AC201" s="45"/>
    </row>
    <row r="202" spans="2:29" s="79" customFormat="1" ht="21.75" hidden="1" customHeight="1">
      <c r="B202" s="68">
        <v>46071</v>
      </c>
      <c r="C202" s="69" t="str">
        <f t="shared" si="3"/>
        <v>Fevereiro</v>
      </c>
      <c r="D202" s="77" t="s">
        <v>508</v>
      </c>
      <c r="E202" s="72" t="s">
        <v>497</v>
      </c>
      <c r="F202" s="70" t="s">
        <v>534</v>
      </c>
      <c r="G202" s="19" t="s">
        <v>1029</v>
      </c>
      <c r="H202" s="369" t="s">
        <v>1030</v>
      </c>
      <c r="I202" s="71" t="s">
        <v>595</v>
      </c>
      <c r="J202" s="343" t="s">
        <v>1032</v>
      </c>
      <c r="K202" s="112" t="s">
        <v>285</v>
      </c>
      <c r="L202" s="71" t="s">
        <v>137</v>
      </c>
      <c r="M202" s="71" t="s">
        <v>730</v>
      </c>
      <c r="N202" s="80" t="s">
        <v>135</v>
      </c>
      <c r="O202" s="295">
        <v>-2511.4299999999998</v>
      </c>
      <c r="P202" s="75"/>
      <c r="R202" s="246"/>
      <c r="Y202" s="45"/>
      <c r="AC202" s="45"/>
    </row>
    <row r="203" spans="2:29" s="79" customFormat="1" ht="21.75" hidden="1" customHeight="1">
      <c r="B203" s="68">
        <v>46071</v>
      </c>
      <c r="C203" s="69" t="str">
        <f t="shared" si="3"/>
        <v>Fevereiro</v>
      </c>
      <c r="D203" s="77" t="s">
        <v>508</v>
      </c>
      <c r="E203" s="72" t="s">
        <v>497</v>
      </c>
      <c r="F203" s="70" t="s">
        <v>534</v>
      </c>
      <c r="G203" s="71" t="s">
        <v>702</v>
      </c>
      <c r="H203" s="72" t="s">
        <v>703</v>
      </c>
      <c r="I203" s="71" t="s">
        <v>595</v>
      </c>
      <c r="J203" s="366" t="s">
        <v>716</v>
      </c>
      <c r="K203" s="73" t="s">
        <v>274</v>
      </c>
      <c r="L203" s="71" t="s">
        <v>137</v>
      </c>
      <c r="M203" s="71" t="s">
        <v>729</v>
      </c>
      <c r="N203" s="80" t="s">
        <v>135</v>
      </c>
      <c r="O203" s="295">
        <v>-657</v>
      </c>
      <c r="P203" s="75"/>
      <c r="R203" s="246"/>
      <c r="Y203" s="45"/>
      <c r="AC203" s="45"/>
    </row>
    <row r="204" spans="2:29" s="79" customFormat="1" ht="21.75" hidden="1" customHeight="1">
      <c r="B204" s="376">
        <v>46071</v>
      </c>
      <c r="C204" s="377" t="str">
        <f t="shared" si="3"/>
        <v>Fevereiro</v>
      </c>
      <c r="D204" s="378" t="s">
        <v>300</v>
      </c>
      <c r="E204" s="379" t="s">
        <v>478</v>
      </c>
      <c r="F204" s="380" t="s">
        <v>136</v>
      </c>
      <c r="G204" s="342" t="s">
        <v>976</v>
      </c>
      <c r="H204" s="378" t="s">
        <v>1023</v>
      </c>
      <c r="I204" s="342" t="s">
        <v>595</v>
      </c>
      <c r="J204" s="389" t="s">
        <v>1022</v>
      </c>
      <c r="K204" s="342" t="s">
        <v>131</v>
      </c>
      <c r="L204" s="342" t="s">
        <v>137</v>
      </c>
      <c r="M204" s="342" t="s">
        <v>735</v>
      </c>
      <c r="N204" s="80" t="s">
        <v>135</v>
      </c>
      <c r="O204" s="295">
        <v>-700</v>
      </c>
      <c r="P204" s="75"/>
      <c r="R204" s="246"/>
      <c r="Y204" s="45"/>
      <c r="AC204" s="45"/>
    </row>
    <row r="205" spans="2:29" s="79" customFormat="1" ht="21.75" hidden="1" customHeight="1">
      <c r="B205" s="68">
        <v>46072</v>
      </c>
      <c r="C205" s="69" t="str">
        <f t="shared" si="3"/>
        <v>Fevereiro</v>
      </c>
      <c r="D205" s="77" t="s">
        <v>508</v>
      </c>
      <c r="E205" s="72" t="s">
        <v>497</v>
      </c>
      <c r="F205" s="70" t="s">
        <v>534</v>
      </c>
      <c r="G205" s="71" t="s">
        <v>1062</v>
      </c>
      <c r="H205" s="77" t="s">
        <v>1132</v>
      </c>
      <c r="I205" s="71" t="s">
        <v>858</v>
      </c>
      <c r="J205" s="393" t="s">
        <v>1115</v>
      </c>
      <c r="K205" s="71" t="s">
        <v>131</v>
      </c>
      <c r="L205" s="71" t="s">
        <v>134</v>
      </c>
      <c r="M205" s="71" t="s">
        <v>730</v>
      </c>
      <c r="N205" s="80" t="s">
        <v>135</v>
      </c>
      <c r="O205" s="295">
        <v>-1000</v>
      </c>
      <c r="P205" s="75"/>
      <c r="R205" s="246"/>
      <c r="Y205" s="45"/>
      <c r="AC205" s="45"/>
    </row>
    <row r="206" spans="2:29" s="79" customFormat="1" ht="21.75" hidden="1" customHeight="1">
      <c r="B206" s="68">
        <v>46072</v>
      </c>
      <c r="C206" s="69" t="str">
        <f t="shared" si="3"/>
        <v>Fevereiro</v>
      </c>
      <c r="D206" s="77" t="s">
        <v>508</v>
      </c>
      <c r="E206" s="72" t="s">
        <v>497</v>
      </c>
      <c r="F206" s="70" t="s">
        <v>534</v>
      </c>
      <c r="G206" s="71" t="s">
        <v>1087</v>
      </c>
      <c r="H206" s="77" t="s">
        <v>1088</v>
      </c>
      <c r="I206" s="71" t="s">
        <v>595</v>
      </c>
      <c r="J206" s="366" t="s">
        <v>1089</v>
      </c>
      <c r="K206" s="78" t="s">
        <v>975</v>
      </c>
      <c r="L206" s="71" t="s">
        <v>137</v>
      </c>
      <c r="M206" s="71" t="s">
        <v>730</v>
      </c>
      <c r="N206" s="80" t="s">
        <v>135</v>
      </c>
      <c r="O206" s="295">
        <v>-750</v>
      </c>
      <c r="P206" s="75"/>
      <c r="R206" s="246"/>
      <c r="Y206" s="45"/>
      <c r="AC206" s="45"/>
    </row>
    <row r="207" spans="2:29" s="465" customFormat="1" ht="21.75" hidden="1" customHeight="1">
      <c r="B207" s="376">
        <v>46072</v>
      </c>
      <c r="C207" s="377" t="str">
        <f t="shared" si="3"/>
        <v>Fevereiro</v>
      </c>
      <c r="D207" s="378" t="s">
        <v>386</v>
      </c>
      <c r="E207" s="379" t="s">
        <v>468</v>
      </c>
      <c r="F207" s="380" t="s">
        <v>131</v>
      </c>
      <c r="G207" s="342" t="s">
        <v>480</v>
      </c>
      <c r="H207" s="72" t="s">
        <v>1008</v>
      </c>
      <c r="I207" s="342" t="s">
        <v>131</v>
      </c>
      <c r="J207" s="112" t="s">
        <v>131</v>
      </c>
      <c r="K207" s="343" t="s">
        <v>131</v>
      </c>
      <c r="L207" s="342" t="s">
        <v>131</v>
      </c>
      <c r="M207" s="342" t="s">
        <v>730</v>
      </c>
      <c r="N207" s="381" t="s">
        <v>586</v>
      </c>
      <c r="O207" s="295">
        <v>2850</v>
      </c>
      <c r="P207" s="296"/>
      <c r="R207" s="246"/>
      <c r="S207" s="79"/>
      <c r="Y207" s="45"/>
      <c r="AC207" s="45"/>
    </row>
    <row r="208" spans="2:29" s="79" customFormat="1" ht="21.75" hidden="1" customHeight="1">
      <c r="B208" s="68">
        <v>46072</v>
      </c>
      <c r="C208" s="69" t="str">
        <f t="shared" si="3"/>
        <v>Fevereiro</v>
      </c>
      <c r="D208" s="77" t="s">
        <v>508</v>
      </c>
      <c r="E208" s="72" t="s">
        <v>497</v>
      </c>
      <c r="F208" s="70" t="s">
        <v>534</v>
      </c>
      <c r="G208" s="71" t="s">
        <v>1091</v>
      </c>
      <c r="H208" s="77" t="s">
        <v>1103</v>
      </c>
      <c r="I208" s="71" t="s">
        <v>595</v>
      </c>
      <c r="J208" s="366" t="s">
        <v>1102</v>
      </c>
      <c r="K208" s="78" t="s">
        <v>205</v>
      </c>
      <c r="L208" s="71" t="s">
        <v>134</v>
      </c>
      <c r="M208" s="71" t="s">
        <v>730</v>
      </c>
      <c r="N208" s="80" t="s">
        <v>135</v>
      </c>
      <c r="O208" s="295">
        <v>-1200</v>
      </c>
      <c r="P208" s="75"/>
      <c r="R208" s="246"/>
      <c r="Y208" s="45"/>
      <c r="AC208" s="45"/>
    </row>
    <row r="209" spans="2:29" s="79" customFormat="1" ht="21.75" hidden="1" customHeight="1">
      <c r="B209" s="376">
        <v>46072</v>
      </c>
      <c r="C209" s="377" t="str">
        <f t="shared" si="3"/>
        <v>Fevereiro</v>
      </c>
      <c r="D209" s="378" t="s">
        <v>386</v>
      </c>
      <c r="E209" s="379" t="s">
        <v>468</v>
      </c>
      <c r="F209" s="380" t="s">
        <v>131</v>
      </c>
      <c r="G209" s="342" t="s">
        <v>480</v>
      </c>
      <c r="H209" s="378" t="s">
        <v>1008</v>
      </c>
      <c r="I209" s="342" t="s">
        <v>131</v>
      </c>
      <c r="J209" s="112" t="s">
        <v>131</v>
      </c>
      <c r="K209" s="343" t="s">
        <v>131</v>
      </c>
      <c r="L209" s="342" t="s">
        <v>131</v>
      </c>
      <c r="M209" s="342" t="s">
        <v>730</v>
      </c>
      <c r="N209" s="381" t="s">
        <v>586</v>
      </c>
      <c r="O209" s="295">
        <v>2950</v>
      </c>
      <c r="P209" s="75"/>
      <c r="R209" s="246"/>
      <c r="Y209" s="45"/>
      <c r="AC209" s="45"/>
    </row>
    <row r="210" spans="2:29" s="79" customFormat="1" ht="21.75" hidden="1" customHeight="1">
      <c r="B210" s="376">
        <v>46072</v>
      </c>
      <c r="C210" s="377" t="str">
        <f t="shared" si="3"/>
        <v>Fevereiro</v>
      </c>
      <c r="D210" s="378" t="s">
        <v>386</v>
      </c>
      <c r="E210" s="379" t="s">
        <v>468</v>
      </c>
      <c r="F210" s="380" t="s">
        <v>131</v>
      </c>
      <c r="G210" s="342" t="s">
        <v>480</v>
      </c>
      <c r="H210" s="378" t="s">
        <v>1008</v>
      </c>
      <c r="I210" s="342" t="s">
        <v>131</v>
      </c>
      <c r="J210" s="112" t="s">
        <v>131</v>
      </c>
      <c r="K210" s="343" t="s">
        <v>131</v>
      </c>
      <c r="L210" s="342" t="s">
        <v>131</v>
      </c>
      <c r="M210" s="342" t="s">
        <v>730</v>
      </c>
      <c r="N210" s="381" t="s">
        <v>586</v>
      </c>
      <c r="O210" s="295">
        <v>240</v>
      </c>
      <c r="P210" s="75"/>
      <c r="R210" s="246"/>
      <c r="Y210" s="45"/>
      <c r="AC210" s="45"/>
    </row>
    <row r="211" spans="2:29" s="79" customFormat="1" ht="21.75" hidden="1" customHeight="1">
      <c r="B211" s="376">
        <v>46072</v>
      </c>
      <c r="C211" s="377" t="str">
        <f t="shared" si="3"/>
        <v>Fevereiro</v>
      </c>
      <c r="D211" s="378" t="s">
        <v>508</v>
      </c>
      <c r="E211" s="379" t="s">
        <v>497</v>
      </c>
      <c r="F211" s="380" t="s">
        <v>534</v>
      </c>
      <c r="G211" s="342" t="s">
        <v>1117</v>
      </c>
      <c r="H211" s="369" t="s">
        <v>992</v>
      </c>
      <c r="I211" s="342" t="s">
        <v>595</v>
      </c>
      <c r="J211" s="393" t="s">
        <v>1119</v>
      </c>
      <c r="K211" s="343" t="s">
        <v>131</v>
      </c>
      <c r="L211" s="342" t="s">
        <v>134</v>
      </c>
      <c r="M211" s="71" t="s">
        <v>730</v>
      </c>
      <c r="N211" s="80" t="s">
        <v>135</v>
      </c>
      <c r="O211" s="390">
        <v>-240</v>
      </c>
      <c r="P211" s="75"/>
      <c r="R211" s="246"/>
      <c r="Y211" s="45"/>
      <c r="AC211" s="45"/>
    </row>
    <row r="212" spans="2:29" s="79" customFormat="1" ht="21.75" hidden="1" customHeight="1">
      <c r="B212" s="68">
        <v>46073</v>
      </c>
      <c r="C212" s="69" t="str">
        <f t="shared" si="3"/>
        <v>Fevereiro</v>
      </c>
      <c r="D212" s="77" t="s">
        <v>508</v>
      </c>
      <c r="E212" s="72" t="s">
        <v>497</v>
      </c>
      <c r="F212" s="70" t="s">
        <v>534</v>
      </c>
      <c r="G212" s="71" t="s">
        <v>702</v>
      </c>
      <c r="H212" s="77" t="s">
        <v>703</v>
      </c>
      <c r="I212" s="71" t="s">
        <v>595</v>
      </c>
      <c r="J212" s="366" t="s">
        <v>721</v>
      </c>
      <c r="K212" s="71" t="s">
        <v>779</v>
      </c>
      <c r="L212" s="71" t="s">
        <v>137</v>
      </c>
      <c r="M212" s="71" t="s">
        <v>730</v>
      </c>
      <c r="N212" s="80" t="s">
        <v>135</v>
      </c>
      <c r="O212" s="295">
        <v>-2850</v>
      </c>
      <c r="P212" s="75"/>
      <c r="R212" s="246"/>
      <c r="Y212" s="45"/>
      <c r="AC212" s="45"/>
    </row>
    <row r="213" spans="2:29" s="79" customFormat="1" ht="21.75" hidden="1" customHeight="1">
      <c r="B213" s="68">
        <v>46073</v>
      </c>
      <c r="C213" s="69" t="str">
        <f t="shared" si="3"/>
        <v>Fevereiro</v>
      </c>
      <c r="D213" s="77" t="s">
        <v>299</v>
      </c>
      <c r="E213" s="72" t="s">
        <v>764</v>
      </c>
      <c r="F213" s="70" t="s">
        <v>138</v>
      </c>
      <c r="G213" s="71" t="s">
        <v>139</v>
      </c>
      <c r="H213" s="77" t="s">
        <v>49</v>
      </c>
      <c r="I213" s="71" t="s">
        <v>131</v>
      </c>
      <c r="J213" s="112" t="s">
        <v>749</v>
      </c>
      <c r="K213" s="71" t="s">
        <v>131</v>
      </c>
      <c r="L213" s="71" t="s">
        <v>150</v>
      </c>
      <c r="M213" s="71" t="s">
        <v>735</v>
      </c>
      <c r="N213" s="80" t="s">
        <v>135</v>
      </c>
      <c r="O213" s="295">
        <v>-400</v>
      </c>
      <c r="P213" s="75"/>
      <c r="R213" s="246"/>
      <c r="Y213" s="45"/>
      <c r="AC213" s="45"/>
    </row>
    <row r="214" spans="2:29" s="79" customFormat="1" ht="21.75" hidden="1" customHeight="1">
      <c r="B214" s="68">
        <v>46073</v>
      </c>
      <c r="C214" s="69" t="str">
        <f t="shared" si="3"/>
        <v>Fevereiro</v>
      </c>
      <c r="D214" s="77" t="s">
        <v>299</v>
      </c>
      <c r="E214" s="72" t="s">
        <v>764</v>
      </c>
      <c r="F214" s="70" t="s">
        <v>138</v>
      </c>
      <c r="G214" s="71" t="s">
        <v>163</v>
      </c>
      <c r="H214" s="72" t="s">
        <v>50</v>
      </c>
      <c r="I214" s="71" t="s">
        <v>131</v>
      </c>
      <c r="J214" s="112" t="s">
        <v>749</v>
      </c>
      <c r="K214" s="73" t="s">
        <v>131</v>
      </c>
      <c r="L214" s="71" t="s">
        <v>150</v>
      </c>
      <c r="M214" s="71" t="s">
        <v>735</v>
      </c>
      <c r="N214" s="80" t="s">
        <v>135</v>
      </c>
      <c r="O214" s="295">
        <v>-1836.5</v>
      </c>
      <c r="P214" s="75"/>
      <c r="R214" s="246"/>
      <c r="Y214" s="45"/>
      <c r="AC214" s="45"/>
    </row>
    <row r="215" spans="2:29" s="79" customFormat="1" ht="21.75" hidden="1" customHeight="1">
      <c r="B215" s="376">
        <v>46074</v>
      </c>
      <c r="C215" s="377" t="str">
        <f t="shared" si="3"/>
        <v>Fevereiro</v>
      </c>
      <c r="D215" s="378" t="s">
        <v>298</v>
      </c>
      <c r="E215" s="379" t="s">
        <v>440</v>
      </c>
      <c r="F215" s="380" t="s">
        <v>136</v>
      </c>
      <c r="G215" s="342" t="s">
        <v>1047</v>
      </c>
      <c r="H215" s="378" t="s">
        <v>1128</v>
      </c>
      <c r="I215" s="342" t="s">
        <v>131</v>
      </c>
      <c r="J215" s="366" t="s">
        <v>1127</v>
      </c>
      <c r="K215" s="343" t="s">
        <v>206</v>
      </c>
      <c r="L215" s="71" t="s">
        <v>134</v>
      </c>
      <c r="M215" s="342" t="s">
        <v>735</v>
      </c>
      <c r="N215" s="381" t="s">
        <v>135</v>
      </c>
      <c r="O215" s="469">
        <v>-287.5</v>
      </c>
      <c r="P215" s="75"/>
      <c r="R215" s="246"/>
      <c r="Y215" s="45"/>
      <c r="AC215" s="45"/>
    </row>
    <row r="216" spans="2:29" s="79" customFormat="1" ht="21.75" hidden="1" customHeight="1">
      <c r="B216" s="68">
        <v>46076</v>
      </c>
      <c r="C216" s="69" t="str">
        <f t="shared" si="3"/>
        <v>Fevereiro</v>
      </c>
      <c r="D216" s="77" t="s">
        <v>302</v>
      </c>
      <c r="E216" s="72" t="s">
        <v>436</v>
      </c>
      <c r="F216" s="70" t="s">
        <v>138</v>
      </c>
      <c r="G216" s="71" t="s">
        <v>480</v>
      </c>
      <c r="H216" s="77" t="s">
        <v>484</v>
      </c>
      <c r="I216" s="71" t="s">
        <v>131</v>
      </c>
      <c r="J216" s="343" t="s">
        <v>775</v>
      </c>
      <c r="K216" s="71" t="s">
        <v>131</v>
      </c>
      <c r="L216" s="71" t="s">
        <v>197</v>
      </c>
      <c r="M216" s="71" t="s">
        <v>729</v>
      </c>
      <c r="N216" s="80" t="s">
        <v>135</v>
      </c>
      <c r="O216" s="295">
        <v>-50</v>
      </c>
      <c r="P216" s="75"/>
      <c r="R216" s="246"/>
      <c r="Y216" s="45"/>
      <c r="AC216" s="45"/>
    </row>
    <row r="217" spans="2:29" s="79" customFormat="1" ht="21.75" hidden="1" customHeight="1">
      <c r="B217" s="376">
        <v>46077</v>
      </c>
      <c r="C217" s="377" t="str">
        <f t="shared" si="3"/>
        <v>Fevereiro</v>
      </c>
      <c r="D217" s="378" t="s">
        <v>386</v>
      </c>
      <c r="E217" s="379" t="s">
        <v>468</v>
      </c>
      <c r="F217" s="380" t="s">
        <v>131</v>
      </c>
      <c r="G217" s="342" t="s">
        <v>480</v>
      </c>
      <c r="H217" s="378" t="s">
        <v>1008</v>
      </c>
      <c r="I217" s="342" t="s">
        <v>131</v>
      </c>
      <c r="J217" s="112" t="s">
        <v>131</v>
      </c>
      <c r="K217" s="343" t="s">
        <v>131</v>
      </c>
      <c r="L217" s="342" t="s">
        <v>131</v>
      </c>
      <c r="M217" s="342" t="s">
        <v>730</v>
      </c>
      <c r="N217" s="381" t="s">
        <v>586</v>
      </c>
      <c r="O217" s="295">
        <v>1400</v>
      </c>
      <c r="P217" s="75"/>
      <c r="R217" s="246"/>
      <c r="Y217" s="45"/>
      <c r="AC217" s="45"/>
    </row>
    <row r="218" spans="2:29" s="79" customFormat="1" ht="21.75" hidden="1" customHeight="1">
      <c r="B218" s="376">
        <v>46077</v>
      </c>
      <c r="C218" s="377" t="str">
        <f t="shared" si="3"/>
        <v>Fevereiro</v>
      </c>
      <c r="D218" s="378" t="s">
        <v>386</v>
      </c>
      <c r="E218" s="379" t="s">
        <v>468</v>
      </c>
      <c r="F218" s="380" t="s">
        <v>131</v>
      </c>
      <c r="G218" s="342" t="s">
        <v>480</v>
      </c>
      <c r="H218" s="378" t="s">
        <v>1008</v>
      </c>
      <c r="I218" s="342" t="s">
        <v>131</v>
      </c>
      <c r="J218" s="112" t="s">
        <v>131</v>
      </c>
      <c r="K218" s="343" t="s">
        <v>131</v>
      </c>
      <c r="L218" s="342" t="s">
        <v>131</v>
      </c>
      <c r="M218" s="342" t="s">
        <v>730</v>
      </c>
      <c r="N218" s="381" t="s">
        <v>586</v>
      </c>
      <c r="O218" s="295">
        <v>400</v>
      </c>
      <c r="P218" s="75"/>
      <c r="R218" s="246"/>
      <c r="Y218" s="45"/>
      <c r="AC218" s="45"/>
    </row>
    <row r="219" spans="2:29" s="79" customFormat="1" ht="21.75" hidden="1" customHeight="1">
      <c r="B219" s="68">
        <v>46077</v>
      </c>
      <c r="C219" s="69" t="str">
        <f t="shared" si="3"/>
        <v>Fevereiro</v>
      </c>
      <c r="D219" s="77" t="s">
        <v>509</v>
      </c>
      <c r="E219" s="72" t="s">
        <v>502</v>
      </c>
      <c r="F219" s="70" t="s">
        <v>138</v>
      </c>
      <c r="G219" s="71" t="s">
        <v>141</v>
      </c>
      <c r="H219" s="77" t="s">
        <v>187</v>
      </c>
      <c r="I219" s="71" t="s">
        <v>131</v>
      </c>
      <c r="J219" s="343" t="s">
        <v>775</v>
      </c>
      <c r="K219" s="71" t="s">
        <v>131</v>
      </c>
      <c r="L219" s="71" t="s">
        <v>137</v>
      </c>
      <c r="M219" s="71" t="s">
        <v>735</v>
      </c>
      <c r="N219" s="80" t="s">
        <v>135</v>
      </c>
      <c r="O219" s="295">
        <v>-8489.33</v>
      </c>
      <c r="P219" s="75"/>
      <c r="R219" s="246"/>
      <c r="Y219" s="45"/>
      <c r="AC219" s="45"/>
    </row>
    <row r="220" spans="2:29" s="79" customFormat="1" ht="21.75" hidden="1" customHeight="1">
      <c r="B220" s="68">
        <v>46077</v>
      </c>
      <c r="C220" s="69" t="str">
        <f t="shared" si="3"/>
        <v>Fevereiro</v>
      </c>
      <c r="D220" s="77" t="s">
        <v>509</v>
      </c>
      <c r="E220" s="72" t="s">
        <v>500</v>
      </c>
      <c r="F220" s="70" t="s">
        <v>131</v>
      </c>
      <c r="G220" s="71" t="s">
        <v>132</v>
      </c>
      <c r="H220" s="77" t="s">
        <v>133</v>
      </c>
      <c r="I220" s="71" t="s">
        <v>131</v>
      </c>
      <c r="J220" s="343" t="s">
        <v>775</v>
      </c>
      <c r="K220" s="73" t="s">
        <v>131</v>
      </c>
      <c r="L220" s="71" t="s">
        <v>134</v>
      </c>
      <c r="M220" s="71" t="s">
        <v>735</v>
      </c>
      <c r="N220" s="80" t="s">
        <v>265</v>
      </c>
      <c r="O220" s="295">
        <v>-3315.3</v>
      </c>
      <c r="P220" s="75"/>
      <c r="R220" s="246"/>
      <c r="Y220" s="45"/>
      <c r="AC220" s="45"/>
    </row>
    <row r="221" spans="2:29" s="79" customFormat="1" ht="21.75" hidden="1" customHeight="1">
      <c r="B221" s="376">
        <v>46077</v>
      </c>
      <c r="C221" s="377" t="str">
        <f t="shared" si="3"/>
        <v>Fevereiro</v>
      </c>
      <c r="D221" s="378" t="s">
        <v>298</v>
      </c>
      <c r="E221" s="379" t="s">
        <v>440</v>
      </c>
      <c r="F221" s="380" t="s">
        <v>136</v>
      </c>
      <c r="G221" s="342" t="s">
        <v>1129</v>
      </c>
      <c r="H221" s="378" t="s">
        <v>1130</v>
      </c>
      <c r="I221" s="342" t="s">
        <v>131</v>
      </c>
      <c r="J221" s="343" t="s">
        <v>1097</v>
      </c>
      <c r="K221" s="342" t="s">
        <v>131</v>
      </c>
      <c r="L221" s="342" t="s">
        <v>134</v>
      </c>
      <c r="M221" s="342" t="s">
        <v>735</v>
      </c>
      <c r="N221" s="381" t="s">
        <v>135</v>
      </c>
      <c r="O221" s="295">
        <v>-1050</v>
      </c>
      <c r="P221" s="75"/>
      <c r="R221" s="246"/>
      <c r="Y221" s="45"/>
      <c r="AC221" s="45"/>
    </row>
    <row r="222" spans="2:29" s="79" customFormat="1" ht="21.75" hidden="1" customHeight="1">
      <c r="B222" s="376">
        <v>46078</v>
      </c>
      <c r="C222" s="377" t="str">
        <f t="shared" si="3"/>
        <v>Fevereiro</v>
      </c>
      <c r="D222" s="378" t="s">
        <v>508</v>
      </c>
      <c r="E222" s="379" t="s">
        <v>497</v>
      </c>
      <c r="F222" s="380" t="s">
        <v>534</v>
      </c>
      <c r="G222" s="19" t="s">
        <v>980</v>
      </c>
      <c r="H222" s="378" t="s">
        <v>981</v>
      </c>
      <c r="I222" s="342" t="s">
        <v>858</v>
      </c>
      <c r="J222" s="112" t="s">
        <v>1077</v>
      </c>
      <c r="K222" s="342" t="s">
        <v>131</v>
      </c>
      <c r="L222" s="342" t="s">
        <v>137</v>
      </c>
      <c r="M222" s="71" t="s">
        <v>730</v>
      </c>
      <c r="N222" s="80" t="s">
        <v>135</v>
      </c>
      <c r="O222" s="390">
        <v>-400</v>
      </c>
      <c r="P222" s="75"/>
      <c r="R222" s="246"/>
      <c r="Y222" s="45"/>
      <c r="AC222" s="45"/>
    </row>
    <row r="223" spans="2:29" s="79" customFormat="1" ht="21.75" hidden="1" customHeight="1">
      <c r="B223" s="68">
        <v>46078</v>
      </c>
      <c r="C223" s="69" t="str">
        <f t="shared" si="3"/>
        <v>Fevereiro</v>
      </c>
      <c r="D223" s="77" t="s">
        <v>299</v>
      </c>
      <c r="E223" s="72" t="s">
        <v>303</v>
      </c>
      <c r="F223" s="70" t="s">
        <v>136</v>
      </c>
      <c r="G223" s="71" t="s">
        <v>897</v>
      </c>
      <c r="H223" s="77" t="s">
        <v>766</v>
      </c>
      <c r="I223" s="71" t="s">
        <v>131</v>
      </c>
      <c r="J223" s="402" t="s">
        <v>1036</v>
      </c>
      <c r="K223" s="71" t="s">
        <v>131</v>
      </c>
      <c r="L223" s="71" t="s">
        <v>137</v>
      </c>
      <c r="M223" s="71" t="s">
        <v>735</v>
      </c>
      <c r="N223" s="80" t="s">
        <v>135</v>
      </c>
      <c r="O223" s="295">
        <v>-180</v>
      </c>
      <c r="P223" s="75"/>
      <c r="R223" s="246"/>
      <c r="Y223" s="45"/>
      <c r="AC223" s="45"/>
    </row>
    <row r="224" spans="2:29" s="79" customFormat="1" ht="21.75" hidden="1" customHeight="1">
      <c r="B224" s="68">
        <v>46078</v>
      </c>
      <c r="C224" s="69" t="str">
        <f t="shared" si="3"/>
        <v>Fevereiro</v>
      </c>
      <c r="D224" s="77" t="s">
        <v>299</v>
      </c>
      <c r="E224" s="72" t="s">
        <v>303</v>
      </c>
      <c r="F224" s="70" t="s">
        <v>136</v>
      </c>
      <c r="G224" s="71" t="s">
        <v>897</v>
      </c>
      <c r="H224" s="77" t="s">
        <v>767</v>
      </c>
      <c r="I224" s="71" t="s">
        <v>131</v>
      </c>
      <c r="J224" s="402" t="s">
        <v>1035</v>
      </c>
      <c r="K224" s="71" t="s">
        <v>131</v>
      </c>
      <c r="L224" s="71" t="s">
        <v>137</v>
      </c>
      <c r="M224" s="71" t="s">
        <v>735</v>
      </c>
      <c r="N224" s="80" t="s">
        <v>135</v>
      </c>
      <c r="O224" s="295">
        <v>-310</v>
      </c>
      <c r="P224" s="75"/>
      <c r="R224" s="246"/>
      <c r="Y224" s="45"/>
      <c r="AC224" s="45"/>
    </row>
    <row r="225" spans="2:29" s="79" customFormat="1" ht="21.75" hidden="1" customHeight="1">
      <c r="B225" s="68">
        <v>46078</v>
      </c>
      <c r="C225" s="69" t="str">
        <f t="shared" si="3"/>
        <v>Fevereiro</v>
      </c>
      <c r="D225" s="77" t="s">
        <v>386</v>
      </c>
      <c r="E225" s="72" t="s">
        <v>468</v>
      </c>
      <c r="F225" s="70" t="s">
        <v>131</v>
      </c>
      <c r="G225" s="71" t="s">
        <v>480</v>
      </c>
      <c r="H225" s="370" t="s">
        <v>511</v>
      </c>
      <c r="I225" s="71" t="s">
        <v>131</v>
      </c>
      <c r="J225" s="112" t="s">
        <v>131</v>
      </c>
      <c r="K225" s="71" t="s">
        <v>131</v>
      </c>
      <c r="L225" s="71" t="s">
        <v>131</v>
      </c>
      <c r="M225" s="71" t="s">
        <v>729</v>
      </c>
      <c r="N225" s="80" t="s">
        <v>586</v>
      </c>
      <c r="O225" s="295">
        <v>12200</v>
      </c>
      <c r="P225" s="75"/>
      <c r="R225" s="246"/>
      <c r="Y225" s="45"/>
      <c r="AC225" s="45"/>
    </row>
    <row r="226" spans="2:29" s="79" customFormat="1" ht="21.75" hidden="1" customHeight="1">
      <c r="B226" s="68">
        <v>46078</v>
      </c>
      <c r="C226" s="69" t="str">
        <f t="shared" si="3"/>
        <v>Fevereiro</v>
      </c>
      <c r="D226" s="77" t="s">
        <v>508</v>
      </c>
      <c r="E226" s="72" t="s">
        <v>497</v>
      </c>
      <c r="F226" s="70" t="s">
        <v>534</v>
      </c>
      <c r="G226" s="71" t="s">
        <v>1074</v>
      </c>
      <c r="H226" s="77" t="s">
        <v>1061</v>
      </c>
      <c r="I226" s="342" t="s">
        <v>858</v>
      </c>
      <c r="J226" s="393" t="s">
        <v>1096</v>
      </c>
      <c r="K226" s="78" t="s">
        <v>206</v>
      </c>
      <c r="L226" s="71" t="s">
        <v>137</v>
      </c>
      <c r="M226" s="71" t="s">
        <v>730</v>
      </c>
      <c r="N226" s="80" t="s">
        <v>135</v>
      </c>
      <c r="O226" s="295">
        <v>-1400</v>
      </c>
      <c r="P226" s="75"/>
      <c r="R226" s="246"/>
      <c r="Y226" s="45"/>
      <c r="AC226" s="45"/>
    </row>
    <row r="227" spans="2:29" s="79" customFormat="1" ht="21.75" hidden="1" customHeight="1">
      <c r="B227" s="68">
        <v>46079</v>
      </c>
      <c r="C227" s="69" t="str">
        <f t="shared" si="3"/>
        <v>Fevereiro</v>
      </c>
      <c r="D227" s="77" t="s">
        <v>508</v>
      </c>
      <c r="E227" s="72" t="s">
        <v>497</v>
      </c>
      <c r="F227" s="70" t="s">
        <v>534</v>
      </c>
      <c r="G227" s="71" t="s">
        <v>1091</v>
      </c>
      <c r="H227" s="77" t="s">
        <v>1103</v>
      </c>
      <c r="I227" s="71" t="s">
        <v>595</v>
      </c>
      <c r="J227" s="366" t="s">
        <v>1102</v>
      </c>
      <c r="K227" s="78" t="s">
        <v>206</v>
      </c>
      <c r="L227" s="71" t="s">
        <v>134</v>
      </c>
      <c r="M227" s="71" t="s">
        <v>730</v>
      </c>
      <c r="N227" s="80" t="s">
        <v>135</v>
      </c>
      <c r="O227" s="470">
        <v>-1200</v>
      </c>
      <c r="P227" s="75"/>
      <c r="R227" s="246"/>
      <c r="Y227" s="45"/>
      <c r="AC227" s="45"/>
    </row>
    <row r="228" spans="2:29" s="79" customFormat="1" ht="21.75" hidden="1" customHeight="1">
      <c r="B228" s="68">
        <v>46079</v>
      </c>
      <c r="C228" s="69" t="str">
        <f t="shared" si="3"/>
        <v>Fevereiro</v>
      </c>
      <c r="D228" s="77" t="s">
        <v>508</v>
      </c>
      <c r="E228" s="72" t="s">
        <v>497</v>
      </c>
      <c r="F228" s="70" t="s">
        <v>534</v>
      </c>
      <c r="G228" s="71" t="s">
        <v>628</v>
      </c>
      <c r="H228" s="77" t="s">
        <v>663</v>
      </c>
      <c r="I228" s="71" t="s">
        <v>595</v>
      </c>
      <c r="J228" s="343" t="s">
        <v>683</v>
      </c>
      <c r="K228" s="71" t="s">
        <v>289</v>
      </c>
      <c r="L228" s="71" t="s">
        <v>137</v>
      </c>
      <c r="M228" s="71" t="s">
        <v>729</v>
      </c>
      <c r="N228" s="80" t="s">
        <v>135</v>
      </c>
      <c r="O228" s="295">
        <v>-12200</v>
      </c>
      <c r="P228" s="75"/>
      <c r="R228" s="246"/>
      <c r="Y228" s="45"/>
      <c r="AC228" s="45"/>
    </row>
    <row r="229" spans="2:29" s="79" customFormat="1" ht="21.75" hidden="1" customHeight="1">
      <c r="B229" s="376">
        <v>46079</v>
      </c>
      <c r="C229" s="377" t="str">
        <f t="shared" si="3"/>
        <v>Fevereiro</v>
      </c>
      <c r="D229" s="378" t="s">
        <v>386</v>
      </c>
      <c r="E229" s="379" t="s">
        <v>468</v>
      </c>
      <c r="F229" s="380" t="s">
        <v>131</v>
      </c>
      <c r="G229" s="342" t="s">
        <v>480</v>
      </c>
      <c r="H229" s="378" t="s">
        <v>1008</v>
      </c>
      <c r="I229" s="342" t="s">
        <v>131</v>
      </c>
      <c r="J229" s="112" t="s">
        <v>131</v>
      </c>
      <c r="K229" s="343" t="s">
        <v>131</v>
      </c>
      <c r="L229" s="342" t="s">
        <v>131</v>
      </c>
      <c r="M229" s="342" t="s">
        <v>730</v>
      </c>
      <c r="N229" s="381" t="s">
        <v>586</v>
      </c>
      <c r="O229" s="295">
        <v>641.37</v>
      </c>
      <c r="P229" s="75"/>
      <c r="R229" s="246"/>
      <c r="Y229" s="45"/>
      <c r="AC229" s="45"/>
    </row>
    <row r="230" spans="2:29" s="79" customFormat="1" ht="21.75" hidden="1" customHeight="1">
      <c r="B230" s="68">
        <v>46079</v>
      </c>
      <c r="C230" s="69" t="str">
        <f t="shared" si="3"/>
        <v>Fevereiro</v>
      </c>
      <c r="D230" s="77" t="s">
        <v>508</v>
      </c>
      <c r="E230" s="72" t="s">
        <v>497</v>
      </c>
      <c r="F230" s="70" t="s">
        <v>534</v>
      </c>
      <c r="G230" s="71" t="s">
        <v>1087</v>
      </c>
      <c r="H230" s="77" t="s">
        <v>1088</v>
      </c>
      <c r="I230" s="71" t="s">
        <v>595</v>
      </c>
      <c r="J230" s="366" t="s">
        <v>1089</v>
      </c>
      <c r="K230" s="78" t="s">
        <v>210</v>
      </c>
      <c r="L230" s="71" t="s">
        <v>137</v>
      </c>
      <c r="M230" s="71" t="s">
        <v>730</v>
      </c>
      <c r="N230" s="80" t="s">
        <v>135</v>
      </c>
      <c r="O230" s="470">
        <v>-750</v>
      </c>
      <c r="P230" s="75"/>
      <c r="R230" s="246"/>
      <c r="Y230" s="45"/>
      <c r="AC230" s="45"/>
    </row>
    <row r="231" spans="2:29" s="79" customFormat="1" ht="21.75" hidden="1" customHeight="1">
      <c r="B231" s="376">
        <v>46079</v>
      </c>
      <c r="C231" s="377" t="str">
        <f t="shared" si="3"/>
        <v>Fevereiro</v>
      </c>
      <c r="D231" s="378" t="s">
        <v>298</v>
      </c>
      <c r="E231" s="379" t="s">
        <v>440</v>
      </c>
      <c r="F231" s="380" t="s">
        <v>138</v>
      </c>
      <c r="G231" s="342" t="s">
        <v>1153</v>
      </c>
      <c r="H231" s="378" t="s">
        <v>1154</v>
      </c>
      <c r="I231" s="342" t="s">
        <v>131</v>
      </c>
      <c r="J231" s="366" t="s">
        <v>1197</v>
      </c>
      <c r="K231" s="342" t="s">
        <v>131</v>
      </c>
      <c r="L231" s="342" t="s">
        <v>137</v>
      </c>
      <c r="M231" s="342" t="s">
        <v>735</v>
      </c>
      <c r="N231" s="381" t="s">
        <v>135</v>
      </c>
      <c r="O231" s="470">
        <v>-1197.5999999999999</v>
      </c>
      <c r="P231" s="75"/>
      <c r="R231" s="246"/>
      <c r="Y231" s="45"/>
      <c r="AC231" s="45"/>
    </row>
    <row r="232" spans="2:29" s="79" customFormat="1" ht="21.75" hidden="1" customHeight="1">
      <c r="B232" s="376">
        <v>46079</v>
      </c>
      <c r="C232" s="377" t="str">
        <f t="shared" si="3"/>
        <v>Fevereiro</v>
      </c>
      <c r="D232" s="378" t="s">
        <v>386</v>
      </c>
      <c r="E232" s="379" t="s">
        <v>468</v>
      </c>
      <c r="F232" s="380" t="s">
        <v>131</v>
      </c>
      <c r="G232" s="342" t="s">
        <v>480</v>
      </c>
      <c r="H232" s="378" t="s">
        <v>1008</v>
      </c>
      <c r="I232" s="342" t="s">
        <v>131</v>
      </c>
      <c r="J232" s="112" t="s">
        <v>131</v>
      </c>
      <c r="K232" s="343" t="s">
        <v>131</v>
      </c>
      <c r="L232" s="342" t="s">
        <v>131</v>
      </c>
      <c r="M232" s="342" t="s">
        <v>730</v>
      </c>
      <c r="N232" s="381" t="s">
        <v>586</v>
      </c>
      <c r="O232" s="470">
        <v>750</v>
      </c>
      <c r="P232" s="75"/>
      <c r="R232" s="246"/>
      <c r="Y232" s="45"/>
      <c r="AC232" s="45"/>
    </row>
    <row r="233" spans="2:29" s="79" customFormat="1" ht="21.75" hidden="1" customHeight="1">
      <c r="B233" s="376">
        <v>46079</v>
      </c>
      <c r="C233" s="377" t="str">
        <f t="shared" si="3"/>
        <v>Fevereiro</v>
      </c>
      <c r="D233" s="378" t="s">
        <v>386</v>
      </c>
      <c r="E233" s="379" t="s">
        <v>468</v>
      </c>
      <c r="F233" s="380" t="s">
        <v>131</v>
      </c>
      <c r="G233" s="342" t="s">
        <v>480</v>
      </c>
      <c r="H233" s="378" t="s">
        <v>1008</v>
      </c>
      <c r="I233" s="342" t="s">
        <v>131</v>
      </c>
      <c r="J233" s="112" t="s">
        <v>131</v>
      </c>
      <c r="K233" s="343" t="s">
        <v>131</v>
      </c>
      <c r="L233" s="342" t="s">
        <v>131</v>
      </c>
      <c r="M233" s="342" t="s">
        <v>730</v>
      </c>
      <c r="N233" s="381" t="s">
        <v>586</v>
      </c>
      <c r="O233" s="470">
        <v>1200</v>
      </c>
      <c r="P233" s="75"/>
      <c r="R233" s="246"/>
      <c r="Y233" s="45"/>
      <c r="AC233" s="45"/>
    </row>
    <row r="234" spans="2:29" s="79" customFormat="1" ht="21.75" hidden="1" customHeight="1">
      <c r="B234" s="68">
        <v>46080</v>
      </c>
      <c r="C234" s="69" t="str">
        <f t="shared" si="3"/>
        <v>Fevereiro</v>
      </c>
      <c r="D234" s="77" t="s">
        <v>301</v>
      </c>
      <c r="E234" s="72" t="s">
        <v>526</v>
      </c>
      <c r="F234" s="70" t="s">
        <v>136</v>
      </c>
      <c r="G234" s="71" t="s">
        <v>1113</v>
      </c>
      <c r="H234" s="72" t="s">
        <v>1116</v>
      </c>
      <c r="I234" s="71" t="s">
        <v>131</v>
      </c>
      <c r="J234" s="78" t="s">
        <v>1114</v>
      </c>
      <c r="K234" s="73" t="s">
        <v>131</v>
      </c>
      <c r="L234" s="71" t="s">
        <v>137</v>
      </c>
      <c r="M234" s="71" t="s">
        <v>735</v>
      </c>
      <c r="N234" s="80" t="s">
        <v>135</v>
      </c>
      <c r="O234" s="74">
        <v>-170</v>
      </c>
      <c r="P234" s="75"/>
      <c r="R234" s="246"/>
      <c r="Y234" s="45"/>
      <c r="AC234" s="45"/>
    </row>
    <row r="235" spans="2:29" s="341" customFormat="1" ht="21.75" hidden="1" customHeight="1">
      <c r="B235" s="376">
        <v>46080</v>
      </c>
      <c r="C235" s="377" t="str">
        <f t="shared" si="3"/>
        <v>Fevereiro</v>
      </c>
      <c r="D235" s="378" t="s">
        <v>508</v>
      </c>
      <c r="E235" s="379" t="s">
        <v>497</v>
      </c>
      <c r="F235" s="380" t="s">
        <v>534</v>
      </c>
      <c r="G235" s="342" t="s">
        <v>991</v>
      </c>
      <c r="H235" s="369" t="s">
        <v>992</v>
      </c>
      <c r="I235" s="342" t="s">
        <v>595</v>
      </c>
      <c r="J235" s="112" t="s">
        <v>1085</v>
      </c>
      <c r="K235" s="343" t="s">
        <v>131</v>
      </c>
      <c r="L235" s="342" t="s">
        <v>137</v>
      </c>
      <c r="M235" s="71" t="s">
        <v>730</v>
      </c>
      <c r="N235" s="80" t="s">
        <v>135</v>
      </c>
      <c r="O235" s="390">
        <v>-641.37</v>
      </c>
      <c r="P235" s="296"/>
      <c r="Q235"/>
      <c r="R235" s="246"/>
      <c r="S235" s="79"/>
      <c r="T235"/>
      <c r="U235"/>
      <c r="V235"/>
      <c r="W235"/>
      <c r="X235"/>
      <c r="Y235" s="45"/>
      <c r="AC235" s="45"/>
    </row>
    <row r="236" spans="2:29" s="341" customFormat="1" ht="21" hidden="1" customHeight="1">
      <c r="B236" s="68">
        <v>46083</v>
      </c>
      <c r="C236" s="69" t="str">
        <f t="shared" si="3"/>
        <v>Março</v>
      </c>
      <c r="D236" s="77" t="s">
        <v>302</v>
      </c>
      <c r="E236" s="72" t="s">
        <v>436</v>
      </c>
      <c r="F236" s="70" t="s">
        <v>138</v>
      </c>
      <c r="G236" s="71" t="s">
        <v>480</v>
      </c>
      <c r="H236" s="77" t="s">
        <v>484</v>
      </c>
      <c r="I236" s="71" t="s">
        <v>131</v>
      </c>
      <c r="J236" s="343" t="s">
        <v>781</v>
      </c>
      <c r="K236" s="73" t="s">
        <v>131</v>
      </c>
      <c r="L236" s="71" t="s">
        <v>197</v>
      </c>
      <c r="M236" s="71" t="s">
        <v>730</v>
      </c>
      <c r="N236" s="80" t="s">
        <v>135</v>
      </c>
      <c r="O236" s="295">
        <v>-100</v>
      </c>
      <c r="P236" s="296"/>
      <c r="Q236"/>
      <c r="R236" s="246"/>
      <c r="S236" s="79"/>
      <c r="T236"/>
      <c r="U236"/>
      <c r="V236"/>
      <c r="W236"/>
      <c r="X236"/>
      <c r="Y236" s="45"/>
      <c r="AC236" s="45"/>
    </row>
    <row r="237" spans="2:29" s="341" customFormat="1" ht="21.75" hidden="1" customHeight="1">
      <c r="B237" s="68">
        <v>46083</v>
      </c>
      <c r="C237" s="69" t="str">
        <f t="shared" si="3"/>
        <v>Março</v>
      </c>
      <c r="D237" s="77" t="s">
        <v>508</v>
      </c>
      <c r="E237" s="72" t="s">
        <v>497</v>
      </c>
      <c r="F237" s="70" t="s">
        <v>534</v>
      </c>
      <c r="G237" s="71" t="s">
        <v>567</v>
      </c>
      <c r="H237" s="77" t="s">
        <v>693</v>
      </c>
      <c r="I237" s="71" t="s">
        <v>595</v>
      </c>
      <c r="J237" s="112" t="s">
        <v>1070</v>
      </c>
      <c r="K237" s="78" t="s">
        <v>131</v>
      </c>
      <c r="L237" s="71" t="s">
        <v>137</v>
      </c>
      <c r="M237" s="71" t="s">
        <v>730</v>
      </c>
      <c r="N237" s="80" t="s">
        <v>135</v>
      </c>
      <c r="O237" s="295">
        <v>-225</v>
      </c>
      <c r="P237" s="296"/>
      <c r="R237" s="246"/>
      <c r="S237" s="79"/>
      <c r="T237"/>
      <c r="U237"/>
      <c r="V237"/>
      <c r="W237"/>
      <c r="X237"/>
      <c r="Y237" s="45"/>
      <c r="AC237" s="45"/>
    </row>
    <row r="238" spans="2:29" s="79" customFormat="1" ht="21.75" hidden="1" customHeight="1">
      <c r="B238" s="68">
        <v>46083</v>
      </c>
      <c r="C238" s="69" t="str">
        <f t="shared" si="3"/>
        <v>Março</v>
      </c>
      <c r="D238" s="77" t="s">
        <v>508</v>
      </c>
      <c r="E238" s="72" t="s">
        <v>497</v>
      </c>
      <c r="F238" s="70" t="s">
        <v>534</v>
      </c>
      <c r="G238" s="19" t="s">
        <v>184</v>
      </c>
      <c r="H238" s="369" t="s">
        <v>693</v>
      </c>
      <c r="I238" s="71" t="s">
        <v>595</v>
      </c>
      <c r="J238" s="389" t="s">
        <v>1071</v>
      </c>
      <c r="K238" s="19" t="s">
        <v>131</v>
      </c>
      <c r="L238" s="71" t="s">
        <v>134</v>
      </c>
      <c r="M238" s="71" t="s">
        <v>730</v>
      </c>
      <c r="N238" s="80" t="s">
        <v>135</v>
      </c>
      <c r="O238" s="295">
        <v>-4805.63</v>
      </c>
      <c r="P238" s="75"/>
      <c r="R238" s="246"/>
      <c r="Y238" s="45"/>
      <c r="AC238" s="45"/>
    </row>
    <row r="239" spans="2:29" s="79" customFormat="1" ht="21.75" hidden="1" customHeight="1">
      <c r="B239" s="68">
        <v>46083</v>
      </c>
      <c r="C239" s="69" t="str">
        <f t="shared" si="3"/>
        <v>Março</v>
      </c>
      <c r="D239" s="77" t="s">
        <v>509</v>
      </c>
      <c r="E239" s="72" t="s">
        <v>500</v>
      </c>
      <c r="F239" s="70" t="s">
        <v>131</v>
      </c>
      <c r="G239" s="71" t="s">
        <v>132</v>
      </c>
      <c r="H239" s="72" t="s">
        <v>133</v>
      </c>
      <c r="I239" s="71" t="s">
        <v>131</v>
      </c>
      <c r="J239" s="343" t="s">
        <v>781</v>
      </c>
      <c r="K239" s="73" t="s">
        <v>131</v>
      </c>
      <c r="L239" s="71" t="s">
        <v>134</v>
      </c>
      <c r="M239" s="71" t="s">
        <v>735</v>
      </c>
      <c r="N239" s="80" t="s">
        <v>265</v>
      </c>
      <c r="O239" s="295">
        <v>-153908.75</v>
      </c>
      <c r="P239" s="75"/>
      <c r="R239" s="246"/>
      <c r="Y239" s="45"/>
      <c r="AC239" s="45"/>
    </row>
    <row r="240" spans="2:29" s="79" customFormat="1" ht="21.75" hidden="1" customHeight="1">
      <c r="B240" s="68">
        <v>46083</v>
      </c>
      <c r="C240" s="69" t="str">
        <f t="shared" si="3"/>
        <v>Março</v>
      </c>
      <c r="D240" s="77" t="s">
        <v>386</v>
      </c>
      <c r="E240" s="72" t="s">
        <v>468</v>
      </c>
      <c r="F240" s="70" t="s">
        <v>131</v>
      </c>
      <c r="G240" s="71" t="s">
        <v>480</v>
      </c>
      <c r="H240" s="72" t="s">
        <v>1008</v>
      </c>
      <c r="I240" s="71" t="s">
        <v>131</v>
      </c>
      <c r="J240" s="112" t="s">
        <v>131</v>
      </c>
      <c r="K240" s="71" t="s">
        <v>131</v>
      </c>
      <c r="L240" s="71" t="s">
        <v>131</v>
      </c>
      <c r="M240" s="71" t="s">
        <v>730</v>
      </c>
      <c r="N240" s="80" t="s">
        <v>586</v>
      </c>
      <c r="O240" s="295">
        <v>1120.46</v>
      </c>
      <c r="P240" s="75"/>
      <c r="R240" s="246"/>
      <c r="Y240" s="45"/>
      <c r="AC240" s="45"/>
    </row>
    <row r="241" spans="2:29" s="79" customFormat="1" ht="21.75" hidden="1" customHeight="1">
      <c r="B241" s="376">
        <v>46083</v>
      </c>
      <c r="C241" s="377" t="str">
        <f t="shared" si="3"/>
        <v>Março</v>
      </c>
      <c r="D241" s="378" t="s">
        <v>386</v>
      </c>
      <c r="E241" s="379" t="s">
        <v>468</v>
      </c>
      <c r="F241" s="380" t="s">
        <v>131</v>
      </c>
      <c r="G241" s="342" t="s">
        <v>480</v>
      </c>
      <c r="H241" s="378" t="s">
        <v>1008</v>
      </c>
      <c r="I241" s="342" t="s">
        <v>131</v>
      </c>
      <c r="J241" s="112" t="s">
        <v>131</v>
      </c>
      <c r="K241" s="343" t="s">
        <v>131</v>
      </c>
      <c r="L241" s="342" t="s">
        <v>131</v>
      </c>
      <c r="M241" s="342" t="s">
        <v>730</v>
      </c>
      <c r="N241" s="381" t="s">
        <v>586</v>
      </c>
      <c r="O241" s="390">
        <v>5466.49</v>
      </c>
      <c r="P241" s="75"/>
      <c r="R241" s="246"/>
      <c r="Y241" s="45"/>
      <c r="AC241" s="45"/>
    </row>
    <row r="242" spans="2:29" s="79" customFormat="1" ht="21.75" hidden="1" customHeight="1">
      <c r="B242" s="68">
        <v>46083</v>
      </c>
      <c r="C242" s="69" t="str">
        <f t="shared" si="3"/>
        <v>Março</v>
      </c>
      <c r="D242" s="77" t="s">
        <v>508</v>
      </c>
      <c r="E242" s="72" t="s">
        <v>497</v>
      </c>
      <c r="F242" s="70" t="s">
        <v>534</v>
      </c>
      <c r="G242" s="71" t="s">
        <v>1090</v>
      </c>
      <c r="H242" s="77" t="s">
        <v>1092</v>
      </c>
      <c r="I242" s="71" t="s">
        <v>595</v>
      </c>
      <c r="J242" s="393" t="s">
        <v>1073</v>
      </c>
      <c r="K242" s="78" t="s">
        <v>286</v>
      </c>
      <c r="L242" s="71" t="s">
        <v>137</v>
      </c>
      <c r="M242" s="71" t="s">
        <v>730</v>
      </c>
      <c r="N242" s="80" t="s">
        <v>135</v>
      </c>
      <c r="O242" s="295">
        <v>-2725</v>
      </c>
      <c r="P242" s="75"/>
      <c r="R242" s="246"/>
      <c r="Y242" s="45"/>
      <c r="AC242" s="45"/>
    </row>
    <row r="243" spans="2:29" s="79" customFormat="1" ht="21.75" hidden="1" customHeight="1">
      <c r="B243" s="376">
        <v>46083</v>
      </c>
      <c r="C243" s="377" t="str">
        <f t="shared" si="3"/>
        <v>Março</v>
      </c>
      <c r="D243" s="378" t="s">
        <v>386</v>
      </c>
      <c r="E243" s="379" t="s">
        <v>468</v>
      </c>
      <c r="F243" s="380" t="s">
        <v>131</v>
      </c>
      <c r="G243" s="342" t="s">
        <v>480</v>
      </c>
      <c r="H243" s="378" t="s">
        <v>1008</v>
      </c>
      <c r="I243" s="342" t="s">
        <v>131</v>
      </c>
      <c r="J243" s="112" t="s">
        <v>131</v>
      </c>
      <c r="K243" s="343" t="s">
        <v>131</v>
      </c>
      <c r="L243" s="342" t="s">
        <v>131</v>
      </c>
      <c r="M243" s="342" t="s">
        <v>730</v>
      </c>
      <c r="N243" s="381" t="s">
        <v>586</v>
      </c>
      <c r="O243" s="295">
        <v>2725</v>
      </c>
      <c r="P243" s="75"/>
      <c r="R243" s="246"/>
      <c r="Y243" s="45"/>
      <c r="AC243" s="45"/>
    </row>
    <row r="244" spans="2:29" s="79" customFormat="1" ht="21.75" hidden="1" customHeight="1">
      <c r="B244" s="376">
        <v>46083</v>
      </c>
      <c r="C244" s="377" t="str">
        <f t="shared" si="3"/>
        <v>Março</v>
      </c>
      <c r="D244" s="378" t="s">
        <v>386</v>
      </c>
      <c r="E244" s="379" t="s">
        <v>468</v>
      </c>
      <c r="F244" s="380" t="s">
        <v>131</v>
      </c>
      <c r="G244" s="342" t="s">
        <v>480</v>
      </c>
      <c r="H244" s="72" t="s">
        <v>1008</v>
      </c>
      <c r="I244" s="342" t="s">
        <v>131</v>
      </c>
      <c r="J244" s="112" t="s">
        <v>131</v>
      </c>
      <c r="K244" s="343" t="s">
        <v>131</v>
      </c>
      <c r="L244" s="342" t="s">
        <v>131</v>
      </c>
      <c r="M244" s="71" t="s">
        <v>730</v>
      </c>
      <c r="N244" s="381" t="s">
        <v>586</v>
      </c>
      <c r="O244" s="390">
        <v>1737.5</v>
      </c>
      <c r="P244" s="75"/>
      <c r="R244" s="246"/>
      <c r="Y244" s="45"/>
      <c r="AC244" s="45"/>
    </row>
    <row r="245" spans="2:29" s="79" customFormat="1" ht="21.75" hidden="1" customHeight="1">
      <c r="B245" s="68">
        <v>46083</v>
      </c>
      <c r="C245" s="69" t="str">
        <f t="shared" si="3"/>
        <v>Março</v>
      </c>
      <c r="D245" s="77" t="s">
        <v>508</v>
      </c>
      <c r="E245" s="72" t="s">
        <v>497</v>
      </c>
      <c r="F245" s="70" t="s">
        <v>534</v>
      </c>
      <c r="G245" s="71" t="s">
        <v>970</v>
      </c>
      <c r="H245" s="77" t="s">
        <v>971</v>
      </c>
      <c r="I245" s="71" t="s">
        <v>595</v>
      </c>
      <c r="J245" s="393" t="s">
        <v>972</v>
      </c>
      <c r="K245" s="78" t="s">
        <v>975</v>
      </c>
      <c r="L245" s="71" t="s">
        <v>137</v>
      </c>
      <c r="M245" s="71" t="s">
        <v>730</v>
      </c>
      <c r="N245" s="80" t="s">
        <v>135</v>
      </c>
      <c r="O245" s="390">
        <v>-1737.5</v>
      </c>
      <c r="P245" s="75"/>
      <c r="R245" s="246"/>
      <c r="Y245" s="45"/>
      <c r="AC245" s="45"/>
    </row>
    <row r="246" spans="2:29" s="79" customFormat="1" ht="21.75" hidden="1" customHeight="1">
      <c r="B246" s="68">
        <v>46083</v>
      </c>
      <c r="C246" s="69" t="str">
        <f t="shared" si="3"/>
        <v>Março</v>
      </c>
      <c r="D246" s="77" t="s">
        <v>301</v>
      </c>
      <c r="E246" s="72" t="s">
        <v>526</v>
      </c>
      <c r="F246" s="70" t="s">
        <v>136</v>
      </c>
      <c r="G246" s="71" t="s">
        <v>1164</v>
      </c>
      <c r="H246" s="77" t="s">
        <v>1165</v>
      </c>
      <c r="I246" s="71" t="s">
        <v>131</v>
      </c>
      <c r="J246" s="393" t="s">
        <v>1166</v>
      </c>
      <c r="K246" s="78" t="s">
        <v>131</v>
      </c>
      <c r="L246" s="71" t="s">
        <v>134</v>
      </c>
      <c r="M246" s="71" t="s">
        <v>735</v>
      </c>
      <c r="N246" s="80" t="s">
        <v>135</v>
      </c>
      <c r="O246" s="390">
        <v>-350</v>
      </c>
      <c r="P246" s="75"/>
      <c r="R246" s="246"/>
      <c r="Y246" s="45"/>
      <c r="AC246" s="45"/>
    </row>
    <row r="247" spans="2:29" s="79" customFormat="1" ht="21.75" hidden="1" customHeight="1">
      <c r="B247" s="376">
        <v>46083</v>
      </c>
      <c r="C247" s="377" t="str">
        <f t="shared" si="3"/>
        <v>Março</v>
      </c>
      <c r="D247" s="378" t="s">
        <v>300</v>
      </c>
      <c r="E247" s="379" t="s">
        <v>478</v>
      </c>
      <c r="F247" s="380" t="s">
        <v>136</v>
      </c>
      <c r="G247" s="342" t="s">
        <v>894</v>
      </c>
      <c r="H247" s="378" t="s">
        <v>211</v>
      </c>
      <c r="I247" s="342" t="s">
        <v>131</v>
      </c>
      <c r="J247" s="366" t="s">
        <v>1167</v>
      </c>
      <c r="K247" s="342" t="s">
        <v>131</v>
      </c>
      <c r="L247" s="342" t="s">
        <v>134</v>
      </c>
      <c r="M247" s="342" t="s">
        <v>735</v>
      </c>
      <c r="N247" s="80" t="s">
        <v>135</v>
      </c>
      <c r="O247" s="295">
        <v>-1955</v>
      </c>
      <c r="P247" s="75"/>
      <c r="R247" s="246"/>
      <c r="Y247" s="45"/>
      <c r="AC247" s="45"/>
    </row>
    <row r="248" spans="2:29" s="79" customFormat="1" ht="21.75" hidden="1" customHeight="1">
      <c r="B248" s="376">
        <v>46083</v>
      </c>
      <c r="C248" s="377" t="str">
        <f t="shared" si="3"/>
        <v>Março</v>
      </c>
      <c r="D248" s="378" t="s">
        <v>508</v>
      </c>
      <c r="E248" s="379" t="s">
        <v>497</v>
      </c>
      <c r="F248" s="380" t="s">
        <v>534</v>
      </c>
      <c r="G248" s="19" t="s">
        <v>853</v>
      </c>
      <c r="H248" s="369" t="s">
        <v>854</v>
      </c>
      <c r="I248" s="342" t="s">
        <v>595</v>
      </c>
      <c r="J248" s="112" t="s">
        <v>1105</v>
      </c>
      <c r="K248" s="112" t="s">
        <v>131</v>
      </c>
      <c r="L248" s="342" t="s">
        <v>137</v>
      </c>
      <c r="M248" s="71" t="s">
        <v>730</v>
      </c>
      <c r="N248" s="80" t="s">
        <v>135</v>
      </c>
      <c r="O248" s="295">
        <v>-306.86</v>
      </c>
      <c r="P248" s="75"/>
      <c r="R248" s="246"/>
      <c r="Y248" s="45"/>
      <c r="AC248" s="45"/>
    </row>
    <row r="249" spans="2:29" s="79" customFormat="1" ht="21.75" hidden="1" customHeight="1">
      <c r="B249" s="376">
        <v>46083</v>
      </c>
      <c r="C249" s="377" t="str">
        <f t="shared" si="3"/>
        <v>Março</v>
      </c>
      <c r="D249" s="378" t="s">
        <v>508</v>
      </c>
      <c r="E249" s="379" t="s">
        <v>497</v>
      </c>
      <c r="F249" s="380" t="s">
        <v>534</v>
      </c>
      <c r="G249" s="342" t="s">
        <v>962</v>
      </c>
      <c r="H249" s="369" t="s">
        <v>854</v>
      </c>
      <c r="I249" s="342" t="s">
        <v>595</v>
      </c>
      <c r="J249" s="366" t="s">
        <v>1176</v>
      </c>
      <c r="K249" s="384" t="s">
        <v>131</v>
      </c>
      <c r="L249" s="342" t="s">
        <v>137</v>
      </c>
      <c r="M249" s="71" t="s">
        <v>730</v>
      </c>
      <c r="N249" s="381" t="s">
        <v>135</v>
      </c>
      <c r="O249" s="295">
        <v>-1120.46</v>
      </c>
      <c r="P249" s="75"/>
      <c r="R249" s="246"/>
      <c r="Y249" s="45"/>
      <c r="AC249" s="45"/>
    </row>
    <row r="250" spans="2:29" s="79" customFormat="1" ht="21.75" hidden="1" customHeight="1">
      <c r="B250" s="68">
        <v>46083</v>
      </c>
      <c r="C250" s="69" t="str">
        <f t="shared" si="3"/>
        <v>Março</v>
      </c>
      <c r="D250" s="77" t="s">
        <v>299</v>
      </c>
      <c r="E250" s="72" t="s">
        <v>303</v>
      </c>
      <c r="F250" s="70" t="s">
        <v>138</v>
      </c>
      <c r="G250" s="71" t="s">
        <v>147</v>
      </c>
      <c r="H250" s="77" t="s">
        <v>629</v>
      </c>
      <c r="I250" s="71" t="s">
        <v>131</v>
      </c>
      <c r="J250" s="342" t="s">
        <v>1202</v>
      </c>
      <c r="K250" s="71" t="s">
        <v>131</v>
      </c>
      <c r="L250" s="71" t="s">
        <v>137</v>
      </c>
      <c r="M250" s="71" t="s">
        <v>735</v>
      </c>
      <c r="N250" s="80" t="s">
        <v>135</v>
      </c>
      <c r="O250" s="295">
        <v>-700</v>
      </c>
      <c r="P250" s="75"/>
      <c r="R250" s="246"/>
      <c r="Y250" s="45"/>
      <c r="AC250" s="45"/>
    </row>
    <row r="251" spans="2:29" s="79" customFormat="1" ht="21.75" hidden="1" customHeight="1">
      <c r="B251" s="68">
        <v>46084</v>
      </c>
      <c r="C251" s="69" t="str">
        <f t="shared" si="3"/>
        <v>Março</v>
      </c>
      <c r="D251" s="77" t="s">
        <v>300</v>
      </c>
      <c r="E251" s="72" t="s">
        <v>475</v>
      </c>
      <c r="F251" s="70" t="s">
        <v>136</v>
      </c>
      <c r="G251" s="19" t="s">
        <v>212</v>
      </c>
      <c r="H251" s="378" t="s">
        <v>1276</v>
      </c>
      <c r="I251" s="71" t="s">
        <v>131</v>
      </c>
      <c r="J251" s="366" t="s">
        <v>1075</v>
      </c>
      <c r="K251" s="112" t="s">
        <v>131</v>
      </c>
      <c r="L251" s="71" t="s">
        <v>137</v>
      </c>
      <c r="M251" s="71" t="s">
        <v>735</v>
      </c>
      <c r="N251" s="80" t="s">
        <v>135</v>
      </c>
      <c r="O251" s="295">
        <v>-595.32000000000005</v>
      </c>
      <c r="P251" s="75"/>
      <c r="R251" s="246"/>
      <c r="Y251" s="45"/>
      <c r="AC251" s="45"/>
    </row>
    <row r="252" spans="2:29" s="79" customFormat="1" ht="21.75" hidden="1" customHeight="1">
      <c r="B252" s="68">
        <v>46085</v>
      </c>
      <c r="C252" s="69" t="str">
        <f t="shared" si="3"/>
        <v>Março</v>
      </c>
      <c r="D252" s="77" t="s">
        <v>386</v>
      </c>
      <c r="E252" s="72" t="s">
        <v>468</v>
      </c>
      <c r="F252" s="70" t="s">
        <v>131</v>
      </c>
      <c r="G252" s="71" t="s">
        <v>480</v>
      </c>
      <c r="H252" s="72" t="s">
        <v>1008</v>
      </c>
      <c r="I252" s="71" t="s">
        <v>131</v>
      </c>
      <c r="J252" s="112" t="s">
        <v>131</v>
      </c>
      <c r="K252" s="73" t="s">
        <v>131</v>
      </c>
      <c r="L252" s="71" t="s">
        <v>131</v>
      </c>
      <c r="M252" s="71" t="s">
        <v>730</v>
      </c>
      <c r="N252" s="80" t="s">
        <v>586</v>
      </c>
      <c r="O252" s="295">
        <v>3270.67</v>
      </c>
      <c r="P252" s="75"/>
      <c r="R252" s="246"/>
      <c r="Y252" s="45"/>
      <c r="AC252" s="45"/>
    </row>
    <row r="253" spans="2:29" s="79" customFormat="1" ht="21.75" hidden="1" customHeight="1">
      <c r="B253" s="68">
        <v>46086</v>
      </c>
      <c r="C253" s="69" t="str">
        <f t="shared" si="3"/>
        <v>Março</v>
      </c>
      <c r="D253" s="77" t="s">
        <v>302</v>
      </c>
      <c r="E253" s="72" t="s">
        <v>436</v>
      </c>
      <c r="F253" s="70" t="s">
        <v>138</v>
      </c>
      <c r="G253" s="71" t="s">
        <v>480</v>
      </c>
      <c r="H253" s="77" t="s">
        <v>486</v>
      </c>
      <c r="I253" s="71" t="s">
        <v>131</v>
      </c>
      <c r="J253" s="389" t="s">
        <v>775</v>
      </c>
      <c r="K253" s="71" t="s">
        <v>131</v>
      </c>
      <c r="L253" s="71" t="s">
        <v>197</v>
      </c>
      <c r="M253" s="71" t="s">
        <v>729</v>
      </c>
      <c r="N253" s="80" t="s">
        <v>135</v>
      </c>
      <c r="O253" s="295">
        <v>-58.9</v>
      </c>
      <c r="P253" s="75"/>
      <c r="R253" s="246"/>
      <c r="Y253" s="45"/>
      <c r="AC253" s="45"/>
    </row>
    <row r="254" spans="2:29" s="79" customFormat="1" ht="21.75" hidden="1" customHeight="1">
      <c r="B254" s="68">
        <v>46086</v>
      </c>
      <c r="C254" s="69" t="str">
        <f t="shared" si="3"/>
        <v>Março</v>
      </c>
      <c r="D254" s="77" t="s">
        <v>508</v>
      </c>
      <c r="E254" s="72" t="s">
        <v>497</v>
      </c>
      <c r="F254" s="70" t="s">
        <v>534</v>
      </c>
      <c r="G254" s="71" t="s">
        <v>1091</v>
      </c>
      <c r="H254" s="77" t="s">
        <v>1098</v>
      </c>
      <c r="I254" s="71" t="s">
        <v>595</v>
      </c>
      <c r="J254" s="366" t="s">
        <v>1097</v>
      </c>
      <c r="K254" s="78" t="s">
        <v>206</v>
      </c>
      <c r="L254" s="71" t="s">
        <v>134</v>
      </c>
      <c r="M254" s="71" t="s">
        <v>730</v>
      </c>
      <c r="N254" s="80" t="s">
        <v>135</v>
      </c>
      <c r="O254" s="295">
        <v>-5244</v>
      </c>
      <c r="P254" s="75"/>
      <c r="R254" s="246"/>
      <c r="Y254" s="45"/>
      <c r="AC254" s="45"/>
    </row>
    <row r="255" spans="2:29" s="79" customFormat="1" ht="21.75" hidden="1" customHeight="1">
      <c r="B255" s="68">
        <v>46086</v>
      </c>
      <c r="C255" s="69" t="str">
        <f t="shared" si="3"/>
        <v>Março</v>
      </c>
      <c r="D255" s="77" t="s">
        <v>508</v>
      </c>
      <c r="E255" s="72" t="s">
        <v>497</v>
      </c>
      <c r="F255" s="70" t="s">
        <v>534</v>
      </c>
      <c r="G255" s="71" t="s">
        <v>567</v>
      </c>
      <c r="H255" s="77" t="s">
        <v>693</v>
      </c>
      <c r="I255" s="71" t="s">
        <v>595</v>
      </c>
      <c r="J255" s="112" t="s">
        <v>752</v>
      </c>
      <c r="K255" s="71" t="s">
        <v>274</v>
      </c>
      <c r="L255" s="71" t="s">
        <v>137</v>
      </c>
      <c r="M255" s="71" t="s">
        <v>730</v>
      </c>
      <c r="N255" s="80" t="s">
        <v>135</v>
      </c>
      <c r="O255" s="295">
        <v>-961</v>
      </c>
      <c r="P255" s="75"/>
      <c r="R255" s="246"/>
      <c r="Y255" s="45"/>
      <c r="AC255" s="45"/>
    </row>
    <row r="256" spans="2:29" s="79" customFormat="1" ht="21.75" hidden="1" customHeight="1">
      <c r="B256" s="68">
        <v>46086</v>
      </c>
      <c r="C256" s="69" t="str">
        <f t="shared" si="3"/>
        <v>Março</v>
      </c>
      <c r="D256" s="77" t="s">
        <v>508</v>
      </c>
      <c r="E256" s="72" t="s">
        <v>497</v>
      </c>
      <c r="F256" s="70" t="s">
        <v>534</v>
      </c>
      <c r="G256" s="71" t="s">
        <v>753</v>
      </c>
      <c r="H256" s="77" t="s">
        <v>754</v>
      </c>
      <c r="I256" s="71" t="s">
        <v>595</v>
      </c>
      <c r="J256" s="342" t="s">
        <v>755</v>
      </c>
      <c r="K256" s="71" t="s">
        <v>287</v>
      </c>
      <c r="L256" s="71" t="s">
        <v>137</v>
      </c>
      <c r="M256" s="71" t="s">
        <v>730</v>
      </c>
      <c r="N256" s="80" t="s">
        <v>135</v>
      </c>
      <c r="O256" s="390">
        <v>-1918</v>
      </c>
      <c r="P256" s="75"/>
      <c r="R256" s="246"/>
      <c r="Y256" s="45"/>
      <c r="AC256" s="45"/>
    </row>
    <row r="257" spans="2:29" s="79" customFormat="1" ht="21.75" hidden="1" customHeight="1">
      <c r="B257" s="376">
        <v>46086</v>
      </c>
      <c r="C257" s="377" t="str">
        <f t="shared" si="3"/>
        <v>Março</v>
      </c>
      <c r="D257" s="378" t="s">
        <v>386</v>
      </c>
      <c r="E257" s="379" t="s">
        <v>468</v>
      </c>
      <c r="F257" s="380" t="s">
        <v>131</v>
      </c>
      <c r="G257" s="342" t="s">
        <v>480</v>
      </c>
      <c r="H257" s="378" t="s">
        <v>1008</v>
      </c>
      <c r="I257" s="342" t="s">
        <v>131</v>
      </c>
      <c r="J257" s="112" t="s">
        <v>131</v>
      </c>
      <c r="K257" s="343" t="s">
        <v>131</v>
      </c>
      <c r="L257" s="342" t="s">
        <v>131</v>
      </c>
      <c r="M257" s="342" t="s">
        <v>730</v>
      </c>
      <c r="N257" s="381" t="s">
        <v>586</v>
      </c>
      <c r="O257" s="390">
        <v>5244</v>
      </c>
      <c r="P257" s="75"/>
      <c r="R257" s="246"/>
      <c r="Y257" s="45"/>
      <c r="AC257" s="45"/>
    </row>
    <row r="258" spans="2:29" s="79" customFormat="1" ht="21.75" hidden="1" customHeight="1">
      <c r="B258" s="376">
        <v>46086</v>
      </c>
      <c r="C258" s="377" t="str">
        <f t="shared" si="3"/>
        <v>Março</v>
      </c>
      <c r="D258" s="378" t="s">
        <v>300</v>
      </c>
      <c r="E258" s="379" t="s">
        <v>478</v>
      </c>
      <c r="F258" s="380" t="s">
        <v>136</v>
      </c>
      <c r="G258" s="342" t="s">
        <v>991</v>
      </c>
      <c r="H258" s="369" t="s">
        <v>1060</v>
      </c>
      <c r="I258" s="342" t="s">
        <v>131</v>
      </c>
      <c r="J258" s="112" t="s">
        <v>1084</v>
      </c>
      <c r="K258" s="343" t="s">
        <v>131</v>
      </c>
      <c r="L258" s="342" t="s">
        <v>137</v>
      </c>
      <c r="M258" s="71" t="s">
        <v>735</v>
      </c>
      <c r="N258" s="80" t="s">
        <v>135</v>
      </c>
      <c r="O258" s="390">
        <v>-698.87</v>
      </c>
      <c r="P258" s="75"/>
      <c r="R258" s="246"/>
      <c r="Y258" s="45"/>
      <c r="AC258" s="45"/>
    </row>
    <row r="259" spans="2:29" s="79" customFormat="1" ht="21.75" hidden="1" customHeight="1">
      <c r="B259" s="68">
        <v>46086</v>
      </c>
      <c r="C259" s="69" t="str">
        <f t="shared" si="3"/>
        <v>Março</v>
      </c>
      <c r="D259" s="77" t="s">
        <v>298</v>
      </c>
      <c r="E259" s="72" t="s">
        <v>513</v>
      </c>
      <c r="F259" s="70" t="s">
        <v>138</v>
      </c>
      <c r="G259" s="71" t="s">
        <v>140</v>
      </c>
      <c r="H259" s="77" t="s">
        <v>152</v>
      </c>
      <c r="I259" s="71" t="s">
        <v>131</v>
      </c>
      <c r="J259" s="366" t="s">
        <v>1156</v>
      </c>
      <c r="K259" s="71" t="s">
        <v>131</v>
      </c>
      <c r="L259" s="71" t="s">
        <v>137</v>
      </c>
      <c r="M259" s="71" t="s">
        <v>735</v>
      </c>
      <c r="N259" s="80" t="s">
        <v>135</v>
      </c>
      <c r="O259" s="295">
        <v>-4885</v>
      </c>
      <c r="P259" s="75"/>
      <c r="Q259" s="246"/>
      <c r="R259" s="246"/>
      <c r="Y259" s="45"/>
      <c r="AC259" s="45"/>
    </row>
    <row r="260" spans="2:29" s="79" customFormat="1" ht="21.75" hidden="1" customHeight="1">
      <c r="B260" s="68">
        <v>46086</v>
      </c>
      <c r="C260" s="69" t="str">
        <f t="shared" si="3"/>
        <v>Março</v>
      </c>
      <c r="D260" s="77" t="s">
        <v>301</v>
      </c>
      <c r="E260" s="72" t="s">
        <v>526</v>
      </c>
      <c r="F260" s="70" t="s">
        <v>136</v>
      </c>
      <c r="G260" s="71" t="s">
        <v>548</v>
      </c>
      <c r="H260" s="72" t="s">
        <v>549</v>
      </c>
      <c r="I260" s="71" t="s">
        <v>131</v>
      </c>
      <c r="J260" s="366" t="s">
        <v>1178</v>
      </c>
      <c r="K260" s="73" t="s">
        <v>131</v>
      </c>
      <c r="L260" s="71" t="s">
        <v>134</v>
      </c>
      <c r="M260" s="71" t="s">
        <v>735</v>
      </c>
      <c r="N260" s="80" t="s">
        <v>135</v>
      </c>
      <c r="O260" s="295">
        <v>-70</v>
      </c>
      <c r="P260" s="75"/>
      <c r="R260" s="246"/>
      <c r="Y260" s="45"/>
      <c r="AC260" s="45"/>
    </row>
    <row r="261" spans="2:29" s="79" customFormat="1" ht="21.75" hidden="1" customHeight="1">
      <c r="B261" s="68">
        <v>46086</v>
      </c>
      <c r="C261" s="69" t="str">
        <f t="shared" si="3"/>
        <v>Março</v>
      </c>
      <c r="D261" s="77" t="s">
        <v>299</v>
      </c>
      <c r="E261" s="72" t="s">
        <v>757</v>
      </c>
      <c r="F261" s="70" t="s">
        <v>138</v>
      </c>
      <c r="G261" s="71" t="s">
        <v>148</v>
      </c>
      <c r="H261" s="77" t="s">
        <v>177</v>
      </c>
      <c r="I261" s="71" t="s">
        <v>131</v>
      </c>
      <c r="J261" s="389" t="s">
        <v>775</v>
      </c>
      <c r="K261" s="71" t="s">
        <v>131</v>
      </c>
      <c r="L261" s="71" t="s">
        <v>134</v>
      </c>
      <c r="M261" s="71" t="s">
        <v>735</v>
      </c>
      <c r="N261" s="80" t="s">
        <v>135</v>
      </c>
      <c r="O261" s="295">
        <v>-4498.5</v>
      </c>
      <c r="P261" s="75"/>
      <c r="R261" s="246"/>
      <c r="Y261" s="45"/>
      <c r="AC261" s="45"/>
    </row>
    <row r="262" spans="2:29" s="79" customFormat="1" ht="21.75" hidden="1" customHeight="1">
      <c r="B262" s="376">
        <v>46087</v>
      </c>
      <c r="C262" s="377" t="str">
        <f t="shared" ref="C262:C325" si="4">PROPER(TEXT(B262,"MMMM"))</f>
        <v>Março</v>
      </c>
      <c r="D262" s="378" t="s">
        <v>508</v>
      </c>
      <c r="E262" s="379" t="s">
        <v>497</v>
      </c>
      <c r="F262" s="380" t="s">
        <v>534</v>
      </c>
      <c r="G262" s="342" t="s">
        <v>948</v>
      </c>
      <c r="H262" s="378" t="s">
        <v>949</v>
      </c>
      <c r="I262" s="342" t="s">
        <v>595</v>
      </c>
      <c r="J262" s="372" t="s">
        <v>1163</v>
      </c>
      <c r="K262" s="342" t="s">
        <v>131</v>
      </c>
      <c r="L262" s="342" t="s">
        <v>137</v>
      </c>
      <c r="M262" s="71" t="s">
        <v>730</v>
      </c>
      <c r="N262" s="381" t="s">
        <v>135</v>
      </c>
      <c r="O262" s="390">
        <v>-129</v>
      </c>
      <c r="P262" s="75"/>
      <c r="R262" s="246"/>
      <c r="Y262" s="45"/>
      <c r="AC262" s="45"/>
    </row>
    <row r="263" spans="2:29" s="79" customFormat="1" ht="21.75" hidden="1" customHeight="1">
      <c r="B263" s="376">
        <v>46087</v>
      </c>
      <c r="C263" s="377" t="str">
        <f t="shared" si="4"/>
        <v>Março</v>
      </c>
      <c r="D263" s="378" t="s">
        <v>386</v>
      </c>
      <c r="E263" s="379" t="s">
        <v>468</v>
      </c>
      <c r="F263" s="380" t="s">
        <v>131</v>
      </c>
      <c r="G263" s="342" t="s">
        <v>480</v>
      </c>
      <c r="H263" s="378" t="s">
        <v>1008</v>
      </c>
      <c r="I263" s="342" t="s">
        <v>131</v>
      </c>
      <c r="J263" s="112" t="s">
        <v>131</v>
      </c>
      <c r="K263" s="343" t="s">
        <v>131</v>
      </c>
      <c r="L263" s="342" t="s">
        <v>131</v>
      </c>
      <c r="M263" s="342" t="s">
        <v>730</v>
      </c>
      <c r="N263" s="381" t="s">
        <v>586</v>
      </c>
      <c r="O263" s="390">
        <v>1349.92</v>
      </c>
      <c r="P263" s="75"/>
      <c r="R263" s="246"/>
      <c r="Y263" s="45"/>
      <c r="AC263" s="45"/>
    </row>
    <row r="264" spans="2:29" s="79" customFormat="1" ht="21.75" hidden="1" customHeight="1">
      <c r="B264" s="376">
        <v>46087</v>
      </c>
      <c r="C264" s="377" t="str">
        <f t="shared" si="4"/>
        <v>Março</v>
      </c>
      <c r="D264" s="378" t="s">
        <v>300</v>
      </c>
      <c r="E264" s="379" t="s">
        <v>478</v>
      </c>
      <c r="F264" s="380" t="s">
        <v>136</v>
      </c>
      <c r="G264" s="342" t="s">
        <v>948</v>
      </c>
      <c r="H264" s="378" t="s">
        <v>949</v>
      </c>
      <c r="I264" s="342" t="s">
        <v>131</v>
      </c>
      <c r="J264" s="372" t="s">
        <v>1162</v>
      </c>
      <c r="K264" s="342" t="s">
        <v>131</v>
      </c>
      <c r="L264" s="342" t="s">
        <v>137</v>
      </c>
      <c r="M264" s="342" t="s">
        <v>735</v>
      </c>
      <c r="N264" s="381" t="s">
        <v>135</v>
      </c>
      <c r="O264" s="295">
        <v>-129</v>
      </c>
      <c r="P264" s="75"/>
      <c r="R264" s="246"/>
      <c r="Y264" s="45"/>
      <c r="AC264" s="45"/>
    </row>
    <row r="265" spans="2:29" s="79" customFormat="1" ht="21.75" hidden="1" customHeight="1">
      <c r="B265" s="376">
        <v>46090</v>
      </c>
      <c r="C265" s="377" t="str">
        <f t="shared" si="4"/>
        <v>Março</v>
      </c>
      <c r="D265" s="378" t="s">
        <v>508</v>
      </c>
      <c r="E265" s="379" t="s">
        <v>497</v>
      </c>
      <c r="F265" s="380" t="s">
        <v>534</v>
      </c>
      <c r="G265" s="19" t="s">
        <v>853</v>
      </c>
      <c r="H265" s="369" t="s">
        <v>854</v>
      </c>
      <c r="I265" s="342" t="s">
        <v>595</v>
      </c>
      <c r="J265" s="112" t="s">
        <v>1104</v>
      </c>
      <c r="K265" s="112" t="s">
        <v>131</v>
      </c>
      <c r="L265" s="342" t="s">
        <v>137</v>
      </c>
      <c r="M265" s="71" t="s">
        <v>730</v>
      </c>
      <c r="N265" s="381" t="s">
        <v>135</v>
      </c>
      <c r="O265" s="295">
        <v>-1349.92</v>
      </c>
      <c r="P265" s="75"/>
      <c r="R265" s="246"/>
      <c r="Y265" s="45"/>
      <c r="AC265" s="45"/>
    </row>
    <row r="266" spans="2:29" s="79" customFormat="1" ht="21.75" hidden="1" customHeight="1">
      <c r="B266" s="68">
        <v>46090</v>
      </c>
      <c r="C266" s="69" t="str">
        <f t="shared" si="4"/>
        <v>Março</v>
      </c>
      <c r="D266" s="77" t="s">
        <v>302</v>
      </c>
      <c r="E266" s="72" t="s">
        <v>436</v>
      </c>
      <c r="F266" s="70" t="s">
        <v>138</v>
      </c>
      <c r="G266" s="71" t="s">
        <v>480</v>
      </c>
      <c r="H266" s="77" t="s">
        <v>483</v>
      </c>
      <c r="I266" s="71" t="s">
        <v>131</v>
      </c>
      <c r="J266" s="389" t="s">
        <v>781</v>
      </c>
      <c r="K266" s="71" t="s">
        <v>131</v>
      </c>
      <c r="L266" s="71" t="s">
        <v>197</v>
      </c>
      <c r="M266" s="71" t="s">
        <v>729</v>
      </c>
      <c r="N266" s="80" t="s">
        <v>135</v>
      </c>
      <c r="O266" s="295">
        <v>-10</v>
      </c>
      <c r="P266" s="75"/>
      <c r="R266" s="246"/>
      <c r="Y266" s="45"/>
      <c r="AC266" s="45"/>
    </row>
    <row r="267" spans="2:29" s="79" customFormat="1" ht="21.75" hidden="1" customHeight="1">
      <c r="B267" s="68">
        <v>46090</v>
      </c>
      <c r="C267" s="69" t="str">
        <f t="shared" si="4"/>
        <v>Março</v>
      </c>
      <c r="D267" s="77" t="s">
        <v>386</v>
      </c>
      <c r="E267" s="72" t="s">
        <v>468</v>
      </c>
      <c r="F267" s="70" t="s">
        <v>131</v>
      </c>
      <c r="G267" s="71" t="s">
        <v>480</v>
      </c>
      <c r="H267" s="77" t="s">
        <v>511</v>
      </c>
      <c r="I267" s="71" t="s">
        <v>131</v>
      </c>
      <c r="J267" s="112" t="s">
        <v>131</v>
      </c>
      <c r="K267" s="71" t="s">
        <v>131</v>
      </c>
      <c r="L267" s="71" t="s">
        <v>131</v>
      </c>
      <c r="M267" s="71" t="s">
        <v>729</v>
      </c>
      <c r="N267" s="80" t="s">
        <v>586</v>
      </c>
      <c r="O267" s="295">
        <v>9800</v>
      </c>
      <c r="P267" s="75"/>
      <c r="R267" s="246"/>
      <c r="Y267" s="45"/>
      <c r="AC267" s="45"/>
    </row>
    <row r="268" spans="2:29" s="79" customFormat="1" ht="21.75" hidden="1" customHeight="1">
      <c r="B268" s="68">
        <v>46091</v>
      </c>
      <c r="C268" s="69" t="str">
        <f t="shared" si="4"/>
        <v>Março</v>
      </c>
      <c r="D268" s="77" t="s">
        <v>386</v>
      </c>
      <c r="E268" s="72" t="s">
        <v>468</v>
      </c>
      <c r="F268" s="70" t="s">
        <v>131</v>
      </c>
      <c r="G268" s="71" t="s">
        <v>480</v>
      </c>
      <c r="H268" s="370" t="s">
        <v>1208</v>
      </c>
      <c r="I268" s="71" t="s">
        <v>131</v>
      </c>
      <c r="J268" s="112" t="s">
        <v>131</v>
      </c>
      <c r="K268" s="71" t="s">
        <v>131</v>
      </c>
      <c r="L268" s="71" t="s">
        <v>131</v>
      </c>
      <c r="M268" s="71" t="s">
        <v>729</v>
      </c>
      <c r="N268" s="80" t="s">
        <v>586</v>
      </c>
      <c r="O268" s="295">
        <v>7076.7</v>
      </c>
      <c r="P268" s="75"/>
      <c r="R268" s="246"/>
      <c r="Y268" s="45"/>
      <c r="AC268" s="45"/>
    </row>
    <row r="269" spans="2:29" s="79" customFormat="1" ht="21.75" hidden="1" customHeight="1">
      <c r="B269" s="68">
        <v>46091</v>
      </c>
      <c r="C269" s="69" t="str">
        <f t="shared" si="4"/>
        <v>Março</v>
      </c>
      <c r="D269" s="77" t="s">
        <v>386</v>
      </c>
      <c r="E269" s="72" t="s">
        <v>468</v>
      </c>
      <c r="F269" s="70" t="s">
        <v>131</v>
      </c>
      <c r="G269" s="71" t="s">
        <v>480</v>
      </c>
      <c r="H269" s="370" t="s">
        <v>1209</v>
      </c>
      <c r="I269" s="71" t="s">
        <v>131</v>
      </c>
      <c r="J269" s="112" t="s">
        <v>131</v>
      </c>
      <c r="K269" s="71" t="s">
        <v>131</v>
      </c>
      <c r="L269" s="71" t="s">
        <v>131</v>
      </c>
      <c r="M269" s="71" t="s">
        <v>729</v>
      </c>
      <c r="N269" s="80" t="s">
        <v>586</v>
      </c>
      <c r="O269" s="295">
        <v>2270.77</v>
      </c>
      <c r="P269" s="75"/>
      <c r="R269" s="246"/>
      <c r="Y269" s="45"/>
      <c r="AC269" s="45"/>
    </row>
    <row r="270" spans="2:29" s="79" customFormat="1" ht="21.75" hidden="1" customHeight="1">
      <c r="B270" s="68">
        <v>46091</v>
      </c>
      <c r="C270" s="69" t="str">
        <f t="shared" si="4"/>
        <v>Março</v>
      </c>
      <c r="D270" s="77" t="s">
        <v>386</v>
      </c>
      <c r="E270" s="72" t="s">
        <v>468</v>
      </c>
      <c r="F270" s="70" t="s">
        <v>131</v>
      </c>
      <c r="G270" s="71" t="s">
        <v>480</v>
      </c>
      <c r="H270" s="370" t="s">
        <v>1210</v>
      </c>
      <c r="I270" s="71" t="s">
        <v>131</v>
      </c>
      <c r="J270" s="112" t="s">
        <v>131</v>
      </c>
      <c r="K270" s="71" t="s">
        <v>131</v>
      </c>
      <c r="L270" s="71" t="s">
        <v>131</v>
      </c>
      <c r="M270" s="71" t="s">
        <v>729</v>
      </c>
      <c r="N270" s="80" t="s">
        <v>586</v>
      </c>
      <c r="O270" s="295">
        <v>4138.87</v>
      </c>
      <c r="P270" s="75"/>
      <c r="R270" s="246"/>
      <c r="Y270" s="45"/>
      <c r="AC270" s="45"/>
    </row>
    <row r="271" spans="2:29" s="79" customFormat="1" ht="21.75" hidden="1" customHeight="1">
      <c r="B271" s="376">
        <v>46091</v>
      </c>
      <c r="C271" s="377" t="str">
        <f t="shared" si="4"/>
        <v>Março</v>
      </c>
      <c r="D271" s="378" t="s">
        <v>510</v>
      </c>
      <c r="E271" s="379" t="s">
        <v>506</v>
      </c>
      <c r="F271" s="380" t="s">
        <v>131</v>
      </c>
      <c r="G271" s="342" t="s">
        <v>145</v>
      </c>
      <c r="H271" s="378" t="s">
        <v>1211</v>
      </c>
      <c r="I271" s="342" t="s">
        <v>131</v>
      </c>
      <c r="J271" s="342" t="s">
        <v>131</v>
      </c>
      <c r="K271" s="342" t="s">
        <v>131</v>
      </c>
      <c r="L271" s="342" t="s">
        <v>485</v>
      </c>
      <c r="M271" s="71" t="s">
        <v>729</v>
      </c>
      <c r="N271" s="381" t="s">
        <v>135</v>
      </c>
      <c r="O271" s="295">
        <v>-14130.79</v>
      </c>
      <c r="P271" s="75"/>
      <c r="R271" s="246"/>
      <c r="Y271" s="45"/>
      <c r="AC271" s="45"/>
    </row>
    <row r="272" spans="2:29" s="79" customFormat="1" ht="21.75" hidden="1" customHeight="1">
      <c r="B272" s="376">
        <v>46091</v>
      </c>
      <c r="C272" s="377" t="str">
        <f t="shared" si="4"/>
        <v>Março</v>
      </c>
      <c r="D272" s="378" t="s">
        <v>507</v>
      </c>
      <c r="E272" s="379" t="s">
        <v>494</v>
      </c>
      <c r="F272" s="380" t="s">
        <v>131</v>
      </c>
      <c r="G272" s="342" t="s">
        <v>480</v>
      </c>
      <c r="H272" s="378" t="s">
        <v>1212</v>
      </c>
      <c r="I272" s="342" t="s">
        <v>131</v>
      </c>
      <c r="J272" s="112" t="s">
        <v>131</v>
      </c>
      <c r="K272" s="343" t="s">
        <v>131</v>
      </c>
      <c r="L272" s="342" t="s">
        <v>485</v>
      </c>
      <c r="M272" s="71" t="s">
        <v>730</v>
      </c>
      <c r="N272" s="386" t="s">
        <v>587</v>
      </c>
      <c r="O272" s="295">
        <v>-14130.79</v>
      </c>
      <c r="P272" s="75"/>
      <c r="R272" s="246"/>
      <c r="Y272" s="45"/>
      <c r="AC272" s="45"/>
    </row>
    <row r="273" spans="2:29" s="79" customFormat="1" ht="21.75" hidden="1" customHeight="1">
      <c r="B273" s="376">
        <v>46091</v>
      </c>
      <c r="C273" s="377" t="str">
        <f t="shared" si="4"/>
        <v>Março</v>
      </c>
      <c r="D273" s="378" t="s">
        <v>383</v>
      </c>
      <c r="E273" s="379" t="s">
        <v>471</v>
      </c>
      <c r="F273" s="380" t="s">
        <v>131</v>
      </c>
      <c r="G273" s="342" t="s">
        <v>145</v>
      </c>
      <c r="H273" s="378" t="s">
        <v>1211</v>
      </c>
      <c r="I273" s="342" t="s">
        <v>131</v>
      </c>
      <c r="J273" s="112" t="s">
        <v>131</v>
      </c>
      <c r="K273" s="343" t="s">
        <v>131</v>
      </c>
      <c r="L273" s="342" t="s">
        <v>485</v>
      </c>
      <c r="M273" s="71" t="s">
        <v>730</v>
      </c>
      <c r="N273" s="386" t="s">
        <v>144</v>
      </c>
      <c r="O273" s="295">
        <v>14130.79</v>
      </c>
      <c r="P273" s="75"/>
      <c r="R273" s="246"/>
      <c r="Y273" s="45"/>
      <c r="AC273" s="45"/>
    </row>
    <row r="274" spans="2:29" s="79" customFormat="1" ht="21.75" hidden="1" customHeight="1">
      <c r="B274" s="68">
        <v>46091</v>
      </c>
      <c r="C274" s="69" t="str">
        <f t="shared" si="4"/>
        <v>Março</v>
      </c>
      <c r="D274" s="77" t="s">
        <v>508</v>
      </c>
      <c r="E274" s="72" t="s">
        <v>497</v>
      </c>
      <c r="F274" s="70" t="s">
        <v>534</v>
      </c>
      <c r="G274" s="71" t="s">
        <v>567</v>
      </c>
      <c r="H274" s="77" t="s">
        <v>693</v>
      </c>
      <c r="I274" s="71" t="s">
        <v>595</v>
      </c>
      <c r="J274" s="112" t="s">
        <v>877</v>
      </c>
      <c r="K274" s="78" t="s">
        <v>274</v>
      </c>
      <c r="L274" s="71" t="s">
        <v>137</v>
      </c>
      <c r="M274" s="71" t="s">
        <v>730</v>
      </c>
      <c r="N274" s="80" t="s">
        <v>135</v>
      </c>
      <c r="O274" s="295">
        <v>-391.67</v>
      </c>
      <c r="P274" s="75"/>
      <c r="R274" s="246"/>
      <c r="Y274" s="45"/>
      <c r="AC274" s="45"/>
    </row>
    <row r="275" spans="2:29" s="79" customFormat="1" ht="21.75" hidden="1" customHeight="1">
      <c r="B275" s="376">
        <v>46091</v>
      </c>
      <c r="C275" s="377" t="str">
        <f t="shared" si="4"/>
        <v>Março</v>
      </c>
      <c r="D275" s="378" t="s">
        <v>386</v>
      </c>
      <c r="E275" s="379" t="s">
        <v>468</v>
      </c>
      <c r="F275" s="380" t="s">
        <v>131</v>
      </c>
      <c r="G275" s="342" t="s">
        <v>480</v>
      </c>
      <c r="H275" s="378" t="s">
        <v>1008</v>
      </c>
      <c r="I275" s="342" t="s">
        <v>131</v>
      </c>
      <c r="J275" s="112" t="s">
        <v>131</v>
      </c>
      <c r="K275" s="343" t="s">
        <v>131</v>
      </c>
      <c r="L275" s="342" t="s">
        <v>131</v>
      </c>
      <c r="M275" s="342" t="s">
        <v>730</v>
      </c>
      <c r="N275" s="381" t="s">
        <v>586</v>
      </c>
      <c r="O275" s="390">
        <v>313.39999999999998</v>
      </c>
      <c r="P275" s="75"/>
      <c r="R275" s="246"/>
      <c r="Y275" s="45"/>
      <c r="AC275" s="45"/>
    </row>
    <row r="276" spans="2:29" s="79" customFormat="1" ht="21.75" hidden="1" customHeight="1">
      <c r="B276" s="68">
        <v>46091</v>
      </c>
      <c r="C276" s="69" t="str">
        <f t="shared" si="4"/>
        <v>Março</v>
      </c>
      <c r="D276" s="77" t="s">
        <v>508</v>
      </c>
      <c r="E276" s="72" t="s">
        <v>497</v>
      </c>
      <c r="F276" s="70" t="s">
        <v>534</v>
      </c>
      <c r="G276" s="71" t="s">
        <v>661</v>
      </c>
      <c r="H276" s="77" t="s">
        <v>662</v>
      </c>
      <c r="I276" s="71" t="s">
        <v>595</v>
      </c>
      <c r="J276" s="343" t="s">
        <v>1353</v>
      </c>
      <c r="K276" s="71" t="s">
        <v>289</v>
      </c>
      <c r="L276" s="71" t="s">
        <v>134</v>
      </c>
      <c r="M276" s="71" t="s">
        <v>729</v>
      </c>
      <c r="N276" s="80" t="s">
        <v>135</v>
      </c>
      <c r="O276" s="295">
        <v>-9800</v>
      </c>
      <c r="P276" s="75"/>
      <c r="R276" s="246"/>
      <c r="Y276" s="45"/>
      <c r="AC276" s="45"/>
    </row>
    <row r="277" spans="2:29" s="79" customFormat="1" ht="21.75" hidden="1" customHeight="1">
      <c r="B277" s="68">
        <v>46091</v>
      </c>
      <c r="C277" s="69" t="str">
        <f t="shared" si="4"/>
        <v>Março</v>
      </c>
      <c r="D277" s="77" t="s">
        <v>298</v>
      </c>
      <c r="E277" s="72" t="s">
        <v>515</v>
      </c>
      <c r="F277" s="70" t="s">
        <v>138</v>
      </c>
      <c r="G277" s="71" t="s">
        <v>146</v>
      </c>
      <c r="H277" s="77" t="s">
        <v>153</v>
      </c>
      <c r="I277" s="71" t="s">
        <v>131</v>
      </c>
      <c r="J277" s="389" t="s">
        <v>782</v>
      </c>
      <c r="K277" s="78" t="s">
        <v>131</v>
      </c>
      <c r="L277" s="71" t="s">
        <v>134</v>
      </c>
      <c r="M277" s="71" t="s">
        <v>735</v>
      </c>
      <c r="N277" s="80" t="s">
        <v>135</v>
      </c>
      <c r="O277" s="295">
        <v>-1120</v>
      </c>
      <c r="P277" s="75"/>
      <c r="R277" s="246"/>
      <c r="Y277" s="45"/>
      <c r="AC277" s="45"/>
    </row>
    <row r="278" spans="2:29" s="79" customFormat="1" ht="21.75" hidden="1" customHeight="1">
      <c r="B278" s="376">
        <v>46091</v>
      </c>
      <c r="C278" s="377" t="str">
        <f t="shared" si="4"/>
        <v>Março</v>
      </c>
      <c r="D278" s="378" t="s">
        <v>301</v>
      </c>
      <c r="E278" s="379" t="s">
        <v>414</v>
      </c>
      <c r="F278" s="380" t="s">
        <v>136</v>
      </c>
      <c r="G278" s="342" t="s">
        <v>1179</v>
      </c>
      <c r="H278" s="378" t="s">
        <v>1180</v>
      </c>
      <c r="I278" s="342" t="s">
        <v>131</v>
      </c>
      <c r="J278" s="343" t="s">
        <v>1181</v>
      </c>
      <c r="K278" s="342" t="s">
        <v>131</v>
      </c>
      <c r="L278" s="342" t="s">
        <v>134</v>
      </c>
      <c r="M278" s="71" t="s">
        <v>735</v>
      </c>
      <c r="N278" s="80" t="s">
        <v>135</v>
      </c>
      <c r="O278" s="295">
        <v>-180</v>
      </c>
      <c r="P278" s="75"/>
      <c r="R278" s="246"/>
      <c r="Y278" s="45"/>
      <c r="AC278" s="45"/>
    </row>
    <row r="279" spans="2:29" s="79" customFormat="1" ht="21.75" hidden="1" customHeight="1">
      <c r="B279" s="68">
        <v>46091</v>
      </c>
      <c r="C279" s="69" t="str">
        <f t="shared" si="4"/>
        <v>Março</v>
      </c>
      <c r="D279" s="77" t="s">
        <v>301</v>
      </c>
      <c r="E279" s="72" t="s">
        <v>526</v>
      </c>
      <c r="F279" s="70" t="s">
        <v>136</v>
      </c>
      <c r="G279" s="71" t="s">
        <v>1164</v>
      </c>
      <c r="H279" s="77" t="s">
        <v>1217</v>
      </c>
      <c r="I279" s="71" t="s">
        <v>131</v>
      </c>
      <c r="J279" s="393" t="s">
        <v>1207</v>
      </c>
      <c r="K279" s="78" t="s">
        <v>131</v>
      </c>
      <c r="L279" s="71" t="s">
        <v>134</v>
      </c>
      <c r="M279" s="71" t="s">
        <v>735</v>
      </c>
      <c r="N279" s="80" t="s">
        <v>135</v>
      </c>
      <c r="O279" s="390">
        <v>-1500</v>
      </c>
      <c r="P279" s="75"/>
      <c r="R279" s="246"/>
      <c r="Y279" s="45"/>
      <c r="AC279" s="45"/>
    </row>
    <row r="280" spans="2:29" s="79" customFormat="1" ht="21.75" hidden="1" customHeight="1">
      <c r="B280" s="68">
        <v>46091</v>
      </c>
      <c r="C280" s="69" t="str">
        <f t="shared" si="4"/>
        <v>Março</v>
      </c>
      <c r="D280" s="77" t="s">
        <v>302</v>
      </c>
      <c r="E280" s="72" t="s">
        <v>436</v>
      </c>
      <c r="F280" s="70" t="s">
        <v>138</v>
      </c>
      <c r="G280" s="71" t="s">
        <v>480</v>
      </c>
      <c r="H280" s="379" t="s">
        <v>482</v>
      </c>
      <c r="I280" s="71" t="s">
        <v>131</v>
      </c>
      <c r="J280" s="389" t="s">
        <v>781</v>
      </c>
      <c r="K280" s="71" t="s">
        <v>131</v>
      </c>
      <c r="L280" s="71" t="s">
        <v>197</v>
      </c>
      <c r="M280" s="71" t="s">
        <v>730</v>
      </c>
      <c r="N280" s="80" t="s">
        <v>135</v>
      </c>
      <c r="O280" s="295">
        <v>-56.5</v>
      </c>
      <c r="P280" s="75"/>
      <c r="R280" s="246"/>
      <c r="Y280" s="45"/>
      <c r="AC280" s="45"/>
    </row>
    <row r="281" spans="2:29" s="79" customFormat="1" ht="21.75" hidden="1" customHeight="1">
      <c r="B281" s="68">
        <v>46092</v>
      </c>
      <c r="C281" s="69" t="str">
        <f t="shared" si="4"/>
        <v>Março</v>
      </c>
      <c r="D281" s="77" t="s">
        <v>509</v>
      </c>
      <c r="E281" s="72" t="s">
        <v>500</v>
      </c>
      <c r="F281" s="70" t="s">
        <v>131</v>
      </c>
      <c r="G281" s="71" t="s">
        <v>132</v>
      </c>
      <c r="H281" s="77" t="s">
        <v>133</v>
      </c>
      <c r="I281" s="71" t="s">
        <v>131</v>
      </c>
      <c r="J281" s="343" t="s">
        <v>781</v>
      </c>
      <c r="K281" s="71" t="s">
        <v>131</v>
      </c>
      <c r="L281" s="71" t="s">
        <v>134</v>
      </c>
      <c r="M281" s="71" t="s">
        <v>735</v>
      </c>
      <c r="N281" s="80" t="s">
        <v>265</v>
      </c>
      <c r="O281" s="295">
        <v>-2370.77</v>
      </c>
      <c r="P281" s="75"/>
      <c r="R281" s="246"/>
      <c r="Y281" s="45"/>
      <c r="AC281" s="45"/>
    </row>
    <row r="282" spans="2:29" s="79" customFormat="1" ht="21.75" hidden="1" customHeight="1">
      <c r="B282" s="68">
        <v>46092</v>
      </c>
      <c r="C282" s="69" t="str">
        <f t="shared" si="4"/>
        <v>Março</v>
      </c>
      <c r="D282" s="77" t="s">
        <v>508</v>
      </c>
      <c r="E282" s="72" t="s">
        <v>497</v>
      </c>
      <c r="F282" s="70" t="s">
        <v>534</v>
      </c>
      <c r="G282" s="19" t="s">
        <v>184</v>
      </c>
      <c r="H282" s="369" t="s">
        <v>693</v>
      </c>
      <c r="I282" s="71" t="s">
        <v>595</v>
      </c>
      <c r="J282" s="389" t="s">
        <v>1086</v>
      </c>
      <c r="K282" s="19" t="s">
        <v>131</v>
      </c>
      <c r="L282" s="71" t="s">
        <v>137</v>
      </c>
      <c r="M282" s="71" t="s">
        <v>730</v>
      </c>
      <c r="N282" s="381" t="s">
        <v>135</v>
      </c>
      <c r="O282" s="295">
        <v>-313.39999999999998</v>
      </c>
      <c r="P282" s="75"/>
      <c r="R282" s="246"/>
      <c r="Y282" s="45"/>
      <c r="AC282" s="45"/>
    </row>
    <row r="283" spans="2:29" s="79" customFormat="1" ht="21.75" hidden="1" customHeight="1">
      <c r="B283" s="68">
        <v>46093</v>
      </c>
      <c r="C283" s="69" t="str">
        <f t="shared" si="4"/>
        <v>Março</v>
      </c>
      <c r="D283" s="77" t="s">
        <v>509</v>
      </c>
      <c r="E283" s="72" t="s">
        <v>500</v>
      </c>
      <c r="F283" s="70" t="s">
        <v>131</v>
      </c>
      <c r="G283" s="71" t="s">
        <v>132</v>
      </c>
      <c r="H283" s="77" t="s">
        <v>133</v>
      </c>
      <c r="I283" s="71" t="s">
        <v>131</v>
      </c>
      <c r="J283" s="343" t="s">
        <v>781</v>
      </c>
      <c r="K283" s="71" t="s">
        <v>131</v>
      </c>
      <c r="L283" s="71" t="s">
        <v>134</v>
      </c>
      <c r="M283" s="71" t="s">
        <v>735</v>
      </c>
      <c r="N283" s="80" t="s">
        <v>265</v>
      </c>
      <c r="O283" s="295">
        <v>-680</v>
      </c>
      <c r="P283" s="75"/>
      <c r="R283" s="246"/>
      <c r="Y283" s="45"/>
      <c r="AC283" s="45"/>
    </row>
    <row r="284" spans="2:29" s="79" customFormat="1" ht="21.75" hidden="1" customHeight="1">
      <c r="B284" s="376">
        <v>46093</v>
      </c>
      <c r="C284" s="377" t="str">
        <f t="shared" si="4"/>
        <v>Março</v>
      </c>
      <c r="D284" s="378" t="s">
        <v>386</v>
      </c>
      <c r="E284" s="379" t="s">
        <v>468</v>
      </c>
      <c r="F284" s="380" t="s">
        <v>131</v>
      </c>
      <c r="G284" s="342" t="s">
        <v>480</v>
      </c>
      <c r="H284" s="378" t="s">
        <v>1008</v>
      </c>
      <c r="I284" s="342" t="s">
        <v>131</v>
      </c>
      <c r="J284" s="112" t="s">
        <v>131</v>
      </c>
      <c r="K284" s="343" t="s">
        <v>131</v>
      </c>
      <c r="L284" s="342" t="s">
        <v>131</v>
      </c>
      <c r="M284" s="342" t="s">
        <v>730</v>
      </c>
      <c r="N284" s="381" t="s">
        <v>586</v>
      </c>
      <c r="O284" s="295">
        <v>5194.1000000000004</v>
      </c>
      <c r="P284" s="75"/>
      <c r="R284" s="246"/>
      <c r="Y284" s="45"/>
      <c r="AC284" s="45"/>
    </row>
    <row r="285" spans="2:29" s="79" customFormat="1" ht="21.75" hidden="1" customHeight="1">
      <c r="B285" s="68">
        <v>46093</v>
      </c>
      <c r="C285" s="69" t="str">
        <f t="shared" si="4"/>
        <v>Março</v>
      </c>
      <c r="D285" s="77" t="s">
        <v>508</v>
      </c>
      <c r="E285" s="72" t="s">
        <v>497</v>
      </c>
      <c r="F285" s="70" t="s">
        <v>534</v>
      </c>
      <c r="G285" s="71" t="s">
        <v>520</v>
      </c>
      <c r="H285" s="369" t="s">
        <v>638</v>
      </c>
      <c r="I285" s="342" t="s">
        <v>858</v>
      </c>
      <c r="J285" s="389" t="s">
        <v>979</v>
      </c>
      <c r="K285" s="73" t="s">
        <v>273</v>
      </c>
      <c r="L285" s="71" t="s">
        <v>137</v>
      </c>
      <c r="M285" s="71" t="s">
        <v>730</v>
      </c>
      <c r="N285" s="80" t="s">
        <v>135</v>
      </c>
      <c r="O285" s="295">
        <v>-5194.1000000000004</v>
      </c>
      <c r="P285" s="75"/>
      <c r="R285" s="246"/>
      <c r="Y285" s="45"/>
      <c r="AC285" s="45"/>
    </row>
    <row r="286" spans="2:29" s="79" customFormat="1" ht="21.75" hidden="1" customHeight="1">
      <c r="B286" s="376">
        <v>46093</v>
      </c>
      <c r="C286" s="377" t="str">
        <f t="shared" si="4"/>
        <v>Março</v>
      </c>
      <c r="D286" s="378" t="s">
        <v>386</v>
      </c>
      <c r="E286" s="379" t="s">
        <v>468</v>
      </c>
      <c r="F286" s="380" t="s">
        <v>131</v>
      </c>
      <c r="G286" s="342" t="s">
        <v>480</v>
      </c>
      <c r="H286" s="378" t="s">
        <v>1008</v>
      </c>
      <c r="I286" s="342" t="s">
        <v>131</v>
      </c>
      <c r="J286" s="112" t="s">
        <v>131</v>
      </c>
      <c r="K286" s="343" t="s">
        <v>131</v>
      </c>
      <c r="L286" s="342" t="s">
        <v>131</v>
      </c>
      <c r="M286" s="342" t="s">
        <v>730</v>
      </c>
      <c r="N286" s="381" t="s">
        <v>586</v>
      </c>
      <c r="O286" s="295">
        <v>804</v>
      </c>
      <c r="P286" s="75"/>
      <c r="R286" s="246"/>
      <c r="Y286" s="45"/>
      <c r="AC286" s="45"/>
    </row>
    <row r="287" spans="2:29" s="79" customFormat="1" ht="21.75" hidden="1" customHeight="1">
      <c r="B287" s="68">
        <v>46093</v>
      </c>
      <c r="C287" s="69" t="str">
        <f t="shared" si="4"/>
        <v>Março</v>
      </c>
      <c r="D287" s="77" t="s">
        <v>508</v>
      </c>
      <c r="E287" s="72" t="s">
        <v>497</v>
      </c>
      <c r="F287" s="70" t="s">
        <v>534</v>
      </c>
      <c r="G287" s="71" t="s">
        <v>1219</v>
      </c>
      <c r="H287" s="77" t="s">
        <v>1092</v>
      </c>
      <c r="I287" s="71" t="s">
        <v>595</v>
      </c>
      <c r="J287" s="393" t="s">
        <v>1218</v>
      </c>
      <c r="K287" s="78" t="s">
        <v>131</v>
      </c>
      <c r="L287" s="71" t="s">
        <v>137</v>
      </c>
      <c r="M287" s="71" t="s">
        <v>730</v>
      </c>
      <c r="N287" s="80" t="s">
        <v>135</v>
      </c>
      <c r="O287" s="295">
        <v>-3910.5</v>
      </c>
      <c r="P287" s="75"/>
      <c r="R287" s="246"/>
      <c r="Y287" s="45"/>
      <c r="AC287" s="45"/>
    </row>
    <row r="288" spans="2:29" s="79" customFormat="1" ht="21.75" hidden="1" customHeight="1">
      <c r="B288" s="68">
        <v>46093</v>
      </c>
      <c r="C288" s="69" t="str">
        <f t="shared" si="4"/>
        <v>Março</v>
      </c>
      <c r="D288" s="77" t="s">
        <v>386</v>
      </c>
      <c r="E288" s="72" t="s">
        <v>468</v>
      </c>
      <c r="F288" s="70" t="s">
        <v>131</v>
      </c>
      <c r="G288" s="71" t="s">
        <v>480</v>
      </c>
      <c r="H288" s="370" t="s">
        <v>1208</v>
      </c>
      <c r="I288" s="71" t="s">
        <v>131</v>
      </c>
      <c r="J288" s="112" t="s">
        <v>131</v>
      </c>
      <c r="K288" s="71" t="s">
        <v>131</v>
      </c>
      <c r="L288" s="71" t="s">
        <v>131</v>
      </c>
      <c r="M288" s="71" t="s">
        <v>730</v>
      </c>
      <c r="N288" s="80" t="s">
        <v>586</v>
      </c>
      <c r="O288" s="295">
        <v>3910.5</v>
      </c>
      <c r="P288" s="75"/>
      <c r="R288" s="246"/>
      <c r="Y288" s="45"/>
      <c r="AC288" s="45"/>
    </row>
    <row r="289" spans="2:29" s="79" customFormat="1" ht="21.75" hidden="1" customHeight="1">
      <c r="B289" s="376">
        <v>46094</v>
      </c>
      <c r="C289" s="377" t="str">
        <f t="shared" si="4"/>
        <v>Março</v>
      </c>
      <c r="D289" s="378" t="s">
        <v>386</v>
      </c>
      <c r="E289" s="379" t="s">
        <v>468</v>
      </c>
      <c r="F289" s="380" t="s">
        <v>131</v>
      </c>
      <c r="G289" s="342" t="s">
        <v>480</v>
      </c>
      <c r="H289" s="378" t="s">
        <v>1008</v>
      </c>
      <c r="I289" s="342" t="s">
        <v>131</v>
      </c>
      <c r="J289" s="112" t="s">
        <v>131</v>
      </c>
      <c r="K289" s="343" t="s">
        <v>131</v>
      </c>
      <c r="L289" s="342" t="s">
        <v>131</v>
      </c>
      <c r="M289" s="342" t="s">
        <v>730</v>
      </c>
      <c r="N289" s="381" t="s">
        <v>586</v>
      </c>
      <c r="O289" s="390">
        <v>223.5</v>
      </c>
      <c r="P289" s="75"/>
      <c r="R289" s="246"/>
      <c r="Y289" s="45"/>
      <c r="AC289" s="45"/>
    </row>
    <row r="290" spans="2:29" s="79" customFormat="1" ht="21.75" hidden="1" customHeight="1">
      <c r="B290" s="466">
        <v>46094</v>
      </c>
      <c r="C290" s="377" t="str">
        <f t="shared" si="4"/>
        <v>Março</v>
      </c>
      <c r="D290" s="378" t="s">
        <v>508</v>
      </c>
      <c r="E290" s="379" t="s">
        <v>497</v>
      </c>
      <c r="F290" s="380" t="s">
        <v>534</v>
      </c>
      <c r="G290" s="19" t="s">
        <v>983</v>
      </c>
      <c r="H290" s="378" t="s">
        <v>984</v>
      </c>
      <c r="I290" s="342" t="s">
        <v>858</v>
      </c>
      <c r="J290" s="176" t="s">
        <v>1182</v>
      </c>
      <c r="K290" s="384" t="s">
        <v>131</v>
      </c>
      <c r="L290" s="342" t="s">
        <v>137</v>
      </c>
      <c r="M290" s="71" t="s">
        <v>730</v>
      </c>
      <c r="N290" s="80" t="s">
        <v>135</v>
      </c>
      <c r="O290" s="390">
        <v>-804</v>
      </c>
      <c r="P290" s="75"/>
      <c r="R290" s="246"/>
      <c r="Y290" s="45"/>
      <c r="AC290" s="45"/>
    </row>
    <row r="291" spans="2:29" s="79" customFormat="1" ht="21.75" hidden="1" customHeight="1">
      <c r="B291" s="376">
        <v>46094</v>
      </c>
      <c r="C291" s="377" t="str">
        <f t="shared" si="4"/>
        <v>Março</v>
      </c>
      <c r="D291" s="378" t="s">
        <v>386</v>
      </c>
      <c r="E291" s="379" t="s">
        <v>468</v>
      </c>
      <c r="F291" s="380" t="s">
        <v>131</v>
      </c>
      <c r="G291" s="342" t="s">
        <v>480</v>
      </c>
      <c r="H291" s="378" t="s">
        <v>1008</v>
      </c>
      <c r="I291" s="342" t="s">
        <v>131</v>
      </c>
      <c r="J291" s="112" t="s">
        <v>131</v>
      </c>
      <c r="K291" s="343" t="s">
        <v>131</v>
      </c>
      <c r="L291" s="342" t="s">
        <v>131</v>
      </c>
      <c r="M291" s="342" t="s">
        <v>730</v>
      </c>
      <c r="N291" s="381" t="s">
        <v>586</v>
      </c>
      <c r="O291" s="295">
        <v>1498.87</v>
      </c>
      <c r="P291" s="75"/>
      <c r="R291" s="246"/>
      <c r="Y291" s="45"/>
      <c r="AC291" s="45"/>
    </row>
    <row r="292" spans="2:29" s="79" customFormat="1" ht="21.75" hidden="1" customHeight="1">
      <c r="B292" s="68">
        <v>46094</v>
      </c>
      <c r="C292" s="69" t="str">
        <f t="shared" si="4"/>
        <v>Março</v>
      </c>
      <c r="D292" s="77" t="s">
        <v>300</v>
      </c>
      <c r="E292" s="72" t="s">
        <v>433</v>
      </c>
      <c r="F292" s="70" t="s">
        <v>136</v>
      </c>
      <c r="G292" s="19" t="s">
        <v>142</v>
      </c>
      <c r="H292" s="369" t="s">
        <v>155</v>
      </c>
      <c r="I292" s="71" t="s">
        <v>131</v>
      </c>
      <c r="J292" s="342" t="s">
        <v>1203</v>
      </c>
      <c r="K292" s="112" t="s">
        <v>131</v>
      </c>
      <c r="L292" s="71" t="s">
        <v>137</v>
      </c>
      <c r="M292" s="71" t="s">
        <v>735</v>
      </c>
      <c r="N292" s="80" t="s">
        <v>135</v>
      </c>
      <c r="O292" s="295">
        <f>-425.6-312.5</f>
        <v>-738.1</v>
      </c>
      <c r="P292" s="75"/>
      <c r="R292" s="246"/>
      <c r="Y292" s="45"/>
      <c r="AC292" s="45"/>
    </row>
    <row r="293" spans="2:29" s="79" customFormat="1" ht="21.75" hidden="1" customHeight="1">
      <c r="B293" s="68">
        <v>46096</v>
      </c>
      <c r="C293" s="69" t="str">
        <f t="shared" si="4"/>
        <v>Março</v>
      </c>
      <c r="D293" s="77" t="s">
        <v>298</v>
      </c>
      <c r="E293" s="72" t="s">
        <v>440</v>
      </c>
      <c r="F293" s="70" t="s">
        <v>136</v>
      </c>
      <c r="G293" s="19" t="s">
        <v>425</v>
      </c>
      <c r="H293" s="369" t="s">
        <v>251</v>
      </c>
      <c r="I293" s="71" t="s">
        <v>131</v>
      </c>
      <c r="J293" s="112" t="s">
        <v>131</v>
      </c>
      <c r="K293" s="112" t="s">
        <v>275</v>
      </c>
      <c r="L293" s="71" t="s">
        <v>1046</v>
      </c>
      <c r="M293" s="71" t="s">
        <v>735</v>
      </c>
      <c r="N293" s="80" t="s">
        <v>135</v>
      </c>
      <c r="O293" s="295">
        <v>-24.16</v>
      </c>
      <c r="P293" s="75"/>
      <c r="R293" s="246"/>
      <c r="Y293" s="45"/>
      <c r="AC293" s="45"/>
    </row>
    <row r="294" spans="2:29" s="79" customFormat="1" ht="21.75" hidden="1" customHeight="1">
      <c r="B294" s="68">
        <v>46096</v>
      </c>
      <c r="C294" s="69" t="str">
        <f t="shared" si="4"/>
        <v>Março</v>
      </c>
      <c r="D294" s="77" t="s">
        <v>387</v>
      </c>
      <c r="E294" s="72" t="s">
        <v>467</v>
      </c>
      <c r="F294" s="70" t="s">
        <v>136</v>
      </c>
      <c r="G294" s="19" t="s">
        <v>426</v>
      </c>
      <c r="H294" s="369" t="s">
        <v>1223</v>
      </c>
      <c r="I294" s="71" t="s">
        <v>131</v>
      </c>
      <c r="J294" s="342" t="s">
        <v>131</v>
      </c>
      <c r="K294" s="112" t="s">
        <v>131</v>
      </c>
      <c r="L294" s="71" t="s">
        <v>1046</v>
      </c>
      <c r="M294" s="71" t="s">
        <v>735</v>
      </c>
      <c r="N294" s="80" t="s">
        <v>144</v>
      </c>
      <c r="O294" s="295">
        <v>333.09</v>
      </c>
      <c r="P294" s="75"/>
      <c r="R294" s="246"/>
      <c r="Y294" s="45"/>
      <c r="AC294" s="45"/>
    </row>
    <row r="295" spans="2:29" s="79" customFormat="1" ht="21.75" hidden="1" customHeight="1">
      <c r="B295" s="68">
        <v>46096</v>
      </c>
      <c r="C295" s="69" t="str">
        <f t="shared" si="4"/>
        <v>Março</v>
      </c>
      <c r="D295" s="77" t="s">
        <v>298</v>
      </c>
      <c r="E295" s="72" t="s">
        <v>440</v>
      </c>
      <c r="F295" s="70" t="s">
        <v>136</v>
      </c>
      <c r="G295" s="19" t="s">
        <v>1161</v>
      </c>
      <c r="H295" s="369" t="s">
        <v>1160</v>
      </c>
      <c r="I295" s="71" t="s">
        <v>131</v>
      </c>
      <c r="J295" s="112" t="s">
        <v>131</v>
      </c>
      <c r="K295" s="112" t="s">
        <v>131</v>
      </c>
      <c r="L295" s="71" t="s">
        <v>1046</v>
      </c>
      <c r="M295" s="71" t="s">
        <v>735</v>
      </c>
      <c r="N295" s="80" t="s">
        <v>135</v>
      </c>
      <c r="O295" s="295">
        <v>-60</v>
      </c>
      <c r="P295" s="75"/>
      <c r="R295" s="246"/>
      <c r="Y295" s="45"/>
      <c r="AC295" s="45"/>
    </row>
    <row r="296" spans="2:29" s="79" customFormat="1" ht="21.75" hidden="1" customHeight="1">
      <c r="B296" s="68">
        <v>46096</v>
      </c>
      <c r="C296" s="69" t="str">
        <f t="shared" si="4"/>
        <v>Março</v>
      </c>
      <c r="D296" s="77" t="s">
        <v>299</v>
      </c>
      <c r="E296" s="72" t="s">
        <v>303</v>
      </c>
      <c r="F296" s="70" t="s">
        <v>136</v>
      </c>
      <c r="G296" s="19" t="s">
        <v>1157</v>
      </c>
      <c r="H296" s="369" t="s">
        <v>1158</v>
      </c>
      <c r="I296" s="71" t="s">
        <v>131</v>
      </c>
      <c r="J296" s="112" t="s">
        <v>1159</v>
      </c>
      <c r="K296" s="112" t="s">
        <v>131</v>
      </c>
      <c r="L296" s="71" t="s">
        <v>1046</v>
      </c>
      <c r="M296" s="71" t="s">
        <v>735</v>
      </c>
      <c r="N296" s="80" t="s">
        <v>135</v>
      </c>
      <c r="O296" s="295">
        <v>-150</v>
      </c>
      <c r="P296" s="75"/>
      <c r="R296" s="246"/>
      <c r="Y296" s="45"/>
      <c r="AC296" s="45"/>
    </row>
    <row r="297" spans="2:29" s="79" customFormat="1" ht="21.75" hidden="1" customHeight="1">
      <c r="B297" s="68">
        <v>46096</v>
      </c>
      <c r="C297" s="69" t="str">
        <f t="shared" si="4"/>
        <v>Março</v>
      </c>
      <c r="D297" s="77" t="s">
        <v>298</v>
      </c>
      <c r="E297" s="72" t="s">
        <v>440</v>
      </c>
      <c r="F297" s="70" t="s">
        <v>136</v>
      </c>
      <c r="G297" s="19" t="s">
        <v>426</v>
      </c>
      <c r="H297" s="369" t="s">
        <v>252</v>
      </c>
      <c r="I297" s="71" t="s">
        <v>131</v>
      </c>
      <c r="J297" s="342" t="s">
        <v>1014</v>
      </c>
      <c r="K297" s="112" t="s">
        <v>255</v>
      </c>
      <c r="L297" s="71" t="s">
        <v>1046</v>
      </c>
      <c r="M297" s="71" t="s">
        <v>735</v>
      </c>
      <c r="N297" s="80" t="s">
        <v>135</v>
      </c>
      <c r="O297" s="295">
        <v>-398.91</v>
      </c>
      <c r="P297" s="75"/>
      <c r="R297" s="246"/>
      <c r="Y297" s="45"/>
      <c r="AC297" s="45"/>
    </row>
    <row r="298" spans="2:29" s="79" customFormat="1" ht="21.75" hidden="1" customHeight="1">
      <c r="B298" s="68">
        <v>46096</v>
      </c>
      <c r="C298" s="69" t="str">
        <f t="shared" si="4"/>
        <v>Março</v>
      </c>
      <c r="D298" s="77" t="s">
        <v>300</v>
      </c>
      <c r="E298" s="72" t="s">
        <v>432</v>
      </c>
      <c r="F298" s="70" t="s">
        <v>136</v>
      </c>
      <c r="G298" s="71" t="s">
        <v>434</v>
      </c>
      <c r="H298" s="77" t="s">
        <v>154</v>
      </c>
      <c r="I298" s="71" t="s">
        <v>131</v>
      </c>
      <c r="J298" s="112" t="s">
        <v>1225</v>
      </c>
      <c r="K298" s="71" t="s">
        <v>131</v>
      </c>
      <c r="L298" s="71" t="s">
        <v>1046</v>
      </c>
      <c r="M298" s="71" t="s">
        <v>735</v>
      </c>
      <c r="N298" s="80" t="s">
        <v>135</v>
      </c>
      <c r="O298" s="295">
        <v>-235.52</v>
      </c>
      <c r="P298" s="75"/>
      <c r="R298" s="246"/>
      <c r="Y298" s="45"/>
      <c r="AC298" s="45"/>
    </row>
    <row r="299" spans="2:29" s="79" customFormat="1" ht="21.75" hidden="1" customHeight="1">
      <c r="B299" s="376">
        <v>46096</v>
      </c>
      <c r="C299" s="377" t="str">
        <f t="shared" si="4"/>
        <v>Março</v>
      </c>
      <c r="D299" s="378" t="s">
        <v>300</v>
      </c>
      <c r="E299" s="379" t="s">
        <v>478</v>
      </c>
      <c r="F299" s="380" t="s">
        <v>136</v>
      </c>
      <c r="G299" s="342" t="s">
        <v>948</v>
      </c>
      <c r="H299" s="378" t="s">
        <v>949</v>
      </c>
      <c r="I299" s="342" t="s">
        <v>131</v>
      </c>
      <c r="J299" s="372" t="s">
        <v>1196</v>
      </c>
      <c r="K299" s="342" t="s">
        <v>131</v>
      </c>
      <c r="L299" s="342" t="s">
        <v>1046</v>
      </c>
      <c r="M299" s="342" t="s">
        <v>735</v>
      </c>
      <c r="N299" s="80" t="s">
        <v>135</v>
      </c>
      <c r="O299" s="295">
        <v>-129</v>
      </c>
      <c r="P299" s="75"/>
      <c r="R299" s="246"/>
      <c r="Y299" s="45"/>
      <c r="AC299" s="45"/>
    </row>
    <row r="300" spans="2:29" s="79" customFormat="1" ht="21.75" hidden="1" customHeight="1">
      <c r="B300" s="68">
        <v>46097</v>
      </c>
      <c r="C300" s="69" t="str">
        <f t="shared" si="4"/>
        <v>Março</v>
      </c>
      <c r="D300" s="77" t="s">
        <v>508</v>
      </c>
      <c r="E300" s="72" t="s">
        <v>497</v>
      </c>
      <c r="F300" s="70" t="s">
        <v>534</v>
      </c>
      <c r="G300" s="19" t="s">
        <v>184</v>
      </c>
      <c r="H300" s="369" t="s">
        <v>1168</v>
      </c>
      <c r="I300" s="71" t="s">
        <v>595</v>
      </c>
      <c r="J300" s="389" t="s">
        <v>1169</v>
      </c>
      <c r="K300" s="19" t="s">
        <v>131</v>
      </c>
      <c r="L300" s="71" t="s">
        <v>137</v>
      </c>
      <c r="M300" s="71" t="s">
        <v>730</v>
      </c>
      <c r="N300" s="381" t="s">
        <v>135</v>
      </c>
      <c r="O300" s="295">
        <v>-223.5</v>
      </c>
      <c r="P300" s="75"/>
      <c r="R300" s="246"/>
      <c r="Y300" s="45"/>
      <c r="AC300" s="45"/>
    </row>
    <row r="301" spans="2:29" s="79" customFormat="1" ht="21.75" hidden="1" customHeight="1">
      <c r="B301" s="68">
        <v>46097</v>
      </c>
      <c r="C301" s="69" t="str">
        <f t="shared" si="4"/>
        <v>Março</v>
      </c>
      <c r="D301" s="77" t="s">
        <v>508</v>
      </c>
      <c r="E301" s="72" t="s">
        <v>497</v>
      </c>
      <c r="F301" s="70" t="s">
        <v>534</v>
      </c>
      <c r="G301" s="71" t="s">
        <v>998</v>
      </c>
      <c r="H301" s="77" t="s">
        <v>1216</v>
      </c>
      <c r="I301" s="71" t="s">
        <v>595</v>
      </c>
      <c r="J301" s="393" t="s">
        <v>1016</v>
      </c>
      <c r="K301" s="78" t="s">
        <v>287</v>
      </c>
      <c r="L301" s="71" t="s">
        <v>1046</v>
      </c>
      <c r="M301" s="71" t="s">
        <v>730</v>
      </c>
      <c r="N301" s="80" t="s">
        <v>135</v>
      </c>
      <c r="O301" s="295">
        <v>-361.37</v>
      </c>
      <c r="P301" s="75"/>
      <c r="R301" s="246"/>
      <c r="Y301" s="45"/>
      <c r="AC301" s="45"/>
    </row>
    <row r="302" spans="2:29" s="79" customFormat="1" ht="21.75" hidden="1" customHeight="1">
      <c r="B302" s="68">
        <v>46097</v>
      </c>
      <c r="C302" s="69" t="str">
        <f t="shared" si="4"/>
        <v>Março</v>
      </c>
      <c r="D302" s="77" t="s">
        <v>508</v>
      </c>
      <c r="E302" s="72" t="s">
        <v>497</v>
      </c>
      <c r="F302" s="70" t="s">
        <v>534</v>
      </c>
      <c r="G302" s="71" t="s">
        <v>998</v>
      </c>
      <c r="H302" s="77" t="s">
        <v>1005</v>
      </c>
      <c r="I302" s="71" t="s">
        <v>595</v>
      </c>
      <c r="J302" s="393" t="s">
        <v>999</v>
      </c>
      <c r="K302" s="78" t="s">
        <v>287</v>
      </c>
      <c r="L302" s="71" t="s">
        <v>1046</v>
      </c>
      <c r="M302" s="71" t="s">
        <v>730</v>
      </c>
      <c r="N302" s="80" t="s">
        <v>135</v>
      </c>
      <c r="O302" s="295">
        <v>-940</v>
      </c>
      <c r="P302" s="75"/>
      <c r="R302" s="246"/>
      <c r="Y302" s="45"/>
      <c r="AC302" s="45"/>
    </row>
    <row r="303" spans="2:29" s="79" customFormat="1" ht="21.75" hidden="1" customHeight="1">
      <c r="B303" s="68">
        <v>46097</v>
      </c>
      <c r="C303" s="69" t="str">
        <f t="shared" si="4"/>
        <v>Março</v>
      </c>
      <c r="D303" s="77" t="s">
        <v>508</v>
      </c>
      <c r="E303" s="72" t="s">
        <v>497</v>
      </c>
      <c r="F303" s="70" t="s">
        <v>534</v>
      </c>
      <c r="G303" s="71" t="s">
        <v>1184</v>
      </c>
      <c r="H303" s="77" t="s">
        <v>1185</v>
      </c>
      <c r="I303" s="71" t="s">
        <v>595</v>
      </c>
      <c r="J303" s="393" t="s">
        <v>1186</v>
      </c>
      <c r="K303" s="78" t="s">
        <v>131</v>
      </c>
      <c r="L303" s="71" t="s">
        <v>1046</v>
      </c>
      <c r="M303" s="71" t="s">
        <v>730</v>
      </c>
      <c r="N303" s="80" t="s">
        <v>135</v>
      </c>
      <c r="O303" s="295">
        <v>-197.5</v>
      </c>
      <c r="P303" s="75"/>
      <c r="R303" s="246"/>
      <c r="Y303" s="45"/>
      <c r="AC303" s="45"/>
    </row>
    <row r="304" spans="2:29" s="79" customFormat="1" ht="21.75" hidden="1" customHeight="1">
      <c r="B304" s="376">
        <v>46097</v>
      </c>
      <c r="C304" s="377" t="str">
        <f t="shared" si="4"/>
        <v>Março</v>
      </c>
      <c r="D304" s="378" t="s">
        <v>386</v>
      </c>
      <c r="E304" s="379" t="s">
        <v>468</v>
      </c>
      <c r="F304" s="380" t="s">
        <v>131</v>
      </c>
      <c r="G304" s="342" t="s">
        <v>480</v>
      </c>
      <c r="H304" s="378" t="s">
        <v>1008</v>
      </c>
      <c r="I304" s="342" t="s">
        <v>131</v>
      </c>
      <c r="J304" s="112" t="s">
        <v>131</v>
      </c>
      <c r="K304" s="343" t="s">
        <v>131</v>
      </c>
      <c r="L304" s="342" t="s">
        <v>131</v>
      </c>
      <c r="M304" s="342" t="s">
        <v>730</v>
      </c>
      <c r="N304" s="381" t="s">
        <v>586</v>
      </c>
      <c r="O304" s="390">
        <v>180.89</v>
      </c>
      <c r="P304" s="75"/>
      <c r="R304" s="246"/>
      <c r="Y304" s="45"/>
      <c r="AC304" s="45"/>
    </row>
    <row r="305" spans="2:29" s="79" customFormat="1" ht="21.75" hidden="1" customHeight="1">
      <c r="B305" s="376">
        <v>46098</v>
      </c>
      <c r="C305" s="377" t="str">
        <f t="shared" si="4"/>
        <v>Março</v>
      </c>
      <c r="D305" s="378" t="s">
        <v>508</v>
      </c>
      <c r="E305" s="379" t="s">
        <v>497</v>
      </c>
      <c r="F305" s="380" t="s">
        <v>534</v>
      </c>
      <c r="G305" s="19" t="s">
        <v>853</v>
      </c>
      <c r="H305" s="369" t="s">
        <v>854</v>
      </c>
      <c r="I305" s="342" t="s">
        <v>595</v>
      </c>
      <c r="J305" s="112" t="s">
        <v>1106</v>
      </c>
      <c r="K305" s="112" t="s">
        <v>131</v>
      </c>
      <c r="L305" s="342" t="s">
        <v>137</v>
      </c>
      <c r="M305" s="71" t="s">
        <v>730</v>
      </c>
      <c r="N305" s="80" t="s">
        <v>135</v>
      </c>
      <c r="O305" s="295">
        <v>-180.89</v>
      </c>
      <c r="P305" s="75"/>
      <c r="R305" s="246"/>
      <c r="Y305" s="45"/>
      <c r="AC305" s="45"/>
    </row>
    <row r="306" spans="2:29" s="79" customFormat="1" ht="21.75" hidden="1" customHeight="1">
      <c r="B306" s="376">
        <v>46099</v>
      </c>
      <c r="C306" s="377" t="str">
        <f t="shared" si="4"/>
        <v>Março</v>
      </c>
      <c r="D306" s="378" t="s">
        <v>300</v>
      </c>
      <c r="E306" s="379" t="s">
        <v>478</v>
      </c>
      <c r="F306" s="380" t="s">
        <v>136</v>
      </c>
      <c r="G306" s="19" t="s">
        <v>1109</v>
      </c>
      <c r="H306" s="369" t="s">
        <v>1110</v>
      </c>
      <c r="I306" s="342" t="s">
        <v>131</v>
      </c>
      <c r="J306" s="112" t="s">
        <v>1111</v>
      </c>
      <c r="K306" s="112" t="s">
        <v>131</v>
      </c>
      <c r="L306" s="342" t="s">
        <v>137</v>
      </c>
      <c r="M306" s="342" t="s">
        <v>735</v>
      </c>
      <c r="N306" s="381" t="s">
        <v>135</v>
      </c>
      <c r="O306" s="295">
        <v>-655</v>
      </c>
      <c r="P306" s="75"/>
      <c r="R306" s="246"/>
      <c r="Y306" s="45"/>
      <c r="AC306" s="45"/>
    </row>
    <row r="307" spans="2:29" s="79" customFormat="1" ht="21.75" hidden="1" customHeight="1">
      <c r="B307" s="376">
        <v>46099</v>
      </c>
      <c r="C307" s="377" t="str">
        <f t="shared" si="4"/>
        <v>Março</v>
      </c>
      <c r="D307" s="378" t="s">
        <v>386</v>
      </c>
      <c r="E307" s="379" t="s">
        <v>468</v>
      </c>
      <c r="F307" s="380" t="s">
        <v>131</v>
      </c>
      <c r="G307" s="342" t="s">
        <v>480</v>
      </c>
      <c r="H307" s="378" t="s">
        <v>1008</v>
      </c>
      <c r="I307" s="342" t="s">
        <v>131</v>
      </c>
      <c r="J307" s="112" t="s">
        <v>131</v>
      </c>
      <c r="K307" s="343" t="s">
        <v>131</v>
      </c>
      <c r="L307" s="342" t="s">
        <v>131</v>
      </c>
      <c r="M307" s="71" t="s">
        <v>730</v>
      </c>
      <c r="N307" s="381" t="s">
        <v>586</v>
      </c>
      <c r="O307" s="390">
        <v>890.88</v>
      </c>
      <c r="P307" s="75"/>
      <c r="R307" s="246"/>
      <c r="Y307" s="45"/>
      <c r="AC307" s="45"/>
    </row>
    <row r="308" spans="2:29" s="79" customFormat="1" ht="21.75" hidden="1" customHeight="1">
      <c r="B308" s="376">
        <v>46100</v>
      </c>
      <c r="C308" s="377" t="str">
        <f t="shared" si="4"/>
        <v>Março</v>
      </c>
      <c r="D308" s="378" t="s">
        <v>386</v>
      </c>
      <c r="E308" s="379" t="s">
        <v>468</v>
      </c>
      <c r="F308" s="380" t="s">
        <v>131</v>
      </c>
      <c r="G308" s="342" t="s">
        <v>480</v>
      </c>
      <c r="H308" s="378" t="s">
        <v>1008</v>
      </c>
      <c r="I308" s="342" t="s">
        <v>131</v>
      </c>
      <c r="J308" s="112" t="s">
        <v>131</v>
      </c>
      <c r="K308" s="343" t="s">
        <v>131</v>
      </c>
      <c r="L308" s="342" t="s">
        <v>131</v>
      </c>
      <c r="M308" s="71" t="s">
        <v>730</v>
      </c>
      <c r="N308" s="381" t="s">
        <v>586</v>
      </c>
      <c r="O308" s="295">
        <v>2511.41</v>
      </c>
      <c r="P308" s="75"/>
      <c r="R308" s="246"/>
      <c r="Y308" s="45"/>
      <c r="AC308" s="45"/>
    </row>
    <row r="309" spans="2:29" s="79" customFormat="1" ht="21.75" hidden="1" customHeight="1">
      <c r="B309" s="68">
        <v>46100</v>
      </c>
      <c r="C309" s="69" t="str">
        <f t="shared" si="4"/>
        <v>Março</v>
      </c>
      <c r="D309" s="77" t="s">
        <v>508</v>
      </c>
      <c r="E309" s="72" t="s">
        <v>497</v>
      </c>
      <c r="F309" s="70" t="s">
        <v>534</v>
      </c>
      <c r="G309" s="71" t="s">
        <v>702</v>
      </c>
      <c r="H309" s="77" t="s">
        <v>703</v>
      </c>
      <c r="I309" s="71" t="s">
        <v>595</v>
      </c>
      <c r="J309" s="366" t="s">
        <v>1120</v>
      </c>
      <c r="K309" s="78" t="s">
        <v>272</v>
      </c>
      <c r="L309" s="71" t="s">
        <v>137</v>
      </c>
      <c r="M309" s="71" t="s">
        <v>730</v>
      </c>
      <c r="N309" s="80" t="s">
        <v>135</v>
      </c>
      <c r="O309" s="295">
        <v>-890.88</v>
      </c>
      <c r="P309" s="75"/>
      <c r="R309" s="246"/>
      <c r="Y309" s="45"/>
      <c r="AC309" s="45"/>
    </row>
    <row r="310" spans="2:29" s="79" customFormat="1" ht="21.75" hidden="1" customHeight="1">
      <c r="B310" s="376">
        <v>46100</v>
      </c>
      <c r="C310" s="377" t="str">
        <f t="shared" si="4"/>
        <v>Março</v>
      </c>
      <c r="D310" s="378" t="s">
        <v>386</v>
      </c>
      <c r="E310" s="379" t="s">
        <v>468</v>
      </c>
      <c r="F310" s="380" t="s">
        <v>131</v>
      </c>
      <c r="G310" s="342" t="s">
        <v>480</v>
      </c>
      <c r="H310" s="72" t="s">
        <v>1008</v>
      </c>
      <c r="I310" s="342" t="s">
        <v>131</v>
      </c>
      <c r="J310" s="112" t="s">
        <v>131</v>
      </c>
      <c r="K310" s="343" t="s">
        <v>131</v>
      </c>
      <c r="L310" s="342" t="s">
        <v>131</v>
      </c>
      <c r="M310" s="71" t="s">
        <v>730</v>
      </c>
      <c r="N310" s="381" t="s">
        <v>586</v>
      </c>
      <c r="O310" s="295">
        <v>2850</v>
      </c>
      <c r="P310" s="75"/>
      <c r="R310" s="246"/>
      <c r="Y310" s="45"/>
      <c r="AC310" s="45"/>
    </row>
    <row r="311" spans="2:29" s="79" customFormat="1" ht="21.75" hidden="1" customHeight="1">
      <c r="B311" s="376">
        <v>46101</v>
      </c>
      <c r="C311" s="377" t="str">
        <f t="shared" si="4"/>
        <v>Março</v>
      </c>
      <c r="D311" s="378" t="s">
        <v>386</v>
      </c>
      <c r="E311" s="379" t="s">
        <v>468</v>
      </c>
      <c r="F311" s="380" t="s">
        <v>131</v>
      </c>
      <c r="G311" s="342" t="s">
        <v>480</v>
      </c>
      <c r="H311" s="378" t="s">
        <v>1008</v>
      </c>
      <c r="I311" s="342" t="s">
        <v>131</v>
      </c>
      <c r="J311" s="112" t="s">
        <v>131</v>
      </c>
      <c r="K311" s="343" t="s">
        <v>131</v>
      </c>
      <c r="L311" s="342" t="s">
        <v>131</v>
      </c>
      <c r="M311" s="71" t="s">
        <v>730</v>
      </c>
      <c r="N311" s="381" t="s">
        <v>586</v>
      </c>
      <c r="O311" s="295">
        <v>1301.24</v>
      </c>
      <c r="P311" s="75"/>
      <c r="R311"/>
      <c r="S311"/>
      <c r="Y311" s="45"/>
      <c r="AC311" s="45"/>
    </row>
    <row r="312" spans="2:29" s="79" customFormat="1" ht="21.75" hidden="1" customHeight="1">
      <c r="B312" s="376">
        <v>46101</v>
      </c>
      <c r="C312" s="377" t="str">
        <f t="shared" si="4"/>
        <v>Março</v>
      </c>
      <c r="D312" s="378" t="s">
        <v>386</v>
      </c>
      <c r="E312" s="379" t="s">
        <v>468</v>
      </c>
      <c r="F312" s="380" t="s">
        <v>131</v>
      </c>
      <c r="G312" s="342" t="s">
        <v>480</v>
      </c>
      <c r="H312" s="378" t="s">
        <v>1008</v>
      </c>
      <c r="I312" s="342" t="s">
        <v>131</v>
      </c>
      <c r="J312" s="112" t="s">
        <v>131</v>
      </c>
      <c r="K312" s="343" t="s">
        <v>131</v>
      </c>
      <c r="L312" s="342" t="s">
        <v>131</v>
      </c>
      <c r="M312" s="71" t="s">
        <v>730</v>
      </c>
      <c r="N312" s="381" t="s">
        <v>586</v>
      </c>
      <c r="O312" s="295">
        <v>9500.52</v>
      </c>
      <c r="P312" s="75"/>
      <c r="R312"/>
      <c r="S312"/>
      <c r="Y312" s="45"/>
      <c r="AC312" s="45"/>
    </row>
    <row r="313" spans="2:29" s="79" customFormat="1" ht="21.75" hidden="1" customHeight="1">
      <c r="B313" s="376">
        <v>46101</v>
      </c>
      <c r="C313" s="377" t="str">
        <f t="shared" si="4"/>
        <v>Março</v>
      </c>
      <c r="D313" s="378" t="s">
        <v>508</v>
      </c>
      <c r="E313" s="379" t="s">
        <v>497</v>
      </c>
      <c r="F313" s="380" t="s">
        <v>534</v>
      </c>
      <c r="G313" s="342" t="s">
        <v>1250</v>
      </c>
      <c r="H313" s="369" t="s">
        <v>1316</v>
      </c>
      <c r="I313" s="342" t="s">
        <v>595</v>
      </c>
      <c r="J313" s="366" t="s">
        <v>1255</v>
      </c>
      <c r="K313" s="343" t="s">
        <v>131</v>
      </c>
      <c r="L313" s="342" t="s">
        <v>134</v>
      </c>
      <c r="M313" s="71" t="s">
        <v>730</v>
      </c>
      <c r="N313" s="381" t="s">
        <v>135</v>
      </c>
      <c r="O313" s="295">
        <v>-9500.52</v>
      </c>
      <c r="P313" s="75"/>
      <c r="R313" s="246"/>
      <c r="Y313" s="45"/>
      <c r="AC313" s="45"/>
    </row>
    <row r="314" spans="2:29" s="79" customFormat="1" ht="21.75" hidden="1" customHeight="1">
      <c r="B314" s="376">
        <v>46101</v>
      </c>
      <c r="C314" s="377" t="str">
        <f t="shared" si="4"/>
        <v>Março</v>
      </c>
      <c r="D314" s="378" t="s">
        <v>386</v>
      </c>
      <c r="E314" s="379" t="s">
        <v>468</v>
      </c>
      <c r="F314" s="380" t="s">
        <v>131</v>
      </c>
      <c r="G314" s="342" t="s">
        <v>480</v>
      </c>
      <c r="H314" s="378" t="s">
        <v>1008</v>
      </c>
      <c r="I314" s="342" t="s">
        <v>131</v>
      </c>
      <c r="J314" s="112" t="s">
        <v>131</v>
      </c>
      <c r="K314" s="343" t="s">
        <v>131</v>
      </c>
      <c r="L314" s="342" t="s">
        <v>131</v>
      </c>
      <c r="M314" s="71" t="s">
        <v>730</v>
      </c>
      <c r="N314" s="381" t="s">
        <v>586</v>
      </c>
      <c r="O314" s="295">
        <v>12200</v>
      </c>
      <c r="P314" s="75"/>
      <c r="R314" s="246"/>
      <c r="Y314" s="45"/>
      <c r="AC314" s="45"/>
    </row>
    <row r="315" spans="2:29" s="79" customFormat="1" ht="21.75" hidden="1" customHeight="1">
      <c r="B315" s="68">
        <v>46101</v>
      </c>
      <c r="C315" s="69" t="str">
        <f t="shared" si="4"/>
        <v>Março</v>
      </c>
      <c r="D315" s="77" t="s">
        <v>508</v>
      </c>
      <c r="E315" s="72" t="s">
        <v>497</v>
      </c>
      <c r="F315" s="70" t="s">
        <v>534</v>
      </c>
      <c r="G315" s="19" t="s">
        <v>1029</v>
      </c>
      <c r="H315" s="369" t="s">
        <v>1030</v>
      </c>
      <c r="I315" s="71" t="s">
        <v>595</v>
      </c>
      <c r="J315" s="343" t="s">
        <v>1032</v>
      </c>
      <c r="K315" s="112" t="s">
        <v>286</v>
      </c>
      <c r="L315" s="71" t="s">
        <v>137</v>
      </c>
      <c r="M315" s="71" t="s">
        <v>730</v>
      </c>
      <c r="N315" s="80" t="s">
        <v>135</v>
      </c>
      <c r="O315" s="295">
        <v>-2511.41</v>
      </c>
      <c r="P315" s="75"/>
      <c r="R315"/>
      <c r="S315"/>
      <c r="Y315" s="45"/>
      <c r="AC315" s="45"/>
    </row>
    <row r="316" spans="2:29" s="79" customFormat="1" ht="21.75" hidden="1" customHeight="1">
      <c r="B316" s="68">
        <v>46101</v>
      </c>
      <c r="C316" s="69" t="str">
        <f t="shared" si="4"/>
        <v>Março</v>
      </c>
      <c r="D316" s="77" t="s">
        <v>508</v>
      </c>
      <c r="E316" s="72" t="s">
        <v>497</v>
      </c>
      <c r="F316" s="70" t="s">
        <v>534</v>
      </c>
      <c r="G316" s="71" t="s">
        <v>702</v>
      </c>
      <c r="H316" s="77" t="s">
        <v>703</v>
      </c>
      <c r="I316" s="71" t="s">
        <v>595</v>
      </c>
      <c r="J316" s="366" t="s">
        <v>721</v>
      </c>
      <c r="K316" s="73" t="s">
        <v>783</v>
      </c>
      <c r="L316" s="71" t="s">
        <v>137</v>
      </c>
      <c r="M316" s="71" t="s">
        <v>730</v>
      </c>
      <c r="N316" s="80" t="s">
        <v>135</v>
      </c>
      <c r="O316" s="295">
        <v>-2850</v>
      </c>
      <c r="P316" s="75"/>
      <c r="Y316" s="45"/>
      <c r="AC316" s="45"/>
    </row>
    <row r="317" spans="2:29" s="465" customFormat="1" ht="21.75" hidden="1" customHeight="1">
      <c r="B317" s="376">
        <v>46101</v>
      </c>
      <c r="C317" s="377" t="str">
        <f t="shared" si="4"/>
        <v>Março</v>
      </c>
      <c r="D317" s="378" t="s">
        <v>300</v>
      </c>
      <c r="E317" s="379" t="s">
        <v>477</v>
      </c>
      <c r="F317" s="380" t="s">
        <v>136</v>
      </c>
      <c r="G317" s="342" t="s">
        <v>1123</v>
      </c>
      <c r="H317" s="378" t="s">
        <v>1124</v>
      </c>
      <c r="I317" s="342" t="s">
        <v>131</v>
      </c>
      <c r="J317" s="343" t="s">
        <v>1125</v>
      </c>
      <c r="K317" s="342" t="s">
        <v>131</v>
      </c>
      <c r="L317" s="342" t="s">
        <v>137</v>
      </c>
      <c r="M317" s="342" t="s">
        <v>735</v>
      </c>
      <c r="N317" s="80" t="s">
        <v>135</v>
      </c>
      <c r="O317" s="295">
        <v>-1560</v>
      </c>
      <c r="P317" s="296"/>
      <c r="Y317" s="45"/>
      <c r="AC317" s="45"/>
    </row>
    <row r="318" spans="2:29" s="341" customFormat="1" ht="21.75" hidden="1" customHeight="1">
      <c r="B318" s="68">
        <v>46101</v>
      </c>
      <c r="C318" s="69" t="str">
        <f t="shared" si="4"/>
        <v>Março</v>
      </c>
      <c r="D318" s="77" t="s">
        <v>299</v>
      </c>
      <c r="E318" s="72" t="s">
        <v>764</v>
      </c>
      <c r="F318" s="70" t="s">
        <v>138</v>
      </c>
      <c r="G318" s="71" t="s">
        <v>139</v>
      </c>
      <c r="H318" s="77" t="s">
        <v>49</v>
      </c>
      <c r="I318" s="71" t="s">
        <v>131</v>
      </c>
      <c r="J318" s="343" t="s">
        <v>775</v>
      </c>
      <c r="K318" s="71" t="s">
        <v>131</v>
      </c>
      <c r="L318" s="71" t="s">
        <v>150</v>
      </c>
      <c r="M318" s="71" t="s">
        <v>735</v>
      </c>
      <c r="N318" s="80" t="s">
        <v>135</v>
      </c>
      <c r="O318" s="295">
        <v>-400</v>
      </c>
      <c r="P318" s="296"/>
      <c r="Q318"/>
      <c r="R318"/>
      <c r="S318"/>
      <c r="T318"/>
      <c r="U318"/>
      <c r="V318"/>
      <c r="W318"/>
      <c r="X318"/>
      <c r="Y318" s="45"/>
      <c r="AC318" s="45"/>
    </row>
    <row r="319" spans="2:29" s="465" customFormat="1" ht="21.75" hidden="1" customHeight="1">
      <c r="B319" s="68">
        <v>46101</v>
      </c>
      <c r="C319" s="69" t="str">
        <f t="shared" si="4"/>
        <v>Março</v>
      </c>
      <c r="D319" s="77" t="s">
        <v>299</v>
      </c>
      <c r="E319" s="72" t="s">
        <v>764</v>
      </c>
      <c r="F319" s="70" t="s">
        <v>138</v>
      </c>
      <c r="G319" s="71" t="s">
        <v>163</v>
      </c>
      <c r="H319" s="77" t="s">
        <v>50</v>
      </c>
      <c r="I319" s="71" t="s">
        <v>131</v>
      </c>
      <c r="J319" s="343" t="s">
        <v>775</v>
      </c>
      <c r="K319" s="78" t="s">
        <v>131</v>
      </c>
      <c r="L319" s="71" t="s">
        <v>150</v>
      </c>
      <c r="M319" s="71" t="s">
        <v>735</v>
      </c>
      <c r="N319" s="80" t="s">
        <v>135</v>
      </c>
      <c r="O319" s="295">
        <v>-1836.5</v>
      </c>
      <c r="P319" s="296"/>
      <c r="Y319" s="45"/>
      <c r="AC319" s="45"/>
    </row>
    <row r="320" spans="2:29" s="341" customFormat="1" ht="21.75" hidden="1" customHeight="1">
      <c r="B320" s="68">
        <v>46101</v>
      </c>
      <c r="C320" s="69" t="str">
        <f t="shared" si="4"/>
        <v>Março</v>
      </c>
      <c r="D320" s="77" t="s">
        <v>300</v>
      </c>
      <c r="E320" s="72" t="s">
        <v>478</v>
      </c>
      <c r="F320" s="70" t="s">
        <v>136</v>
      </c>
      <c r="G320" s="71" t="s">
        <v>888</v>
      </c>
      <c r="H320" s="72" t="s">
        <v>1107</v>
      </c>
      <c r="I320" s="71" t="s">
        <v>131</v>
      </c>
      <c r="J320" s="366" t="s">
        <v>1108</v>
      </c>
      <c r="K320" s="73" t="s">
        <v>131</v>
      </c>
      <c r="L320" s="71" t="s">
        <v>137</v>
      </c>
      <c r="M320" s="71" t="s">
        <v>735</v>
      </c>
      <c r="N320" s="80" t="s">
        <v>135</v>
      </c>
      <c r="O320" s="295">
        <v>-145.28</v>
      </c>
      <c r="P320" s="296"/>
      <c r="Q320"/>
      <c r="R320"/>
      <c r="S320"/>
      <c r="T320"/>
      <c r="U320"/>
      <c r="V320"/>
      <c r="W320"/>
      <c r="X320"/>
      <c r="Y320" s="45"/>
      <c r="AC320" s="45"/>
    </row>
    <row r="321" spans="2:29" s="341" customFormat="1" ht="21.75" hidden="1" customHeight="1">
      <c r="B321" s="68">
        <v>46101</v>
      </c>
      <c r="C321" s="69" t="str">
        <f t="shared" si="4"/>
        <v>Março</v>
      </c>
      <c r="D321" s="378" t="s">
        <v>299</v>
      </c>
      <c r="E321" s="379" t="s">
        <v>556</v>
      </c>
      <c r="F321" s="70" t="s">
        <v>136</v>
      </c>
      <c r="G321" s="71" t="s">
        <v>539</v>
      </c>
      <c r="H321" s="72" t="s">
        <v>1122</v>
      </c>
      <c r="I321" s="71" t="s">
        <v>131</v>
      </c>
      <c r="J321" s="366" t="s">
        <v>1121</v>
      </c>
      <c r="K321" s="73" t="s">
        <v>131</v>
      </c>
      <c r="L321" s="71" t="s">
        <v>137</v>
      </c>
      <c r="M321" s="71" t="s">
        <v>735</v>
      </c>
      <c r="N321" s="80" t="s">
        <v>135</v>
      </c>
      <c r="O321" s="295">
        <v>-387.03</v>
      </c>
      <c r="P321" s="296"/>
      <c r="Q321"/>
      <c r="R321"/>
      <c r="S321"/>
      <c r="T321"/>
      <c r="U321"/>
      <c r="V321"/>
      <c r="W321"/>
      <c r="X321"/>
      <c r="Y321" s="45"/>
      <c r="AC321" s="45"/>
    </row>
    <row r="322" spans="2:29" s="465" customFormat="1" ht="21.75" hidden="1" customHeight="1">
      <c r="B322" s="68">
        <v>46104</v>
      </c>
      <c r="C322" s="69" t="str">
        <f t="shared" si="4"/>
        <v>Março</v>
      </c>
      <c r="D322" s="77" t="s">
        <v>509</v>
      </c>
      <c r="E322" s="72" t="s">
        <v>500</v>
      </c>
      <c r="F322" s="70" t="s">
        <v>131</v>
      </c>
      <c r="G322" s="71" t="s">
        <v>132</v>
      </c>
      <c r="H322" s="77" t="s">
        <v>133</v>
      </c>
      <c r="I322" s="71" t="s">
        <v>131</v>
      </c>
      <c r="J322" s="343" t="s">
        <v>781</v>
      </c>
      <c r="K322" s="71" t="s">
        <v>131</v>
      </c>
      <c r="L322" s="71" t="s">
        <v>134</v>
      </c>
      <c r="M322" s="71" t="s">
        <v>735</v>
      </c>
      <c r="N322" s="80" t="s">
        <v>265</v>
      </c>
      <c r="O322" s="295">
        <v>-276</v>
      </c>
      <c r="P322" s="296"/>
      <c r="Y322" s="45"/>
      <c r="AC322" s="45"/>
    </row>
    <row r="323" spans="2:29" s="465" customFormat="1" ht="21.75" hidden="1" customHeight="1">
      <c r="B323" s="376">
        <v>46104</v>
      </c>
      <c r="C323" s="377" t="str">
        <f t="shared" si="4"/>
        <v>Março</v>
      </c>
      <c r="D323" s="378" t="s">
        <v>508</v>
      </c>
      <c r="E323" s="379" t="s">
        <v>497</v>
      </c>
      <c r="F323" s="380" t="s">
        <v>534</v>
      </c>
      <c r="G323" s="342" t="s">
        <v>962</v>
      </c>
      <c r="H323" s="369" t="s">
        <v>854</v>
      </c>
      <c r="I323" s="342" t="s">
        <v>595</v>
      </c>
      <c r="J323" s="366" t="s">
        <v>1254</v>
      </c>
      <c r="K323" s="384" t="s">
        <v>131</v>
      </c>
      <c r="L323" s="342" t="s">
        <v>137</v>
      </c>
      <c r="M323" s="71" t="s">
        <v>730</v>
      </c>
      <c r="N323" s="381" t="s">
        <v>135</v>
      </c>
      <c r="O323" s="295">
        <v>-1301.24</v>
      </c>
      <c r="P323" s="296"/>
      <c r="Y323" s="45"/>
      <c r="AC323" s="45"/>
    </row>
    <row r="324" spans="2:29" s="341" customFormat="1" ht="21.75" hidden="1" customHeight="1">
      <c r="B324" s="376">
        <v>46104</v>
      </c>
      <c r="C324" s="377" t="str">
        <f t="shared" si="4"/>
        <v>Março</v>
      </c>
      <c r="D324" s="378" t="s">
        <v>508</v>
      </c>
      <c r="E324" s="379" t="s">
        <v>497</v>
      </c>
      <c r="F324" s="380" t="s">
        <v>534</v>
      </c>
      <c r="G324" s="342" t="s">
        <v>1259</v>
      </c>
      <c r="H324" s="369" t="s">
        <v>1260</v>
      </c>
      <c r="I324" s="342" t="s">
        <v>595</v>
      </c>
      <c r="J324" s="367" t="s">
        <v>209</v>
      </c>
      <c r="K324" s="343" t="s">
        <v>272</v>
      </c>
      <c r="L324" s="342" t="s">
        <v>134</v>
      </c>
      <c r="M324" s="71" t="s">
        <v>730</v>
      </c>
      <c r="N324" s="381" t="s">
        <v>135</v>
      </c>
      <c r="O324" s="295">
        <v>-12200</v>
      </c>
      <c r="P324" s="296"/>
      <c r="Q324"/>
      <c r="R324"/>
      <c r="S324"/>
      <c r="T324"/>
      <c r="U324"/>
      <c r="V324"/>
      <c r="W324"/>
      <c r="X324"/>
      <c r="Y324" s="45"/>
      <c r="AC324" s="45"/>
    </row>
    <row r="325" spans="2:29" s="341" customFormat="1" ht="21.75" hidden="1" customHeight="1">
      <c r="B325" s="376">
        <v>46105</v>
      </c>
      <c r="C325" s="377" t="str">
        <f t="shared" si="4"/>
        <v>Março</v>
      </c>
      <c r="D325" s="378" t="s">
        <v>386</v>
      </c>
      <c r="E325" s="379" t="s">
        <v>468</v>
      </c>
      <c r="F325" s="380" t="s">
        <v>131</v>
      </c>
      <c r="G325" s="342" t="s">
        <v>480</v>
      </c>
      <c r="H325" s="378" t="s">
        <v>1008</v>
      </c>
      <c r="I325" s="342" t="s">
        <v>131</v>
      </c>
      <c r="J325" s="112" t="s">
        <v>131</v>
      </c>
      <c r="K325" s="343" t="s">
        <v>131</v>
      </c>
      <c r="L325" s="342" t="s">
        <v>131</v>
      </c>
      <c r="M325" s="342" t="s">
        <v>730</v>
      </c>
      <c r="N325" s="381" t="s">
        <v>586</v>
      </c>
      <c r="O325" s="295">
        <v>900</v>
      </c>
      <c r="P325" s="296"/>
      <c r="Q325"/>
      <c r="R325"/>
      <c r="S325"/>
      <c r="T325"/>
      <c r="U325"/>
      <c r="V325"/>
      <c r="W325"/>
      <c r="X325"/>
      <c r="Y325" s="45"/>
      <c r="AC325" s="45"/>
    </row>
    <row r="326" spans="2:29" s="341" customFormat="1" ht="21.75" hidden="1" customHeight="1">
      <c r="B326" s="68">
        <v>46105</v>
      </c>
      <c r="C326" s="69" t="str">
        <f t="shared" ref="C326:C389" si="5">PROPER(TEXT(B326,"MMMM"))</f>
        <v>Março</v>
      </c>
      <c r="D326" s="77" t="s">
        <v>509</v>
      </c>
      <c r="E326" s="72" t="s">
        <v>502</v>
      </c>
      <c r="F326" s="70" t="s">
        <v>138</v>
      </c>
      <c r="G326" s="71" t="s">
        <v>141</v>
      </c>
      <c r="H326" s="77" t="s">
        <v>187</v>
      </c>
      <c r="I326" s="71" t="s">
        <v>131</v>
      </c>
      <c r="J326" s="343" t="s">
        <v>781</v>
      </c>
      <c r="K326" s="71" t="s">
        <v>131</v>
      </c>
      <c r="L326" s="71" t="s">
        <v>134</v>
      </c>
      <c r="M326" s="71" t="s">
        <v>735</v>
      </c>
      <c r="N326" s="80" t="s">
        <v>135</v>
      </c>
      <c r="O326" s="295">
        <v>-8489.33</v>
      </c>
      <c r="P326" s="296"/>
      <c r="Q326"/>
      <c r="R326"/>
      <c r="S326"/>
      <c r="T326"/>
      <c r="U326"/>
      <c r="V326"/>
      <c r="W326"/>
      <c r="X326"/>
      <c r="Y326" s="45"/>
      <c r="AC326" s="45"/>
    </row>
    <row r="327" spans="2:29" s="465" customFormat="1" ht="21.75" hidden="1" customHeight="1">
      <c r="B327" s="376">
        <v>46106</v>
      </c>
      <c r="C327" s="377" t="str">
        <f t="shared" si="5"/>
        <v>Março</v>
      </c>
      <c r="D327" s="378" t="s">
        <v>508</v>
      </c>
      <c r="E327" s="379" t="s">
        <v>497</v>
      </c>
      <c r="F327" s="380" t="s">
        <v>534</v>
      </c>
      <c r="G327" s="19" t="s">
        <v>980</v>
      </c>
      <c r="H327" s="378" t="s">
        <v>981</v>
      </c>
      <c r="I327" s="342" t="s">
        <v>858</v>
      </c>
      <c r="J327" s="112" t="s">
        <v>1183</v>
      </c>
      <c r="K327" s="342" t="s">
        <v>131</v>
      </c>
      <c r="L327" s="342" t="s">
        <v>137</v>
      </c>
      <c r="M327" s="71" t="s">
        <v>730</v>
      </c>
      <c r="N327" s="80" t="s">
        <v>135</v>
      </c>
      <c r="O327" s="390">
        <v>-900</v>
      </c>
      <c r="P327" s="296"/>
      <c r="Y327" s="45"/>
      <c r="AC327" s="45"/>
    </row>
    <row r="328" spans="2:29" s="465" customFormat="1" ht="21.75" hidden="1" customHeight="1">
      <c r="B328" s="376">
        <v>46106</v>
      </c>
      <c r="C328" s="377" t="str">
        <f t="shared" si="5"/>
        <v>Março</v>
      </c>
      <c r="D328" s="378" t="s">
        <v>386</v>
      </c>
      <c r="E328" s="379" t="s">
        <v>468</v>
      </c>
      <c r="F328" s="380" t="s">
        <v>131</v>
      </c>
      <c r="G328" s="342" t="s">
        <v>480</v>
      </c>
      <c r="H328" s="378" t="s">
        <v>1008</v>
      </c>
      <c r="I328" s="342" t="s">
        <v>131</v>
      </c>
      <c r="J328" s="112" t="s">
        <v>131</v>
      </c>
      <c r="K328" s="343" t="s">
        <v>131</v>
      </c>
      <c r="L328" s="342" t="s">
        <v>131</v>
      </c>
      <c r="M328" s="342" t="s">
        <v>730</v>
      </c>
      <c r="N328" s="381" t="s">
        <v>586</v>
      </c>
      <c r="O328" s="295">
        <v>207.63</v>
      </c>
      <c r="P328" s="296"/>
      <c r="Y328" s="45"/>
      <c r="AC328" s="45"/>
    </row>
    <row r="329" spans="2:29" s="465" customFormat="1" ht="21.75" hidden="1" customHeight="1">
      <c r="B329" s="68">
        <v>46106</v>
      </c>
      <c r="C329" s="69" t="str">
        <f t="shared" si="5"/>
        <v>Março</v>
      </c>
      <c r="D329" s="77" t="s">
        <v>299</v>
      </c>
      <c r="E329" s="72" t="s">
        <v>303</v>
      </c>
      <c r="F329" s="70" t="s">
        <v>136</v>
      </c>
      <c r="G329" s="71" t="s">
        <v>897</v>
      </c>
      <c r="H329" s="369" t="s">
        <v>767</v>
      </c>
      <c r="I329" s="71" t="s">
        <v>131</v>
      </c>
      <c r="J329" s="402" t="s">
        <v>1126</v>
      </c>
      <c r="K329" s="78" t="s">
        <v>131</v>
      </c>
      <c r="L329" s="71" t="s">
        <v>137</v>
      </c>
      <c r="M329" s="71" t="s">
        <v>735</v>
      </c>
      <c r="N329" s="80" t="s">
        <v>135</v>
      </c>
      <c r="O329" s="295">
        <v>-310</v>
      </c>
      <c r="P329" s="296"/>
      <c r="Y329" s="45"/>
      <c r="AC329" s="45"/>
    </row>
    <row r="330" spans="2:29" s="465" customFormat="1" ht="21.75" hidden="1" customHeight="1">
      <c r="B330" s="68">
        <v>46106</v>
      </c>
      <c r="C330" s="69" t="str">
        <f t="shared" si="5"/>
        <v>Março</v>
      </c>
      <c r="D330" s="77" t="s">
        <v>300</v>
      </c>
      <c r="E330" s="72" t="s">
        <v>433</v>
      </c>
      <c r="F330" s="70" t="s">
        <v>136</v>
      </c>
      <c r="G330" s="19" t="s">
        <v>142</v>
      </c>
      <c r="H330" s="369" t="s">
        <v>1227</v>
      </c>
      <c r="I330" s="71" t="s">
        <v>131</v>
      </c>
      <c r="J330" s="342" t="s">
        <v>1253</v>
      </c>
      <c r="K330" s="112" t="s">
        <v>131</v>
      </c>
      <c r="L330" s="71" t="s">
        <v>137</v>
      </c>
      <c r="M330" s="71" t="s">
        <v>735</v>
      </c>
      <c r="N330" s="80" t="s">
        <v>135</v>
      </c>
      <c r="O330" s="390">
        <v>-15240</v>
      </c>
      <c r="P330" s="296"/>
      <c r="Y330" s="45"/>
      <c r="AC330" s="45"/>
    </row>
    <row r="331" spans="2:29" s="465" customFormat="1" ht="21.75" hidden="1" customHeight="1">
      <c r="B331" s="376">
        <v>46107</v>
      </c>
      <c r="C331" s="377" t="str">
        <f t="shared" si="5"/>
        <v>Março</v>
      </c>
      <c r="D331" s="378" t="s">
        <v>508</v>
      </c>
      <c r="E331" s="379" t="s">
        <v>497</v>
      </c>
      <c r="F331" s="380" t="s">
        <v>534</v>
      </c>
      <c r="G331" s="19" t="s">
        <v>853</v>
      </c>
      <c r="H331" s="369" t="s">
        <v>854</v>
      </c>
      <c r="I331" s="342" t="s">
        <v>595</v>
      </c>
      <c r="J331" s="112" t="s">
        <v>1206</v>
      </c>
      <c r="K331" s="112" t="s">
        <v>131</v>
      </c>
      <c r="L331" s="342" t="s">
        <v>137</v>
      </c>
      <c r="M331" s="71" t="s">
        <v>730</v>
      </c>
      <c r="N331" s="80" t="s">
        <v>135</v>
      </c>
      <c r="O331" s="295">
        <v>-207.63</v>
      </c>
      <c r="P331" s="296"/>
      <c r="Y331" s="45"/>
      <c r="AC331" s="45"/>
    </row>
    <row r="332" spans="2:29" s="79" customFormat="1" ht="21.75" hidden="1" customHeight="1">
      <c r="B332" s="68">
        <v>46107</v>
      </c>
      <c r="C332" s="69" t="str">
        <f t="shared" si="5"/>
        <v>Março</v>
      </c>
      <c r="D332" s="77" t="s">
        <v>383</v>
      </c>
      <c r="E332" s="72" t="s">
        <v>471</v>
      </c>
      <c r="F332" s="70" t="s">
        <v>131</v>
      </c>
      <c r="G332" s="71" t="s">
        <v>480</v>
      </c>
      <c r="H332" s="72" t="s">
        <v>1292</v>
      </c>
      <c r="I332" s="71" t="s">
        <v>131</v>
      </c>
      <c r="J332" s="343" t="s">
        <v>131</v>
      </c>
      <c r="K332" s="71" t="s">
        <v>131</v>
      </c>
      <c r="L332" s="71" t="s">
        <v>485</v>
      </c>
      <c r="M332" s="71" t="s">
        <v>730</v>
      </c>
      <c r="N332" s="80" t="s">
        <v>144</v>
      </c>
      <c r="O332" s="295">
        <v>6009.49</v>
      </c>
      <c r="P332" s="75"/>
      <c r="Y332" s="45"/>
      <c r="AC332" s="45"/>
    </row>
    <row r="333" spans="2:29" s="341" customFormat="1" ht="22.5" hidden="1" customHeight="1">
      <c r="B333" s="68">
        <v>46111</v>
      </c>
      <c r="C333" s="69" t="str">
        <f t="shared" si="5"/>
        <v>Março</v>
      </c>
      <c r="D333" s="77" t="s">
        <v>509</v>
      </c>
      <c r="E333" s="72" t="s">
        <v>500</v>
      </c>
      <c r="F333" s="70" t="s">
        <v>131</v>
      </c>
      <c r="G333" s="71" t="s">
        <v>132</v>
      </c>
      <c r="H333" s="77" t="s">
        <v>133</v>
      </c>
      <c r="I333" s="71" t="s">
        <v>131</v>
      </c>
      <c r="J333" s="343" t="s">
        <v>781</v>
      </c>
      <c r="K333" s="71" t="s">
        <v>131</v>
      </c>
      <c r="L333" s="71" t="s">
        <v>134</v>
      </c>
      <c r="M333" s="71" t="s">
        <v>735</v>
      </c>
      <c r="N333" s="80" t="s">
        <v>265</v>
      </c>
      <c r="O333" s="295">
        <v>-278995.53999999998</v>
      </c>
      <c r="P333" s="296"/>
      <c r="Q333"/>
      <c r="R333"/>
      <c r="S333"/>
      <c r="T333"/>
      <c r="U333"/>
      <c r="V333"/>
      <c r="W333"/>
      <c r="X333"/>
      <c r="Y333" s="45"/>
      <c r="AC333" s="45"/>
    </row>
    <row r="334" spans="2:29" s="79" customFormat="1" ht="21.75" hidden="1" customHeight="1">
      <c r="B334" s="68">
        <v>46111</v>
      </c>
      <c r="C334" s="69" t="str">
        <f t="shared" si="5"/>
        <v>Março</v>
      </c>
      <c r="D334" s="77" t="s">
        <v>397</v>
      </c>
      <c r="E334" s="72" t="s">
        <v>445</v>
      </c>
      <c r="F334" s="70" t="s">
        <v>131</v>
      </c>
      <c r="G334" s="71" t="s">
        <v>143</v>
      </c>
      <c r="H334" s="77" t="s">
        <v>772</v>
      </c>
      <c r="I334" s="71" t="s">
        <v>131</v>
      </c>
      <c r="J334" s="342" t="s">
        <v>784</v>
      </c>
      <c r="K334" s="73" t="s">
        <v>131</v>
      </c>
      <c r="L334" s="71" t="s">
        <v>134</v>
      </c>
      <c r="M334" s="71" t="s">
        <v>735</v>
      </c>
      <c r="N334" s="80" t="s">
        <v>144</v>
      </c>
      <c r="O334" s="295">
        <v>1235040</v>
      </c>
      <c r="P334" s="75"/>
      <c r="Y334" s="45"/>
      <c r="AC334" s="45"/>
    </row>
    <row r="335" spans="2:29" s="79" customFormat="1" ht="21.75" hidden="1" customHeight="1">
      <c r="B335" s="68">
        <v>46111</v>
      </c>
      <c r="C335" s="69" t="str">
        <f t="shared" si="5"/>
        <v>Março</v>
      </c>
      <c r="D335" s="77" t="s">
        <v>397</v>
      </c>
      <c r="E335" s="72" t="s">
        <v>445</v>
      </c>
      <c r="F335" s="70" t="s">
        <v>131</v>
      </c>
      <c r="G335" s="71" t="s">
        <v>143</v>
      </c>
      <c r="H335" s="77" t="s">
        <v>772</v>
      </c>
      <c r="I335" s="71" t="s">
        <v>131</v>
      </c>
      <c r="J335" s="342" t="s">
        <v>785</v>
      </c>
      <c r="K335" s="73" t="s">
        <v>131</v>
      </c>
      <c r="L335" s="71" t="s">
        <v>134</v>
      </c>
      <c r="M335" s="71" t="s">
        <v>735</v>
      </c>
      <c r="N335" s="80" t="s">
        <v>144</v>
      </c>
      <c r="O335" s="295">
        <v>557991.07200000004</v>
      </c>
      <c r="P335" s="75"/>
      <c r="Y335" s="45"/>
      <c r="AC335" s="45"/>
    </row>
    <row r="336" spans="2:29" s="79" customFormat="1" ht="21.75" hidden="1" customHeight="1">
      <c r="B336" s="376">
        <v>46112</v>
      </c>
      <c r="C336" s="377" t="str">
        <f t="shared" si="5"/>
        <v>Março</v>
      </c>
      <c r="D336" s="378" t="s">
        <v>508</v>
      </c>
      <c r="E336" s="379" t="s">
        <v>497</v>
      </c>
      <c r="F336" s="380" t="s">
        <v>534</v>
      </c>
      <c r="G336" s="342" t="s">
        <v>1307</v>
      </c>
      <c r="H336" s="369" t="s">
        <v>1308</v>
      </c>
      <c r="I336" s="342" t="s">
        <v>595</v>
      </c>
      <c r="J336" s="366" t="s">
        <v>1309</v>
      </c>
      <c r="K336" s="384" t="s">
        <v>973</v>
      </c>
      <c r="L336" s="342" t="s">
        <v>137</v>
      </c>
      <c r="M336" s="71" t="s">
        <v>730</v>
      </c>
      <c r="N336" s="381" t="s">
        <v>135</v>
      </c>
      <c r="O336" s="295">
        <v>-1360</v>
      </c>
      <c r="P336" s="75"/>
      <c r="Y336" s="45"/>
      <c r="AC336" s="45"/>
    </row>
    <row r="337" spans="2:29" s="79" customFormat="1" ht="21.75" hidden="1" customHeight="1">
      <c r="B337" s="376">
        <v>46112</v>
      </c>
      <c r="C337" s="377" t="str">
        <f t="shared" si="5"/>
        <v>Março</v>
      </c>
      <c r="D337" s="378" t="s">
        <v>508</v>
      </c>
      <c r="E337" s="379" t="s">
        <v>497</v>
      </c>
      <c r="F337" s="380" t="s">
        <v>534</v>
      </c>
      <c r="G337" s="342" t="s">
        <v>1314</v>
      </c>
      <c r="H337" s="369" t="s">
        <v>1311</v>
      </c>
      <c r="I337" s="342" t="s">
        <v>595</v>
      </c>
      <c r="J337" s="366" t="s">
        <v>1310</v>
      </c>
      <c r="K337" s="384" t="s">
        <v>973</v>
      </c>
      <c r="L337" s="342" t="s">
        <v>137</v>
      </c>
      <c r="M337" s="71" t="s">
        <v>730</v>
      </c>
      <c r="N337" s="381" t="s">
        <v>135</v>
      </c>
      <c r="O337" s="295">
        <v>-852</v>
      </c>
      <c r="P337" s="75"/>
      <c r="Y337" s="45"/>
      <c r="AC337" s="45"/>
    </row>
    <row r="338" spans="2:29" s="465" customFormat="1" ht="21.75" hidden="1" customHeight="1">
      <c r="B338" s="376">
        <v>46112</v>
      </c>
      <c r="C338" s="377" t="str">
        <f t="shared" si="5"/>
        <v>Março</v>
      </c>
      <c r="D338" s="378" t="s">
        <v>507</v>
      </c>
      <c r="E338" s="379" t="s">
        <v>494</v>
      </c>
      <c r="F338" s="380" t="s">
        <v>131</v>
      </c>
      <c r="G338" s="342" t="s">
        <v>480</v>
      </c>
      <c r="H338" s="378" t="s">
        <v>1291</v>
      </c>
      <c r="I338" s="342" t="s">
        <v>131</v>
      </c>
      <c r="J338" s="112" t="s">
        <v>131</v>
      </c>
      <c r="K338" s="343" t="s">
        <v>131</v>
      </c>
      <c r="L338" s="342" t="s">
        <v>485</v>
      </c>
      <c r="M338" s="71" t="s">
        <v>730</v>
      </c>
      <c r="N338" s="386" t="s">
        <v>587</v>
      </c>
      <c r="O338" s="295">
        <v>-6009.49</v>
      </c>
      <c r="P338" s="296"/>
      <c r="Y338" s="45"/>
      <c r="AC338" s="45"/>
    </row>
    <row r="339" spans="2:29" s="465" customFormat="1" ht="21.75" hidden="1" customHeight="1">
      <c r="B339" s="376">
        <v>46112</v>
      </c>
      <c r="C339" s="377" t="str">
        <f t="shared" si="5"/>
        <v>Março</v>
      </c>
      <c r="D339" s="378" t="s">
        <v>386</v>
      </c>
      <c r="E339" s="379" t="s">
        <v>468</v>
      </c>
      <c r="F339" s="380" t="s">
        <v>131</v>
      </c>
      <c r="G339" s="342" t="s">
        <v>480</v>
      </c>
      <c r="H339" s="378" t="s">
        <v>1008</v>
      </c>
      <c r="I339" s="342" t="s">
        <v>131</v>
      </c>
      <c r="J339" s="112" t="s">
        <v>131</v>
      </c>
      <c r="K339" s="343" t="s">
        <v>131</v>
      </c>
      <c r="L339" s="342" t="s">
        <v>131</v>
      </c>
      <c r="M339" s="342" t="s">
        <v>730</v>
      </c>
      <c r="N339" s="381" t="s">
        <v>586</v>
      </c>
      <c r="O339" s="295">
        <v>2212</v>
      </c>
      <c r="P339" s="296"/>
      <c r="Y339" s="45"/>
      <c r="AC339" s="45"/>
    </row>
    <row r="340" spans="2:29" s="79" customFormat="1" ht="21.75" hidden="1" customHeight="1">
      <c r="B340" s="68">
        <v>46113</v>
      </c>
      <c r="C340" s="69" t="str">
        <f t="shared" si="5"/>
        <v>Abril</v>
      </c>
      <c r="D340" s="77" t="s">
        <v>299</v>
      </c>
      <c r="E340" s="72" t="s">
        <v>303</v>
      </c>
      <c r="F340" s="70" t="s">
        <v>138</v>
      </c>
      <c r="G340" s="71" t="s">
        <v>147</v>
      </c>
      <c r="H340" s="72" t="s">
        <v>629</v>
      </c>
      <c r="I340" s="71" t="s">
        <v>131</v>
      </c>
      <c r="J340" s="367" t="s">
        <v>209</v>
      </c>
      <c r="K340" s="73" t="s">
        <v>131</v>
      </c>
      <c r="L340" s="71" t="s">
        <v>137</v>
      </c>
      <c r="M340" s="71" t="s">
        <v>735</v>
      </c>
      <c r="N340" s="381" t="s">
        <v>135</v>
      </c>
      <c r="O340" s="295">
        <v>-700</v>
      </c>
      <c r="P340" s="75"/>
      <c r="Y340" s="45"/>
      <c r="AC340" s="45"/>
    </row>
    <row r="341" spans="2:29" s="79" customFormat="1" ht="21.75" hidden="1" customHeight="1">
      <c r="B341" s="68">
        <v>46113</v>
      </c>
      <c r="C341" s="69" t="str">
        <f t="shared" si="5"/>
        <v>Abril</v>
      </c>
      <c r="D341" s="77" t="s">
        <v>509</v>
      </c>
      <c r="E341" s="72" t="s">
        <v>500</v>
      </c>
      <c r="F341" s="70" t="s">
        <v>131</v>
      </c>
      <c r="G341" s="71" t="s">
        <v>132</v>
      </c>
      <c r="H341" s="77" t="s">
        <v>133</v>
      </c>
      <c r="I341" s="71" t="s">
        <v>131</v>
      </c>
      <c r="J341" s="343" t="s">
        <v>786</v>
      </c>
      <c r="K341" s="71" t="s">
        <v>131</v>
      </c>
      <c r="L341" s="71" t="s">
        <v>134</v>
      </c>
      <c r="M341" s="71" t="s">
        <v>735</v>
      </c>
      <c r="N341" s="80" t="s">
        <v>265</v>
      </c>
      <c r="O341" s="295">
        <v>-77006.28</v>
      </c>
      <c r="P341" s="75"/>
      <c r="Y341" s="45"/>
      <c r="AC341" s="45"/>
    </row>
    <row r="342" spans="2:29" s="79" customFormat="1" ht="21.75" hidden="1" customHeight="1">
      <c r="B342" s="376">
        <v>46113</v>
      </c>
      <c r="C342" s="377" t="str">
        <f t="shared" si="5"/>
        <v>Abril</v>
      </c>
      <c r="D342" s="378" t="s">
        <v>386</v>
      </c>
      <c r="E342" s="379" t="s">
        <v>468</v>
      </c>
      <c r="F342" s="380" t="s">
        <v>131</v>
      </c>
      <c r="G342" s="342" t="s">
        <v>480</v>
      </c>
      <c r="H342" s="378" t="s">
        <v>1008</v>
      </c>
      <c r="I342" s="342" t="s">
        <v>131</v>
      </c>
      <c r="J342" s="112" t="s">
        <v>131</v>
      </c>
      <c r="K342" s="343" t="s">
        <v>131</v>
      </c>
      <c r="L342" s="342" t="s">
        <v>131</v>
      </c>
      <c r="M342" s="342" t="s">
        <v>730</v>
      </c>
      <c r="N342" s="381" t="s">
        <v>586</v>
      </c>
      <c r="O342" s="295">
        <v>2725</v>
      </c>
      <c r="P342" s="75"/>
      <c r="Y342" s="45"/>
      <c r="AC342" s="45"/>
    </row>
    <row r="343" spans="2:29" s="341" customFormat="1" ht="21.75" hidden="1" customHeight="1">
      <c r="B343" s="68">
        <v>46113</v>
      </c>
      <c r="C343" s="69" t="str">
        <f t="shared" si="5"/>
        <v>Abril</v>
      </c>
      <c r="D343" s="77" t="s">
        <v>509</v>
      </c>
      <c r="E343" s="72" t="s">
        <v>500</v>
      </c>
      <c r="F343" s="70" t="s">
        <v>131</v>
      </c>
      <c r="G343" s="71" t="s">
        <v>132</v>
      </c>
      <c r="H343" s="77" t="s">
        <v>133</v>
      </c>
      <c r="I343" s="71" t="s">
        <v>131</v>
      </c>
      <c r="J343" s="343" t="s">
        <v>786</v>
      </c>
      <c r="K343" s="71" t="s">
        <v>131</v>
      </c>
      <c r="L343" s="71" t="s">
        <v>134</v>
      </c>
      <c r="M343" s="71" t="s">
        <v>735</v>
      </c>
      <c r="N343" s="80" t="s">
        <v>265</v>
      </c>
      <c r="O343" s="295">
        <v>-278995.53000000003</v>
      </c>
      <c r="P343" s="296"/>
      <c r="Q343"/>
      <c r="R343"/>
      <c r="S343"/>
      <c r="T343"/>
      <c r="U343"/>
      <c r="V343"/>
      <c r="W343"/>
      <c r="X343"/>
      <c r="Y343" s="45"/>
      <c r="AC343" s="45"/>
    </row>
    <row r="344" spans="2:29" s="341" customFormat="1" ht="21.75" hidden="1" customHeight="1">
      <c r="B344" s="376">
        <v>46113</v>
      </c>
      <c r="C344" s="377" t="str">
        <f t="shared" si="5"/>
        <v>Abril</v>
      </c>
      <c r="D344" s="378" t="s">
        <v>300</v>
      </c>
      <c r="E344" s="379" t="s">
        <v>478</v>
      </c>
      <c r="F344" s="380" t="s">
        <v>136</v>
      </c>
      <c r="G344" s="342" t="s">
        <v>1272</v>
      </c>
      <c r="H344" s="72" t="s">
        <v>1323</v>
      </c>
      <c r="I344" s="342" t="s">
        <v>131</v>
      </c>
      <c r="J344" s="112" t="s">
        <v>1278</v>
      </c>
      <c r="K344" s="343" t="s">
        <v>131</v>
      </c>
      <c r="L344" s="342" t="s">
        <v>134</v>
      </c>
      <c r="M344" s="342" t="s">
        <v>735</v>
      </c>
      <c r="N344" s="381" t="s">
        <v>135</v>
      </c>
      <c r="O344" s="390">
        <v>-700</v>
      </c>
      <c r="P344" s="296"/>
      <c r="Q344"/>
      <c r="R344"/>
      <c r="S344"/>
      <c r="T344"/>
      <c r="U344"/>
      <c r="V344"/>
      <c r="W344"/>
      <c r="X344"/>
      <c r="Y344" s="45"/>
      <c r="AC344" s="45"/>
    </row>
    <row r="345" spans="2:29" s="341" customFormat="1" ht="21.75" hidden="1" customHeight="1">
      <c r="B345" s="376">
        <v>46113</v>
      </c>
      <c r="C345" s="377" t="str">
        <f t="shared" si="5"/>
        <v>Abril</v>
      </c>
      <c r="D345" s="378" t="s">
        <v>300</v>
      </c>
      <c r="E345" s="379" t="s">
        <v>478</v>
      </c>
      <c r="F345" s="380" t="s">
        <v>136</v>
      </c>
      <c r="G345" s="342" t="s">
        <v>894</v>
      </c>
      <c r="H345" s="378" t="s">
        <v>211</v>
      </c>
      <c r="I345" s="342" t="s">
        <v>131</v>
      </c>
      <c r="J345" s="366" t="s">
        <v>1302</v>
      </c>
      <c r="K345" s="342" t="s">
        <v>131</v>
      </c>
      <c r="L345" s="342" t="s">
        <v>134</v>
      </c>
      <c r="M345" s="342" t="s">
        <v>735</v>
      </c>
      <c r="N345" s="381" t="s">
        <v>135</v>
      </c>
      <c r="O345" s="295">
        <v>-1122</v>
      </c>
      <c r="P345" s="296"/>
      <c r="Q345"/>
      <c r="R345"/>
      <c r="S345"/>
      <c r="T345"/>
      <c r="U345"/>
      <c r="V345"/>
      <c r="W345"/>
      <c r="X345"/>
      <c r="Y345" s="45"/>
      <c r="AC345" s="45"/>
    </row>
    <row r="346" spans="2:29" s="341" customFormat="1" ht="21.75" hidden="1" customHeight="1">
      <c r="B346" s="376">
        <v>46113</v>
      </c>
      <c r="C346" s="377" t="str">
        <f t="shared" si="5"/>
        <v>Abril</v>
      </c>
      <c r="D346" s="378" t="s">
        <v>386</v>
      </c>
      <c r="E346" s="379" t="s">
        <v>468</v>
      </c>
      <c r="F346" s="380" t="s">
        <v>131</v>
      </c>
      <c r="G346" s="342" t="s">
        <v>480</v>
      </c>
      <c r="H346" s="72" t="s">
        <v>1008</v>
      </c>
      <c r="I346" s="342" t="s">
        <v>131</v>
      </c>
      <c r="J346" s="112" t="s">
        <v>131</v>
      </c>
      <c r="K346" s="343" t="s">
        <v>131</v>
      </c>
      <c r="L346" s="342" t="s">
        <v>131</v>
      </c>
      <c r="M346" s="71" t="s">
        <v>730</v>
      </c>
      <c r="N346" s="381" t="s">
        <v>586</v>
      </c>
      <c r="O346" s="390">
        <v>1737.5</v>
      </c>
      <c r="P346" s="296"/>
      <c r="Q346"/>
      <c r="R346"/>
      <c r="S346"/>
      <c r="T346"/>
      <c r="U346"/>
      <c r="V346"/>
      <c r="W346"/>
      <c r="X346"/>
      <c r="Y346" s="45"/>
      <c r="AC346" s="45"/>
    </row>
    <row r="347" spans="2:29" s="341" customFormat="1" ht="21.75" hidden="1" customHeight="1">
      <c r="B347" s="68">
        <v>46113</v>
      </c>
      <c r="C347" s="69" t="str">
        <f t="shared" si="5"/>
        <v>Abril</v>
      </c>
      <c r="D347" s="77" t="s">
        <v>508</v>
      </c>
      <c r="E347" s="72" t="s">
        <v>497</v>
      </c>
      <c r="F347" s="70" t="s">
        <v>534</v>
      </c>
      <c r="G347" s="71" t="s">
        <v>970</v>
      </c>
      <c r="H347" s="77" t="s">
        <v>971</v>
      </c>
      <c r="I347" s="71" t="s">
        <v>595</v>
      </c>
      <c r="J347" s="393" t="s">
        <v>972</v>
      </c>
      <c r="K347" s="78" t="s">
        <v>210</v>
      </c>
      <c r="L347" s="71" t="s">
        <v>137</v>
      </c>
      <c r="M347" s="71" t="s">
        <v>730</v>
      </c>
      <c r="N347" s="80" t="s">
        <v>135</v>
      </c>
      <c r="O347" s="390">
        <v>-1737.5</v>
      </c>
      <c r="P347" s="296"/>
      <c r="Q347"/>
      <c r="R347"/>
      <c r="S347"/>
      <c r="T347"/>
      <c r="U347"/>
      <c r="V347"/>
      <c r="W347"/>
      <c r="X347"/>
      <c r="Y347" s="45"/>
      <c r="AC347" s="45"/>
    </row>
    <row r="348" spans="2:29" s="79" customFormat="1" ht="21.75" hidden="1" customHeight="1">
      <c r="B348" s="68">
        <v>46114</v>
      </c>
      <c r="C348" s="69" t="str">
        <f t="shared" si="5"/>
        <v>Abril</v>
      </c>
      <c r="D348" s="77" t="s">
        <v>508</v>
      </c>
      <c r="E348" s="72" t="s">
        <v>497</v>
      </c>
      <c r="F348" s="70" t="s">
        <v>534</v>
      </c>
      <c r="G348" s="71" t="s">
        <v>1003</v>
      </c>
      <c r="H348" s="77" t="s">
        <v>1350</v>
      </c>
      <c r="I348" s="71" t="s">
        <v>595</v>
      </c>
      <c r="J348" s="393" t="s">
        <v>1351</v>
      </c>
      <c r="K348" s="71" t="s">
        <v>131</v>
      </c>
      <c r="L348" s="71" t="s">
        <v>134</v>
      </c>
      <c r="M348" s="71" t="s">
        <v>730</v>
      </c>
      <c r="N348" s="80" t="s">
        <v>135</v>
      </c>
      <c r="O348" s="295">
        <v>-78</v>
      </c>
      <c r="P348" s="75"/>
      <c r="Y348" s="45"/>
      <c r="AC348" s="45"/>
    </row>
    <row r="349" spans="2:29" s="79" customFormat="1" ht="21.75" hidden="1" customHeight="1">
      <c r="B349" s="68">
        <v>46114</v>
      </c>
      <c r="C349" s="69" t="str">
        <f t="shared" si="5"/>
        <v>Abril</v>
      </c>
      <c r="D349" s="77" t="s">
        <v>386</v>
      </c>
      <c r="E349" s="72" t="s">
        <v>468</v>
      </c>
      <c r="F349" s="70" t="s">
        <v>131</v>
      </c>
      <c r="G349" s="71" t="s">
        <v>480</v>
      </c>
      <c r="H349" s="370" t="s">
        <v>1210</v>
      </c>
      <c r="I349" s="71" t="s">
        <v>131</v>
      </c>
      <c r="J349" s="112" t="s">
        <v>131</v>
      </c>
      <c r="K349" s="71" t="s">
        <v>131</v>
      </c>
      <c r="L349" s="71" t="s">
        <v>131</v>
      </c>
      <c r="M349" s="71" t="s">
        <v>730</v>
      </c>
      <c r="N349" s="80" t="s">
        <v>586</v>
      </c>
      <c r="O349" s="295">
        <v>78</v>
      </c>
      <c r="P349" s="75"/>
      <c r="Y349" s="45"/>
      <c r="AC349" s="45"/>
    </row>
    <row r="350" spans="2:29" s="341" customFormat="1" ht="21.75" hidden="1" customHeight="1">
      <c r="B350" s="68">
        <v>46114</v>
      </c>
      <c r="C350" s="69" t="str">
        <f t="shared" si="5"/>
        <v>Abril</v>
      </c>
      <c r="D350" s="77" t="s">
        <v>507</v>
      </c>
      <c r="E350" s="72" t="s">
        <v>494</v>
      </c>
      <c r="F350" s="70" t="s">
        <v>131</v>
      </c>
      <c r="G350" s="71" t="s">
        <v>145</v>
      </c>
      <c r="H350" s="77" t="s">
        <v>787</v>
      </c>
      <c r="I350" s="71" t="s">
        <v>131</v>
      </c>
      <c r="J350" s="342" t="s">
        <v>131</v>
      </c>
      <c r="K350" s="71" t="s">
        <v>131</v>
      </c>
      <c r="L350" s="71" t="s">
        <v>134</v>
      </c>
      <c r="M350" s="71" t="s">
        <v>735</v>
      </c>
      <c r="N350" s="388" t="s">
        <v>587</v>
      </c>
      <c r="O350" s="295">
        <v>-300000</v>
      </c>
      <c r="P350" s="296"/>
      <c r="Q350"/>
      <c r="R350"/>
      <c r="S350"/>
      <c r="T350"/>
      <c r="U350"/>
      <c r="V350"/>
      <c r="W350"/>
      <c r="X350"/>
      <c r="Y350" s="45"/>
      <c r="AC350" s="45"/>
    </row>
    <row r="351" spans="2:29" s="341" customFormat="1" ht="21.75" hidden="1" customHeight="1">
      <c r="B351" s="68">
        <v>46114</v>
      </c>
      <c r="C351" s="69" t="str">
        <f t="shared" si="5"/>
        <v>Abril</v>
      </c>
      <c r="D351" s="77" t="s">
        <v>302</v>
      </c>
      <c r="E351" s="72" t="s">
        <v>436</v>
      </c>
      <c r="F351" s="70" t="s">
        <v>138</v>
      </c>
      <c r="G351" s="71" t="s">
        <v>480</v>
      </c>
      <c r="H351" s="77" t="s">
        <v>484</v>
      </c>
      <c r="I351" s="71" t="s">
        <v>131</v>
      </c>
      <c r="J351" s="389" t="s">
        <v>786</v>
      </c>
      <c r="K351" s="73" t="s">
        <v>131</v>
      </c>
      <c r="L351" s="71" t="s">
        <v>197</v>
      </c>
      <c r="M351" s="71" t="s">
        <v>730</v>
      </c>
      <c r="N351" s="80" t="s">
        <v>135</v>
      </c>
      <c r="O351" s="295">
        <v>-100</v>
      </c>
      <c r="P351" s="296"/>
      <c r="Q351"/>
      <c r="R351"/>
      <c r="S351"/>
      <c r="T351"/>
      <c r="U351"/>
      <c r="V351"/>
      <c r="W351"/>
      <c r="X351"/>
      <c r="Y351" s="45"/>
      <c r="AC351" s="45"/>
    </row>
    <row r="352" spans="2:29" s="341" customFormat="1" ht="21.75" hidden="1" customHeight="1">
      <c r="B352" s="68">
        <v>46114</v>
      </c>
      <c r="C352" s="69" t="str">
        <f t="shared" si="5"/>
        <v>Abril</v>
      </c>
      <c r="D352" s="77" t="s">
        <v>507</v>
      </c>
      <c r="E352" s="72" t="s">
        <v>494</v>
      </c>
      <c r="F352" s="70" t="s">
        <v>131</v>
      </c>
      <c r="G352" s="71" t="s">
        <v>145</v>
      </c>
      <c r="H352" s="77" t="s">
        <v>787</v>
      </c>
      <c r="I352" s="71" t="s">
        <v>131</v>
      </c>
      <c r="J352" s="342" t="s">
        <v>131</v>
      </c>
      <c r="K352" s="71" t="s">
        <v>131</v>
      </c>
      <c r="L352" s="71" t="s">
        <v>134</v>
      </c>
      <c r="M352" s="71" t="s">
        <v>735</v>
      </c>
      <c r="N352" s="388" t="s">
        <v>587</v>
      </c>
      <c r="O352" s="295">
        <v>-33184.43</v>
      </c>
      <c r="P352" s="296"/>
      <c r="Q352"/>
      <c r="R352"/>
      <c r="S352"/>
      <c r="T352"/>
      <c r="U352"/>
      <c r="V352"/>
      <c r="W352"/>
      <c r="X352"/>
      <c r="Y352" s="45"/>
      <c r="AC352" s="45"/>
    </row>
    <row r="353" spans="2:29" s="341" customFormat="1" ht="21.75" hidden="1" customHeight="1">
      <c r="B353" s="376">
        <v>46114</v>
      </c>
      <c r="C353" s="377" t="str">
        <f t="shared" si="5"/>
        <v>Abril</v>
      </c>
      <c r="D353" s="378" t="s">
        <v>510</v>
      </c>
      <c r="E353" s="379" t="s">
        <v>506</v>
      </c>
      <c r="F353" s="380" t="s">
        <v>131</v>
      </c>
      <c r="G353" s="342" t="s">
        <v>145</v>
      </c>
      <c r="H353" s="378" t="s">
        <v>1348</v>
      </c>
      <c r="I353" s="342" t="s">
        <v>131</v>
      </c>
      <c r="J353" s="342" t="s">
        <v>131</v>
      </c>
      <c r="K353" s="342" t="s">
        <v>131</v>
      </c>
      <c r="L353" s="71" t="s">
        <v>485</v>
      </c>
      <c r="M353" s="71" t="s">
        <v>735</v>
      </c>
      <c r="N353" s="381" t="s">
        <v>135</v>
      </c>
      <c r="O353" s="295">
        <v>-50000</v>
      </c>
      <c r="P353" s="296"/>
      <c r="Q353"/>
      <c r="R353"/>
      <c r="S353"/>
      <c r="T353"/>
      <c r="U353"/>
      <c r="V353"/>
      <c r="W353"/>
      <c r="X353"/>
      <c r="Y353" s="45"/>
      <c r="AC353" s="45"/>
    </row>
    <row r="354" spans="2:29" s="341" customFormat="1" ht="21.75" hidden="1" customHeight="1">
      <c r="B354" s="376">
        <v>46114</v>
      </c>
      <c r="C354" s="377" t="str">
        <f t="shared" si="5"/>
        <v>Abril</v>
      </c>
      <c r="D354" s="378" t="s">
        <v>301</v>
      </c>
      <c r="E354" s="379" t="s">
        <v>526</v>
      </c>
      <c r="F354" s="380" t="s">
        <v>136</v>
      </c>
      <c r="G354" s="19" t="s">
        <v>1109</v>
      </c>
      <c r="H354" s="369" t="s">
        <v>1200</v>
      </c>
      <c r="I354" s="342" t="s">
        <v>131</v>
      </c>
      <c r="J354" s="112" t="s">
        <v>1201</v>
      </c>
      <c r="K354" s="112" t="s">
        <v>131</v>
      </c>
      <c r="L354" s="342" t="s">
        <v>137</v>
      </c>
      <c r="M354" s="342" t="s">
        <v>735</v>
      </c>
      <c r="N354" s="381" t="s">
        <v>135</v>
      </c>
      <c r="O354" s="295">
        <v>-70</v>
      </c>
      <c r="P354" s="296"/>
      <c r="Q354"/>
      <c r="R354"/>
      <c r="S354"/>
      <c r="T354"/>
      <c r="U354"/>
      <c r="V354"/>
      <c r="W354"/>
      <c r="X354"/>
      <c r="Y354" s="45"/>
      <c r="AC354" s="45"/>
    </row>
    <row r="355" spans="2:29" s="79" customFormat="1" ht="21.75" hidden="1" customHeight="1">
      <c r="B355" s="376">
        <v>46114</v>
      </c>
      <c r="C355" s="377" t="str">
        <f t="shared" si="5"/>
        <v>Abril</v>
      </c>
      <c r="D355" s="378" t="s">
        <v>383</v>
      </c>
      <c r="E355" s="379" t="s">
        <v>471</v>
      </c>
      <c r="F355" s="380" t="s">
        <v>131</v>
      </c>
      <c r="G355" s="342" t="s">
        <v>145</v>
      </c>
      <c r="H355" s="378" t="s">
        <v>1348</v>
      </c>
      <c r="I355" s="342" t="s">
        <v>131</v>
      </c>
      <c r="J355" s="343" t="s">
        <v>131</v>
      </c>
      <c r="K355" s="342" t="s">
        <v>131</v>
      </c>
      <c r="L355" s="71" t="s">
        <v>485</v>
      </c>
      <c r="M355" s="71" t="s">
        <v>730</v>
      </c>
      <c r="N355" s="381" t="s">
        <v>144</v>
      </c>
      <c r="O355" s="295">
        <v>50000</v>
      </c>
      <c r="P355" s="75"/>
      <c r="Y355" s="45"/>
      <c r="AC355" s="45"/>
    </row>
    <row r="356" spans="2:29" s="79" customFormat="1" ht="21.75" hidden="1" customHeight="1">
      <c r="B356" s="376">
        <v>46114</v>
      </c>
      <c r="C356" s="377" t="str">
        <f t="shared" si="5"/>
        <v>Abril</v>
      </c>
      <c r="D356" s="378" t="s">
        <v>508</v>
      </c>
      <c r="E356" s="379" t="s">
        <v>497</v>
      </c>
      <c r="F356" s="380" t="s">
        <v>534</v>
      </c>
      <c r="G356" s="342" t="s">
        <v>1250</v>
      </c>
      <c r="H356" s="369" t="s">
        <v>1317</v>
      </c>
      <c r="I356" s="342" t="s">
        <v>595</v>
      </c>
      <c r="J356" s="366" t="s">
        <v>1354</v>
      </c>
      <c r="K356" s="343" t="s">
        <v>131</v>
      </c>
      <c r="L356" s="342" t="s">
        <v>134</v>
      </c>
      <c r="M356" s="71" t="s">
        <v>730</v>
      </c>
      <c r="N356" s="80" t="s">
        <v>135</v>
      </c>
      <c r="O356" s="295">
        <v>-13094.4</v>
      </c>
      <c r="P356" s="75"/>
      <c r="Y356" s="45"/>
      <c r="AC356" s="45"/>
    </row>
    <row r="357" spans="2:29" s="79" customFormat="1" ht="21.75" hidden="1" customHeight="1">
      <c r="B357" s="68">
        <v>46114</v>
      </c>
      <c r="C357" s="69" t="str">
        <f t="shared" si="5"/>
        <v>Abril</v>
      </c>
      <c r="D357" s="77" t="s">
        <v>508</v>
      </c>
      <c r="E357" s="72" t="s">
        <v>497</v>
      </c>
      <c r="F357" s="70" t="s">
        <v>534</v>
      </c>
      <c r="G357" s="71" t="s">
        <v>1090</v>
      </c>
      <c r="H357" s="77" t="s">
        <v>1092</v>
      </c>
      <c r="I357" s="71" t="s">
        <v>595</v>
      </c>
      <c r="J357" s="393" t="s">
        <v>1073</v>
      </c>
      <c r="K357" s="78" t="s">
        <v>287</v>
      </c>
      <c r="L357" s="71" t="s">
        <v>137</v>
      </c>
      <c r="M357" s="71" t="s">
        <v>730</v>
      </c>
      <c r="N357" s="80" t="s">
        <v>135</v>
      </c>
      <c r="O357" s="295">
        <v>-2725</v>
      </c>
      <c r="P357" s="75"/>
      <c r="Y357" s="45"/>
      <c r="AC357" s="45"/>
    </row>
    <row r="358" spans="2:29" s="79" customFormat="1" ht="21.75" hidden="1" customHeight="1">
      <c r="B358" s="68">
        <v>46114</v>
      </c>
      <c r="C358" s="69" t="str">
        <f t="shared" si="5"/>
        <v>Abril</v>
      </c>
      <c r="D358" s="77" t="s">
        <v>298</v>
      </c>
      <c r="E358" s="72" t="s">
        <v>513</v>
      </c>
      <c r="F358" s="70" t="s">
        <v>138</v>
      </c>
      <c r="G358" s="71" t="s">
        <v>140</v>
      </c>
      <c r="H358" s="72" t="s">
        <v>152</v>
      </c>
      <c r="I358" s="71" t="s">
        <v>131</v>
      </c>
      <c r="J358" s="366" t="s">
        <v>1306</v>
      </c>
      <c r="K358" s="73" t="s">
        <v>131</v>
      </c>
      <c r="L358" s="71" t="s">
        <v>137</v>
      </c>
      <c r="M358" s="71" t="s">
        <v>735</v>
      </c>
      <c r="N358" s="80" t="s">
        <v>135</v>
      </c>
      <c r="O358" s="295">
        <v>-4885</v>
      </c>
      <c r="P358" s="75"/>
      <c r="Y358" s="45"/>
      <c r="AC358" s="45"/>
    </row>
    <row r="359" spans="2:29" s="79" customFormat="1" ht="21.75" hidden="1" customHeight="1">
      <c r="B359" s="68">
        <v>46114</v>
      </c>
      <c r="C359" s="69" t="str">
        <f t="shared" si="5"/>
        <v>Abril</v>
      </c>
      <c r="D359" s="77" t="s">
        <v>386</v>
      </c>
      <c r="E359" s="72" t="s">
        <v>468</v>
      </c>
      <c r="F359" s="70" t="s">
        <v>131</v>
      </c>
      <c r="G359" s="71" t="s">
        <v>480</v>
      </c>
      <c r="H359" s="72" t="s">
        <v>1008</v>
      </c>
      <c r="I359" s="71" t="s">
        <v>131</v>
      </c>
      <c r="J359" s="112" t="s">
        <v>131</v>
      </c>
      <c r="K359" s="73" t="s">
        <v>131</v>
      </c>
      <c r="L359" s="71" t="s">
        <v>131</v>
      </c>
      <c r="M359" s="71" t="s">
        <v>730</v>
      </c>
      <c r="N359" s="80" t="s">
        <v>586</v>
      </c>
      <c r="O359" s="295">
        <v>503.87</v>
      </c>
      <c r="P359" s="75"/>
      <c r="Y359" s="45"/>
      <c r="AC359" s="45"/>
    </row>
    <row r="360" spans="2:29" s="79" customFormat="1" ht="21.75" hidden="1" customHeight="1">
      <c r="B360" s="68">
        <v>46114</v>
      </c>
      <c r="C360" s="69" t="str">
        <f t="shared" si="5"/>
        <v>Abril</v>
      </c>
      <c r="D360" s="77" t="s">
        <v>386</v>
      </c>
      <c r="E360" s="72" t="s">
        <v>468</v>
      </c>
      <c r="F360" s="70" t="s">
        <v>131</v>
      </c>
      <c r="G360" s="71" t="s">
        <v>480</v>
      </c>
      <c r="H360" s="72" t="s">
        <v>1008</v>
      </c>
      <c r="I360" s="71" t="s">
        <v>131</v>
      </c>
      <c r="J360" s="112" t="s">
        <v>131</v>
      </c>
      <c r="K360" s="73" t="s">
        <v>131</v>
      </c>
      <c r="L360" s="71" t="s">
        <v>131</v>
      </c>
      <c r="M360" s="71" t="s">
        <v>730</v>
      </c>
      <c r="N360" s="80" t="s">
        <v>586</v>
      </c>
      <c r="O360" s="295">
        <v>1414.13</v>
      </c>
      <c r="P360" s="75"/>
      <c r="Y360" s="45"/>
      <c r="AC360" s="45"/>
    </row>
    <row r="361" spans="2:29" s="79" customFormat="1" ht="21.75" hidden="1" customHeight="1">
      <c r="B361" s="68">
        <v>46114</v>
      </c>
      <c r="C361" s="69" t="str">
        <f t="shared" si="5"/>
        <v>Abril</v>
      </c>
      <c r="D361" s="77" t="s">
        <v>300</v>
      </c>
      <c r="E361" s="72" t="s">
        <v>478</v>
      </c>
      <c r="F361" s="70" t="s">
        <v>136</v>
      </c>
      <c r="G361" s="71" t="s">
        <v>888</v>
      </c>
      <c r="H361" s="72" t="s">
        <v>1204</v>
      </c>
      <c r="I361" s="71" t="s">
        <v>131</v>
      </c>
      <c r="J361" s="366" t="s">
        <v>1205</v>
      </c>
      <c r="K361" s="73" t="s">
        <v>131</v>
      </c>
      <c r="L361" s="71" t="s">
        <v>137</v>
      </c>
      <c r="M361" s="71" t="s">
        <v>735</v>
      </c>
      <c r="N361" s="381" t="s">
        <v>135</v>
      </c>
      <c r="O361" s="295">
        <v>-1347.07</v>
      </c>
      <c r="P361" s="75"/>
      <c r="Y361" s="45"/>
      <c r="AC361" s="45"/>
    </row>
    <row r="362" spans="2:29" s="79" customFormat="1" ht="21.75" hidden="1" customHeight="1">
      <c r="B362" s="376">
        <v>46114</v>
      </c>
      <c r="C362" s="377" t="str">
        <f t="shared" si="5"/>
        <v>Abril</v>
      </c>
      <c r="D362" s="378" t="s">
        <v>386</v>
      </c>
      <c r="E362" s="379" t="s">
        <v>468</v>
      </c>
      <c r="F362" s="380" t="s">
        <v>131</v>
      </c>
      <c r="G362" s="342" t="s">
        <v>480</v>
      </c>
      <c r="H362" s="72" t="s">
        <v>1008</v>
      </c>
      <c r="I362" s="342" t="s">
        <v>131</v>
      </c>
      <c r="J362" s="112" t="s">
        <v>131</v>
      </c>
      <c r="K362" s="343" t="s">
        <v>131</v>
      </c>
      <c r="L362" s="342" t="s">
        <v>131</v>
      </c>
      <c r="M362" s="342" t="s">
        <v>730</v>
      </c>
      <c r="N362" s="381" t="s">
        <v>586</v>
      </c>
      <c r="O362" s="295">
        <v>258</v>
      </c>
      <c r="P362" s="75"/>
      <c r="Y362" s="45"/>
      <c r="AC362" s="45"/>
    </row>
    <row r="363" spans="2:29" s="79" customFormat="1" ht="21.75" hidden="1" customHeight="1">
      <c r="B363" s="68">
        <v>46114</v>
      </c>
      <c r="C363" s="69" t="str">
        <f t="shared" si="5"/>
        <v>Abril</v>
      </c>
      <c r="D363" s="77" t="s">
        <v>507</v>
      </c>
      <c r="E363" s="72" t="s">
        <v>494</v>
      </c>
      <c r="F363" s="70" t="s">
        <v>131</v>
      </c>
      <c r="G363" s="342" t="s">
        <v>480</v>
      </c>
      <c r="H363" s="77" t="s">
        <v>1349</v>
      </c>
      <c r="I363" s="71" t="s">
        <v>131</v>
      </c>
      <c r="J363" s="342" t="s">
        <v>131</v>
      </c>
      <c r="K363" s="71" t="s">
        <v>131</v>
      </c>
      <c r="L363" s="342" t="s">
        <v>485</v>
      </c>
      <c r="M363" s="71" t="s">
        <v>730</v>
      </c>
      <c r="N363" s="388" t="s">
        <v>587</v>
      </c>
      <c r="O363" s="295">
        <v>-50000</v>
      </c>
      <c r="P363" s="75"/>
      <c r="Q363" s="246"/>
      <c r="Y363" s="45"/>
      <c r="AC363" s="45"/>
    </row>
    <row r="364" spans="2:29" s="79" customFormat="1" ht="21.75" hidden="1" customHeight="1">
      <c r="B364" s="68">
        <v>46114</v>
      </c>
      <c r="C364" s="69" t="str">
        <f t="shared" si="5"/>
        <v>Abril</v>
      </c>
      <c r="D364" s="77" t="s">
        <v>386</v>
      </c>
      <c r="E364" s="72" t="s">
        <v>468</v>
      </c>
      <c r="F364" s="70" t="s">
        <v>131</v>
      </c>
      <c r="G364" s="71" t="s">
        <v>480</v>
      </c>
      <c r="H364" s="370" t="s">
        <v>1210</v>
      </c>
      <c r="I364" s="71" t="s">
        <v>131</v>
      </c>
      <c r="J364" s="112" t="s">
        <v>131</v>
      </c>
      <c r="K364" s="71" t="s">
        <v>131</v>
      </c>
      <c r="L364" s="71" t="s">
        <v>131</v>
      </c>
      <c r="M364" s="71" t="s">
        <v>730</v>
      </c>
      <c r="N364" s="80" t="s">
        <v>586</v>
      </c>
      <c r="O364" s="295">
        <v>13094.4</v>
      </c>
      <c r="P364" s="75"/>
      <c r="Y364" s="45"/>
      <c r="AC364" s="45"/>
    </row>
    <row r="365" spans="2:29" s="79" customFormat="1" ht="21.75" hidden="1" customHeight="1">
      <c r="B365" s="68">
        <v>46114</v>
      </c>
      <c r="C365" s="69" t="str">
        <f t="shared" si="5"/>
        <v>Abril</v>
      </c>
      <c r="D365" s="77" t="s">
        <v>298</v>
      </c>
      <c r="E365" s="72" t="s">
        <v>440</v>
      </c>
      <c r="F365" s="70" t="s">
        <v>136</v>
      </c>
      <c r="G365" s="71" t="s">
        <v>1384</v>
      </c>
      <c r="H365" s="72" t="s">
        <v>1352</v>
      </c>
      <c r="I365" s="71" t="s">
        <v>131</v>
      </c>
      <c r="J365" s="78" t="s">
        <v>1353</v>
      </c>
      <c r="K365" s="73" t="s">
        <v>272</v>
      </c>
      <c r="L365" s="342" t="s">
        <v>134</v>
      </c>
      <c r="M365" s="71" t="s">
        <v>735</v>
      </c>
      <c r="N365" s="80" t="s">
        <v>135</v>
      </c>
      <c r="O365" s="74">
        <v>-12500</v>
      </c>
      <c r="P365" s="75"/>
      <c r="Y365" s="45"/>
      <c r="AC365" s="45"/>
    </row>
    <row r="366" spans="2:29" s="79" customFormat="1" ht="21.75" hidden="1" customHeight="1">
      <c r="B366" s="68">
        <v>46114</v>
      </c>
      <c r="C366" s="69" t="str">
        <f t="shared" si="5"/>
        <v>Abril</v>
      </c>
      <c r="D366" s="77" t="s">
        <v>386</v>
      </c>
      <c r="E366" s="72" t="s">
        <v>468</v>
      </c>
      <c r="F366" s="70" t="s">
        <v>131</v>
      </c>
      <c r="G366" s="71" t="s">
        <v>480</v>
      </c>
      <c r="H366" s="370" t="s">
        <v>1210</v>
      </c>
      <c r="I366" s="71" t="s">
        <v>131</v>
      </c>
      <c r="J366" s="112" t="s">
        <v>131</v>
      </c>
      <c r="K366" s="71" t="s">
        <v>131</v>
      </c>
      <c r="L366" s="71" t="s">
        <v>131</v>
      </c>
      <c r="M366" s="71" t="s">
        <v>730</v>
      </c>
      <c r="N366" s="80" t="s">
        <v>586</v>
      </c>
      <c r="O366" s="295">
        <v>2450</v>
      </c>
      <c r="P366" s="75"/>
      <c r="Y366" s="45"/>
      <c r="AC366" s="45"/>
    </row>
    <row r="367" spans="2:29" s="79" customFormat="1" ht="21.75" hidden="1" customHeight="1">
      <c r="B367" s="68">
        <v>46114</v>
      </c>
      <c r="C367" s="377" t="str">
        <f t="shared" si="5"/>
        <v>Abril</v>
      </c>
      <c r="D367" s="378" t="s">
        <v>508</v>
      </c>
      <c r="E367" s="379" t="s">
        <v>497</v>
      </c>
      <c r="F367" s="380" t="s">
        <v>534</v>
      </c>
      <c r="G367" s="342" t="s">
        <v>674</v>
      </c>
      <c r="H367" s="369" t="s">
        <v>1355</v>
      </c>
      <c r="I367" s="342" t="s">
        <v>595</v>
      </c>
      <c r="J367" s="366" t="s">
        <v>1356</v>
      </c>
      <c r="K367" s="384" t="s">
        <v>205</v>
      </c>
      <c r="L367" s="343" t="s">
        <v>134</v>
      </c>
      <c r="M367" s="342" t="s">
        <v>730</v>
      </c>
      <c r="N367" s="80" t="s">
        <v>135</v>
      </c>
      <c r="O367" s="295">
        <v>-2450</v>
      </c>
      <c r="P367" s="75"/>
      <c r="Y367" s="45"/>
      <c r="AC367" s="45"/>
    </row>
    <row r="368" spans="2:29" s="79" customFormat="1" ht="21.75" hidden="1" customHeight="1">
      <c r="B368" s="68">
        <v>46117</v>
      </c>
      <c r="C368" s="69" t="str">
        <f t="shared" si="5"/>
        <v>Abril</v>
      </c>
      <c r="D368" s="77" t="s">
        <v>301</v>
      </c>
      <c r="E368" s="72" t="s">
        <v>526</v>
      </c>
      <c r="F368" s="70" t="s">
        <v>136</v>
      </c>
      <c r="G368" s="71" t="s">
        <v>548</v>
      </c>
      <c r="H368" s="77" t="s">
        <v>549</v>
      </c>
      <c r="I368" s="71" t="s">
        <v>131</v>
      </c>
      <c r="J368" s="366" t="s">
        <v>1442</v>
      </c>
      <c r="K368" s="73" t="s">
        <v>131</v>
      </c>
      <c r="L368" s="71" t="s">
        <v>134</v>
      </c>
      <c r="M368" s="71" t="s">
        <v>735</v>
      </c>
      <c r="N368" s="80" t="s">
        <v>135</v>
      </c>
      <c r="O368" s="295">
        <v>-70</v>
      </c>
      <c r="P368" s="75"/>
      <c r="Y368" s="45"/>
      <c r="AC368" s="45"/>
    </row>
    <row r="369" spans="2:29" s="79" customFormat="1" ht="21.75" hidden="1" customHeight="1">
      <c r="B369" s="68">
        <v>46117</v>
      </c>
      <c r="C369" s="69" t="str">
        <f t="shared" si="5"/>
        <v>Abril</v>
      </c>
      <c r="D369" s="77" t="s">
        <v>299</v>
      </c>
      <c r="E369" s="72" t="s">
        <v>757</v>
      </c>
      <c r="F369" s="70" t="s">
        <v>138</v>
      </c>
      <c r="G369" s="71" t="s">
        <v>148</v>
      </c>
      <c r="H369" s="77" t="s">
        <v>177</v>
      </c>
      <c r="I369" s="71" t="s">
        <v>131</v>
      </c>
      <c r="J369" s="389" t="s">
        <v>781</v>
      </c>
      <c r="K369" s="71" t="s">
        <v>131</v>
      </c>
      <c r="L369" s="71" t="s">
        <v>134</v>
      </c>
      <c r="M369" s="71" t="s">
        <v>735</v>
      </c>
      <c r="N369" s="80" t="s">
        <v>135</v>
      </c>
      <c r="O369" s="295">
        <v>-4498.5</v>
      </c>
      <c r="P369" s="75"/>
      <c r="Y369" s="45"/>
      <c r="AC369" s="45"/>
    </row>
    <row r="370" spans="2:29" s="79" customFormat="1" ht="21.75" hidden="1" customHeight="1">
      <c r="B370" s="68">
        <v>46117</v>
      </c>
      <c r="C370" s="69" t="str">
        <f t="shared" si="5"/>
        <v>Abril</v>
      </c>
      <c r="D370" s="77" t="s">
        <v>508</v>
      </c>
      <c r="E370" s="72" t="s">
        <v>497</v>
      </c>
      <c r="F370" s="70" t="s">
        <v>534</v>
      </c>
      <c r="G370" s="71" t="s">
        <v>753</v>
      </c>
      <c r="H370" s="72" t="s">
        <v>754</v>
      </c>
      <c r="I370" s="71" t="s">
        <v>595</v>
      </c>
      <c r="J370" s="342" t="s">
        <v>755</v>
      </c>
      <c r="K370" s="73" t="s">
        <v>288</v>
      </c>
      <c r="L370" s="71" t="s">
        <v>137</v>
      </c>
      <c r="M370" s="71" t="s">
        <v>730</v>
      </c>
      <c r="N370" s="80" t="s">
        <v>135</v>
      </c>
      <c r="O370" s="390">
        <v>-1918</v>
      </c>
      <c r="P370" s="75"/>
      <c r="Y370" s="45"/>
      <c r="AC370" s="45"/>
    </row>
    <row r="371" spans="2:29" s="341" customFormat="1" ht="21.75" hidden="1" customHeight="1">
      <c r="B371" s="68">
        <v>46118</v>
      </c>
      <c r="C371" s="69" t="str">
        <f t="shared" si="5"/>
        <v>Abril</v>
      </c>
      <c r="D371" s="77" t="s">
        <v>300</v>
      </c>
      <c r="E371" s="72" t="s">
        <v>438</v>
      </c>
      <c r="F371" s="70" t="s">
        <v>136</v>
      </c>
      <c r="G371" s="71" t="s">
        <v>539</v>
      </c>
      <c r="H371" s="72" t="s">
        <v>1222</v>
      </c>
      <c r="I371" s="71" t="s">
        <v>131</v>
      </c>
      <c r="J371" s="366" t="s">
        <v>1221</v>
      </c>
      <c r="K371" s="73" t="s">
        <v>131</v>
      </c>
      <c r="L371" s="71" t="s">
        <v>137</v>
      </c>
      <c r="M371" s="71" t="s">
        <v>735</v>
      </c>
      <c r="N371" s="80" t="s">
        <v>135</v>
      </c>
      <c r="O371" s="295">
        <v>-686.5</v>
      </c>
      <c r="P371" s="296"/>
      <c r="Q371"/>
      <c r="R371"/>
      <c r="S371"/>
      <c r="T371"/>
      <c r="U371"/>
      <c r="V371"/>
      <c r="W371"/>
      <c r="X371"/>
      <c r="Y371" s="45"/>
      <c r="AC371" s="45"/>
    </row>
    <row r="372" spans="2:29" s="79" customFormat="1" ht="21.75" hidden="1" customHeight="1">
      <c r="B372" s="376">
        <v>46118</v>
      </c>
      <c r="C372" s="377" t="str">
        <f t="shared" si="5"/>
        <v>Abril</v>
      </c>
      <c r="D372" s="378" t="s">
        <v>508</v>
      </c>
      <c r="E372" s="379" t="s">
        <v>497</v>
      </c>
      <c r="F372" s="380" t="s">
        <v>534</v>
      </c>
      <c r="G372" s="342" t="s">
        <v>948</v>
      </c>
      <c r="H372" s="378" t="s">
        <v>949</v>
      </c>
      <c r="I372" s="342" t="s">
        <v>595</v>
      </c>
      <c r="J372" s="372" t="s">
        <v>1315</v>
      </c>
      <c r="K372" s="342" t="s">
        <v>131</v>
      </c>
      <c r="L372" s="342" t="s">
        <v>137</v>
      </c>
      <c r="M372" s="342" t="s">
        <v>730</v>
      </c>
      <c r="N372" s="80" t="s">
        <v>135</v>
      </c>
      <c r="O372" s="74">
        <v>-258</v>
      </c>
      <c r="P372" s="75"/>
      <c r="Y372" s="45"/>
      <c r="AC372" s="45"/>
    </row>
    <row r="373" spans="2:29" s="79" customFormat="1" ht="21.75" hidden="1" customHeight="1">
      <c r="B373" s="376">
        <v>46121</v>
      </c>
      <c r="C373" s="377" t="str">
        <f t="shared" si="5"/>
        <v>Abril</v>
      </c>
      <c r="D373" s="378" t="s">
        <v>301</v>
      </c>
      <c r="E373" s="379" t="s">
        <v>414</v>
      </c>
      <c r="F373" s="380" t="s">
        <v>136</v>
      </c>
      <c r="G373" s="342" t="s">
        <v>954</v>
      </c>
      <c r="H373" s="378" t="s">
        <v>1382</v>
      </c>
      <c r="I373" s="342" t="s">
        <v>131</v>
      </c>
      <c r="J373" s="343" t="s">
        <v>1383</v>
      </c>
      <c r="K373" s="342" t="s">
        <v>131</v>
      </c>
      <c r="L373" s="342" t="s">
        <v>134</v>
      </c>
      <c r="M373" s="342" t="s">
        <v>735</v>
      </c>
      <c r="N373" s="80" t="s">
        <v>135</v>
      </c>
      <c r="O373" s="295">
        <v>-550</v>
      </c>
      <c r="P373" s="75"/>
      <c r="Y373" s="45"/>
      <c r="AC373" s="45"/>
    </row>
    <row r="374" spans="2:29" s="79" customFormat="1" ht="21.75" hidden="1" customHeight="1">
      <c r="B374" s="376">
        <v>46121</v>
      </c>
      <c r="C374" s="377" t="str">
        <f t="shared" si="5"/>
        <v>Abril</v>
      </c>
      <c r="D374" s="378" t="s">
        <v>300</v>
      </c>
      <c r="E374" s="379" t="s">
        <v>438</v>
      </c>
      <c r="F374" s="380" t="s">
        <v>136</v>
      </c>
      <c r="G374" s="342" t="s">
        <v>954</v>
      </c>
      <c r="H374" s="378" t="s">
        <v>1381</v>
      </c>
      <c r="I374" s="342" t="s">
        <v>131</v>
      </c>
      <c r="J374" s="343" t="s">
        <v>895</v>
      </c>
      <c r="K374" s="384" t="s">
        <v>131</v>
      </c>
      <c r="L374" s="342" t="s">
        <v>134</v>
      </c>
      <c r="M374" s="342" t="s">
        <v>735</v>
      </c>
      <c r="N374" s="80" t="s">
        <v>135</v>
      </c>
      <c r="O374" s="295">
        <v>-645</v>
      </c>
      <c r="P374" s="75"/>
      <c r="Y374" s="45"/>
      <c r="AC374" s="45"/>
    </row>
    <row r="375" spans="2:29" s="79" customFormat="1" ht="21.75" hidden="1" customHeight="1">
      <c r="B375" s="68">
        <v>46122</v>
      </c>
      <c r="C375" s="69" t="str">
        <f t="shared" si="5"/>
        <v>Abril</v>
      </c>
      <c r="D375" s="378" t="s">
        <v>300</v>
      </c>
      <c r="E375" s="379" t="s">
        <v>478</v>
      </c>
      <c r="F375" s="380" t="s">
        <v>136</v>
      </c>
      <c r="G375" s="71" t="s">
        <v>1279</v>
      </c>
      <c r="H375" s="72" t="s">
        <v>1280</v>
      </c>
      <c r="I375" s="71" t="s">
        <v>131</v>
      </c>
      <c r="J375" s="521" t="s">
        <v>1361</v>
      </c>
      <c r="K375" s="73" t="s">
        <v>131</v>
      </c>
      <c r="L375" s="71" t="s">
        <v>137</v>
      </c>
      <c r="M375" s="71" t="s">
        <v>735</v>
      </c>
      <c r="N375" s="80" t="s">
        <v>135</v>
      </c>
      <c r="O375" s="74">
        <v>-130</v>
      </c>
      <c r="P375" s="75"/>
      <c r="Y375" s="45"/>
      <c r="AC375" s="45"/>
    </row>
    <row r="376" spans="2:29" s="79" customFormat="1" ht="21.75" hidden="1" customHeight="1">
      <c r="B376" s="68">
        <v>46122</v>
      </c>
      <c r="C376" s="69" t="str">
        <f t="shared" si="5"/>
        <v>Abril</v>
      </c>
      <c r="D376" s="77" t="s">
        <v>298</v>
      </c>
      <c r="E376" s="72" t="s">
        <v>515</v>
      </c>
      <c r="F376" s="70" t="s">
        <v>138</v>
      </c>
      <c r="G376" s="71" t="s">
        <v>146</v>
      </c>
      <c r="H376" s="77" t="s">
        <v>153</v>
      </c>
      <c r="I376" s="71" t="s">
        <v>131</v>
      </c>
      <c r="J376" s="389" t="s">
        <v>788</v>
      </c>
      <c r="K376" s="71" t="s">
        <v>131</v>
      </c>
      <c r="L376" s="71" t="s">
        <v>134</v>
      </c>
      <c r="M376" s="71" t="s">
        <v>735</v>
      </c>
      <c r="N376" s="80" t="s">
        <v>135</v>
      </c>
      <c r="O376" s="295">
        <v>-1120</v>
      </c>
      <c r="P376" s="75"/>
      <c r="Y376" s="45"/>
      <c r="AC376" s="45"/>
    </row>
    <row r="377" spans="2:29" s="79" customFormat="1" ht="21.75" hidden="1" customHeight="1">
      <c r="B377" s="376">
        <v>46122</v>
      </c>
      <c r="C377" s="377" t="str">
        <f t="shared" si="5"/>
        <v>Abril</v>
      </c>
      <c r="D377" s="378" t="s">
        <v>300</v>
      </c>
      <c r="E377" s="379" t="s">
        <v>478</v>
      </c>
      <c r="F377" s="380" t="s">
        <v>136</v>
      </c>
      <c r="G377" s="342" t="s">
        <v>991</v>
      </c>
      <c r="H377" s="369" t="s">
        <v>1301</v>
      </c>
      <c r="I377" s="342" t="s">
        <v>595</v>
      </c>
      <c r="J377" s="112" t="s">
        <v>1283</v>
      </c>
      <c r="K377" s="343" t="s">
        <v>131</v>
      </c>
      <c r="L377" s="342" t="s">
        <v>137</v>
      </c>
      <c r="M377" s="71" t="s">
        <v>735</v>
      </c>
      <c r="N377" s="80" t="s">
        <v>135</v>
      </c>
      <c r="O377" s="390">
        <v>-349.7</v>
      </c>
      <c r="P377" s="75"/>
      <c r="Y377" s="45"/>
      <c r="AC377" s="45"/>
    </row>
    <row r="378" spans="2:29" s="79" customFormat="1" ht="21.75" hidden="1" customHeight="1">
      <c r="B378" s="68">
        <v>46122</v>
      </c>
      <c r="C378" s="69" t="str">
        <f t="shared" si="5"/>
        <v>Abril</v>
      </c>
      <c r="D378" s="77" t="s">
        <v>509</v>
      </c>
      <c r="E378" s="72" t="s">
        <v>500</v>
      </c>
      <c r="F378" s="70" t="s">
        <v>131</v>
      </c>
      <c r="G378" s="71" t="s">
        <v>132</v>
      </c>
      <c r="H378" s="77" t="s">
        <v>133</v>
      </c>
      <c r="I378" s="71" t="s">
        <v>131</v>
      </c>
      <c r="J378" s="343" t="s">
        <v>786</v>
      </c>
      <c r="K378" s="71" t="s">
        <v>131</v>
      </c>
      <c r="L378" s="71" t="s">
        <v>134</v>
      </c>
      <c r="M378" s="71" t="s">
        <v>735</v>
      </c>
      <c r="N378" s="80" t="s">
        <v>265</v>
      </c>
      <c r="O378" s="295">
        <v>-2530.29</v>
      </c>
      <c r="P378" s="75"/>
      <c r="Y378" s="45"/>
      <c r="AC378" s="45"/>
    </row>
    <row r="379" spans="2:29" s="79" customFormat="1" ht="21.75" hidden="1" customHeight="1">
      <c r="B379" s="68">
        <v>46122</v>
      </c>
      <c r="C379" s="69" t="str">
        <f t="shared" si="5"/>
        <v>Abril</v>
      </c>
      <c r="D379" s="77" t="s">
        <v>300</v>
      </c>
      <c r="E379" s="72" t="s">
        <v>1386</v>
      </c>
      <c r="F379" s="70" t="s">
        <v>136</v>
      </c>
      <c r="G379" s="71" t="s">
        <v>1387</v>
      </c>
      <c r="H379" s="77" t="s">
        <v>1388</v>
      </c>
      <c r="I379" s="71" t="s">
        <v>131</v>
      </c>
      <c r="J379" s="343" t="s">
        <v>1389</v>
      </c>
      <c r="K379" s="71" t="s">
        <v>131</v>
      </c>
      <c r="L379" s="71" t="s">
        <v>134</v>
      </c>
      <c r="M379" s="71" t="s">
        <v>735</v>
      </c>
      <c r="N379" s="80" t="s">
        <v>135</v>
      </c>
      <c r="O379" s="390">
        <v>-5000</v>
      </c>
      <c r="P379" s="75"/>
      <c r="Y379" s="45"/>
      <c r="AC379" s="45"/>
    </row>
    <row r="380" spans="2:29" s="79" customFormat="1" ht="21.75" hidden="1" customHeight="1">
      <c r="B380" s="376">
        <v>46122</v>
      </c>
      <c r="C380" s="377" t="str">
        <f t="shared" si="5"/>
        <v>Abril</v>
      </c>
      <c r="D380" s="378" t="s">
        <v>386</v>
      </c>
      <c r="E380" s="379" t="s">
        <v>468</v>
      </c>
      <c r="F380" s="380" t="s">
        <v>131</v>
      </c>
      <c r="G380" s="342" t="s">
        <v>480</v>
      </c>
      <c r="H380" s="378" t="s">
        <v>1008</v>
      </c>
      <c r="I380" s="342" t="s">
        <v>131</v>
      </c>
      <c r="J380" s="112" t="s">
        <v>131</v>
      </c>
      <c r="K380" s="343" t="s">
        <v>131</v>
      </c>
      <c r="L380" s="342" t="s">
        <v>131</v>
      </c>
      <c r="M380" s="342" t="s">
        <v>730</v>
      </c>
      <c r="N380" s="381" t="s">
        <v>586</v>
      </c>
      <c r="O380" s="295">
        <v>5194.1000000000004</v>
      </c>
      <c r="P380" s="75"/>
      <c r="Y380" s="45"/>
      <c r="AC380" s="45"/>
    </row>
    <row r="381" spans="2:29" s="79" customFormat="1" ht="21.75" hidden="1" customHeight="1">
      <c r="B381" s="68">
        <v>46123</v>
      </c>
      <c r="C381" s="69" t="str">
        <f t="shared" si="5"/>
        <v>Abril</v>
      </c>
      <c r="D381" s="77" t="s">
        <v>302</v>
      </c>
      <c r="E381" s="72" t="s">
        <v>436</v>
      </c>
      <c r="F381" s="70" t="s">
        <v>138</v>
      </c>
      <c r="G381" s="71" t="s">
        <v>480</v>
      </c>
      <c r="H381" s="379" t="s">
        <v>482</v>
      </c>
      <c r="I381" s="71" t="s">
        <v>131</v>
      </c>
      <c r="J381" s="389" t="s">
        <v>786</v>
      </c>
      <c r="K381" s="73" t="s">
        <v>131</v>
      </c>
      <c r="L381" s="71" t="s">
        <v>197</v>
      </c>
      <c r="M381" s="71" t="s">
        <v>730</v>
      </c>
      <c r="N381" s="80" t="s">
        <v>135</v>
      </c>
      <c r="O381" s="295">
        <v>-56.5</v>
      </c>
      <c r="P381" s="75"/>
      <c r="Y381" s="45"/>
      <c r="AC381" s="45"/>
    </row>
    <row r="382" spans="2:29" s="79" customFormat="1" ht="21.75" hidden="1" customHeight="1">
      <c r="B382" s="68">
        <v>46124</v>
      </c>
      <c r="C382" s="69" t="str">
        <f t="shared" si="5"/>
        <v>Abril</v>
      </c>
      <c r="D382" s="77" t="s">
        <v>508</v>
      </c>
      <c r="E382" s="72" t="s">
        <v>497</v>
      </c>
      <c r="F382" s="70" t="s">
        <v>534</v>
      </c>
      <c r="G382" s="71" t="s">
        <v>520</v>
      </c>
      <c r="H382" s="369" t="s">
        <v>638</v>
      </c>
      <c r="I382" s="342" t="s">
        <v>858</v>
      </c>
      <c r="J382" s="389" t="s">
        <v>979</v>
      </c>
      <c r="K382" s="73" t="s">
        <v>274</v>
      </c>
      <c r="L382" s="71" t="s">
        <v>137</v>
      </c>
      <c r="M382" s="71" t="s">
        <v>730</v>
      </c>
      <c r="N382" s="80" t="s">
        <v>135</v>
      </c>
      <c r="O382" s="295">
        <v>-5194.1000000000004</v>
      </c>
      <c r="P382" s="75"/>
      <c r="Y382" s="45"/>
      <c r="AC382" s="45"/>
    </row>
    <row r="383" spans="2:29" s="79" customFormat="1" ht="21.75" hidden="1" customHeight="1">
      <c r="B383" s="68">
        <v>46126</v>
      </c>
      <c r="C383" s="69" t="str">
        <f t="shared" si="5"/>
        <v>Abril</v>
      </c>
      <c r="D383" s="77" t="s">
        <v>509</v>
      </c>
      <c r="E383" s="72" t="s">
        <v>500</v>
      </c>
      <c r="F383" s="70" t="s">
        <v>131</v>
      </c>
      <c r="G383" s="71" t="s">
        <v>132</v>
      </c>
      <c r="H383" s="77" t="s">
        <v>133</v>
      </c>
      <c r="I383" s="71" t="s">
        <v>131</v>
      </c>
      <c r="J383" s="343" t="s">
        <v>786</v>
      </c>
      <c r="K383" s="71" t="s">
        <v>131</v>
      </c>
      <c r="L383" s="71" t="s">
        <v>134</v>
      </c>
      <c r="M383" s="71" t="s">
        <v>735</v>
      </c>
      <c r="N383" s="80" t="s">
        <v>265</v>
      </c>
      <c r="O383" s="295">
        <v>-600</v>
      </c>
      <c r="P383" s="75"/>
      <c r="Y383" s="45"/>
      <c r="AC383" s="45"/>
    </row>
    <row r="384" spans="2:29" s="79" customFormat="1" ht="21.75" hidden="1" customHeight="1">
      <c r="B384" s="376">
        <v>46126</v>
      </c>
      <c r="C384" s="377" t="str">
        <f t="shared" si="5"/>
        <v>Abril</v>
      </c>
      <c r="D384" s="378" t="s">
        <v>386</v>
      </c>
      <c r="E384" s="379" t="s">
        <v>468</v>
      </c>
      <c r="F384" s="380" t="s">
        <v>131</v>
      </c>
      <c r="G384" s="342" t="s">
        <v>480</v>
      </c>
      <c r="H384" s="72" t="s">
        <v>1008</v>
      </c>
      <c r="I384" s="342" t="s">
        <v>131</v>
      </c>
      <c r="J384" s="112" t="s">
        <v>131</v>
      </c>
      <c r="K384" s="343" t="s">
        <v>131</v>
      </c>
      <c r="L384" s="342" t="s">
        <v>131</v>
      </c>
      <c r="M384" s="71" t="s">
        <v>730</v>
      </c>
      <c r="N384" s="381" t="s">
        <v>586</v>
      </c>
      <c r="O384" s="390">
        <v>3000</v>
      </c>
      <c r="P384" s="75"/>
      <c r="Y384" s="45"/>
      <c r="AC384" s="45"/>
    </row>
    <row r="385" spans="2:29" s="79" customFormat="1" ht="21.75" hidden="1" customHeight="1">
      <c r="B385" s="376">
        <v>46126</v>
      </c>
      <c r="C385" s="377" t="str">
        <f t="shared" si="5"/>
        <v>Abril</v>
      </c>
      <c r="D385" s="378" t="s">
        <v>508</v>
      </c>
      <c r="E385" s="379" t="s">
        <v>497</v>
      </c>
      <c r="F385" s="380" t="s">
        <v>534</v>
      </c>
      <c r="G385" s="342" t="s">
        <v>1250</v>
      </c>
      <c r="H385" s="369" t="s">
        <v>1422</v>
      </c>
      <c r="I385" s="342" t="s">
        <v>595</v>
      </c>
      <c r="J385" s="366" t="s">
        <v>724</v>
      </c>
      <c r="K385" s="343" t="s">
        <v>131</v>
      </c>
      <c r="L385" s="342" t="s">
        <v>134</v>
      </c>
      <c r="M385" s="71" t="s">
        <v>730</v>
      </c>
      <c r="N385" s="381" t="s">
        <v>135</v>
      </c>
      <c r="O385" s="295">
        <v>-3000</v>
      </c>
      <c r="P385" s="75"/>
      <c r="Y385" s="45"/>
      <c r="AC385" s="45"/>
    </row>
    <row r="386" spans="2:29" s="79" customFormat="1" ht="21.75" hidden="1" customHeight="1">
      <c r="B386" s="68">
        <v>46127</v>
      </c>
      <c r="C386" s="69" t="str">
        <f t="shared" si="5"/>
        <v>Abril</v>
      </c>
      <c r="D386" s="77" t="s">
        <v>300</v>
      </c>
      <c r="E386" s="72" t="s">
        <v>433</v>
      </c>
      <c r="F386" s="70" t="s">
        <v>136</v>
      </c>
      <c r="G386" s="71" t="s">
        <v>142</v>
      </c>
      <c r="H386" s="77" t="s">
        <v>155</v>
      </c>
      <c r="I386" s="71" t="s">
        <v>131</v>
      </c>
      <c r="J386" s="521" t="s">
        <v>1362</v>
      </c>
      <c r="K386" s="73" t="s">
        <v>131</v>
      </c>
      <c r="L386" s="71" t="s">
        <v>137</v>
      </c>
      <c r="M386" s="71" t="s">
        <v>735</v>
      </c>
      <c r="N386" s="381" t="s">
        <v>135</v>
      </c>
      <c r="O386" s="295">
        <f>-312.5-608-1944</f>
        <v>-2864.5</v>
      </c>
      <c r="P386" s="75"/>
      <c r="Y386" s="45"/>
      <c r="AC386" s="45"/>
    </row>
    <row r="387" spans="2:29" s="465" customFormat="1" ht="21.75" hidden="1" customHeight="1">
      <c r="B387" s="68">
        <v>46127</v>
      </c>
      <c r="C387" s="69" t="str">
        <f t="shared" si="5"/>
        <v>Abril</v>
      </c>
      <c r="D387" s="77" t="s">
        <v>298</v>
      </c>
      <c r="E387" s="72" t="s">
        <v>440</v>
      </c>
      <c r="F387" s="70" t="s">
        <v>136</v>
      </c>
      <c r="G387" s="19" t="s">
        <v>426</v>
      </c>
      <c r="H387" s="369" t="s">
        <v>1224</v>
      </c>
      <c r="I387" s="71" t="s">
        <v>131</v>
      </c>
      <c r="J387" s="342" t="s">
        <v>131</v>
      </c>
      <c r="K387" s="112" t="s">
        <v>131</v>
      </c>
      <c r="L387" s="71" t="s">
        <v>1046</v>
      </c>
      <c r="M387" s="71" t="s">
        <v>735</v>
      </c>
      <c r="N387" s="80" t="s">
        <v>135</v>
      </c>
      <c r="O387" s="295">
        <v>-333.09</v>
      </c>
      <c r="P387" s="296"/>
      <c r="Y387" s="45"/>
      <c r="AC387" s="45"/>
    </row>
    <row r="388" spans="2:29" s="465" customFormat="1" ht="21.75" hidden="1" customHeight="1">
      <c r="B388" s="68">
        <v>46127</v>
      </c>
      <c r="C388" s="69" t="str">
        <f t="shared" si="5"/>
        <v>Abril</v>
      </c>
      <c r="D388" s="77" t="s">
        <v>298</v>
      </c>
      <c r="E388" s="72" t="s">
        <v>440</v>
      </c>
      <c r="F388" s="70" t="s">
        <v>136</v>
      </c>
      <c r="G388" s="71" t="s">
        <v>425</v>
      </c>
      <c r="H388" s="72" t="s">
        <v>251</v>
      </c>
      <c r="I388" s="71" t="s">
        <v>131</v>
      </c>
      <c r="J388" s="112" t="s">
        <v>131</v>
      </c>
      <c r="K388" s="73" t="s">
        <v>276</v>
      </c>
      <c r="L388" s="71" t="s">
        <v>1046</v>
      </c>
      <c r="M388" s="71" t="s">
        <v>735</v>
      </c>
      <c r="N388" s="80" t="s">
        <v>135</v>
      </c>
      <c r="O388" s="295">
        <v>-24.16</v>
      </c>
      <c r="P388" s="296"/>
      <c r="Y388" s="45"/>
      <c r="AC388" s="45"/>
    </row>
    <row r="389" spans="2:29" s="79" customFormat="1" ht="21.75" hidden="1" customHeight="1">
      <c r="B389" s="68">
        <v>46127</v>
      </c>
      <c r="C389" s="69" t="str">
        <f t="shared" si="5"/>
        <v>Abril</v>
      </c>
      <c r="D389" s="77" t="s">
        <v>298</v>
      </c>
      <c r="E389" s="72" t="s">
        <v>440</v>
      </c>
      <c r="F389" s="70" t="s">
        <v>136</v>
      </c>
      <c r="G389" s="71" t="s">
        <v>426</v>
      </c>
      <c r="H389" s="77" t="s">
        <v>252</v>
      </c>
      <c r="I389" s="71" t="s">
        <v>131</v>
      </c>
      <c r="J389" s="342" t="s">
        <v>1441</v>
      </c>
      <c r="K389" s="71" t="s">
        <v>277</v>
      </c>
      <c r="L389" s="71" t="s">
        <v>1046</v>
      </c>
      <c r="M389" s="71" t="s">
        <v>735</v>
      </c>
      <c r="N389" s="80" t="s">
        <v>135</v>
      </c>
      <c r="O389" s="295">
        <v>-413.38</v>
      </c>
      <c r="P389" s="75"/>
      <c r="Y389" s="45"/>
      <c r="AC389" s="45"/>
    </row>
    <row r="390" spans="2:29" s="79" customFormat="1" ht="21.75" hidden="1" customHeight="1">
      <c r="B390" s="376">
        <v>46127</v>
      </c>
      <c r="C390" s="377" t="str">
        <f t="shared" ref="C390:C453" si="6">PROPER(TEXT(B390,"MMMM"))</f>
        <v>Abril</v>
      </c>
      <c r="D390" s="378" t="s">
        <v>508</v>
      </c>
      <c r="E390" s="379" t="s">
        <v>497</v>
      </c>
      <c r="F390" s="380" t="s">
        <v>534</v>
      </c>
      <c r="G390" s="342" t="s">
        <v>1263</v>
      </c>
      <c r="H390" s="369" t="s">
        <v>1264</v>
      </c>
      <c r="I390" s="342" t="s">
        <v>595</v>
      </c>
      <c r="J390" s="342" t="s">
        <v>1364</v>
      </c>
      <c r="K390" s="343" t="s">
        <v>1265</v>
      </c>
      <c r="L390" s="342" t="s">
        <v>1046</v>
      </c>
      <c r="M390" s="71" t="s">
        <v>730</v>
      </c>
      <c r="N390" s="381" t="s">
        <v>135</v>
      </c>
      <c r="O390" s="295">
        <v>-146.77000000000001</v>
      </c>
      <c r="P390" s="75"/>
      <c r="Y390" s="45"/>
      <c r="AC390" s="45"/>
    </row>
    <row r="391" spans="2:29" s="79" customFormat="1" ht="21.75" hidden="1" customHeight="1">
      <c r="B391" s="68">
        <v>46127</v>
      </c>
      <c r="C391" s="69" t="str">
        <f t="shared" si="6"/>
        <v>Abril</v>
      </c>
      <c r="D391" s="77" t="s">
        <v>300</v>
      </c>
      <c r="E391" s="72" t="s">
        <v>432</v>
      </c>
      <c r="F391" s="70" t="s">
        <v>136</v>
      </c>
      <c r="G391" s="71" t="s">
        <v>434</v>
      </c>
      <c r="H391" s="72" t="s">
        <v>154</v>
      </c>
      <c r="I391" s="71" t="s">
        <v>131</v>
      </c>
      <c r="J391" s="112" t="s">
        <v>1226</v>
      </c>
      <c r="K391" s="73" t="s">
        <v>131</v>
      </c>
      <c r="L391" s="71" t="s">
        <v>1046</v>
      </c>
      <c r="M391" s="71" t="s">
        <v>735</v>
      </c>
      <c r="N391" s="80" t="s">
        <v>135</v>
      </c>
      <c r="O391" s="295">
        <v>-235.52</v>
      </c>
      <c r="P391" s="75"/>
      <c r="Y391" s="45"/>
      <c r="AC391" s="45"/>
    </row>
    <row r="392" spans="2:29" s="79" customFormat="1" ht="21.75" hidden="1" customHeight="1">
      <c r="B392" s="68">
        <v>46127</v>
      </c>
      <c r="C392" s="69" t="str">
        <f t="shared" si="6"/>
        <v>Abril</v>
      </c>
      <c r="D392" s="77" t="s">
        <v>299</v>
      </c>
      <c r="E392" s="72" t="s">
        <v>303</v>
      </c>
      <c r="F392" s="70" t="s">
        <v>136</v>
      </c>
      <c r="G392" s="19" t="s">
        <v>1157</v>
      </c>
      <c r="H392" s="369" t="s">
        <v>1158</v>
      </c>
      <c r="I392" s="71" t="s">
        <v>131</v>
      </c>
      <c r="J392" s="112" t="s">
        <v>1228</v>
      </c>
      <c r="K392" s="112" t="s">
        <v>131</v>
      </c>
      <c r="L392" s="71" t="s">
        <v>1046</v>
      </c>
      <c r="M392" s="71" t="s">
        <v>735</v>
      </c>
      <c r="N392" s="80" t="s">
        <v>135</v>
      </c>
      <c r="O392" s="295">
        <v>-150</v>
      </c>
      <c r="P392" s="75"/>
      <c r="Y392" s="45"/>
      <c r="AC392" s="45"/>
    </row>
    <row r="393" spans="2:29" s="79" customFormat="1" ht="21.75" hidden="1" customHeight="1">
      <c r="B393" s="68">
        <v>46127</v>
      </c>
      <c r="C393" s="69" t="str">
        <f t="shared" si="6"/>
        <v>Abril</v>
      </c>
      <c r="D393" s="77" t="s">
        <v>508</v>
      </c>
      <c r="E393" s="72" t="s">
        <v>497</v>
      </c>
      <c r="F393" s="70" t="s">
        <v>534</v>
      </c>
      <c r="G393" s="71" t="s">
        <v>1187</v>
      </c>
      <c r="H393" s="77" t="s">
        <v>1188</v>
      </c>
      <c r="I393" s="71" t="s">
        <v>595</v>
      </c>
      <c r="J393" s="393" t="s">
        <v>1189</v>
      </c>
      <c r="K393" s="78" t="s">
        <v>131</v>
      </c>
      <c r="L393" s="71" t="s">
        <v>1046</v>
      </c>
      <c r="M393" s="71" t="s">
        <v>730</v>
      </c>
      <c r="N393" s="381" t="s">
        <v>135</v>
      </c>
      <c r="O393" s="295">
        <v>-47.6</v>
      </c>
      <c r="P393" s="75"/>
      <c r="Y393" s="45"/>
      <c r="AC393" s="45"/>
    </row>
    <row r="394" spans="2:29" s="79" customFormat="1" ht="21.75" hidden="1" customHeight="1">
      <c r="B394" s="68">
        <v>46127</v>
      </c>
      <c r="C394" s="69" t="str">
        <f t="shared" si="6"/>
        <v>Abril</v>
      </c>
      <c r="D394" s="77" t="s">
        <v>508</v>
      </c>
      <c r="E394" s="72" t="s">
        <v>497</v>
      </c>
      <c r="F394" s="70" t="s">
        <v>534</v>
      </c>
      <c r="G394" s="71" t="s">
        <v>998</v>
      </c>
      <c r="H394" s="77" t="s">
        <v>1001</v>
      </c>
      <c r="I394" s="71" t="s">
        <v>595</v>
      </c>
      <c r="J394" s="393" t="s">
        <v>1016</v>
      </c>
      <c r="K394" s="78" t="s">
        <v>288</v>
      </c>
      <c r="L394" s="71" t="s">
        <v>1046</v>
      </c>
      <c r="M394" s="71" t="s">
        <v>730</v>
      </c>
      <c r="N394" s="381" t="s">
        <v>135</v>
      </c>
      <c r="O394" s="295">
        <v>-361.37</v>
      </c>
      <c r="P394" s="75"/>
      <c r="Y394" s="45"/>
      <c r="AC394" s="45"/>
    </row>
    <row r="395" spans="2:29" s="79" customFormat="1" ht="21.75" hidden="1" customHeight="1">
      <c r="B395" s="68">
        <v>46127</v>
      </c>
      <c r="C395" s="69" t="str">
        <f t="shared" si="6"/>
        <v>Abril</v>
      </c>
      <c r="D395" s="77" t="s">
        <v>508</v>
      </c>
      <c r="E395" s="72" t="s">
        <v>497</v>
      </c>
      <c r="F395" s="70" t="s">
        <v>534</v>
      </c>
      <c r="G395" s="71" t="s">
        <v>998</v>
      </c>
      <c r="H395" s="77" t="s">
        <v>1005</v>
      </c>
      <c r="I395" s="71" t="s">
        <v>595</v>
      </c>
      <c r="J395" s="393" t="s">
        <v>999</v>
      </c>
      <c r="K395" s="78" t="s">
        <v>288</v>
      </c>
      <c r="L395" s="71" t="s">
        <v>1046</v>
      </c>
      <c r="M395" s="71" t="s">
        <v>730</v>
      </c>
      <c r="N395" s="381" t="s">
        <v>135</v>
      </c>
      <c r="O395" s="295">
        <v>-940</v>
      </c>
      <c r="P395" s="75"/>
      <c r="Y395" s="45"/>
      <c r="AC395" s="45"/>
    </row>
    <row r="396" spans="2:29" s="341" customFormat="1" ht="21.75" hidden="1" customHeight="1">
      <c r="B396" s="68">
        <v>46127</v>
      </c>
      <c r="C396" s="69" t="str">
        <f t="shared" si="6"/>
        <v>Abril</v>
      </c>
      <c r="D396" s="77" t="s">
        <v>508</v>
      </c>
      <c r="E396" s="72" t="s">
        <v>497</v>
      </c>
      <c r="F396" s="70" t="s">
        <v>534</v>
      </c>
      <c r="G396" s="71" t="s">
        <v>1305</v>
      </c>
      <c r="H396" s="369" t="s">
        <v>1360</v>
      </c>
      <c r="I396" s="71" t="s">
        <v>595</v>
      </c>
      <c r="J396" s="389" t="s">
        <v>1236</v>
      </c>
      <c r="K396" s="73" t="s">
        <v>1237</v>
      </c>
      <c r="L396" s="71" t="s">
        <v>1046</v>
      </c>
      <c r="M396" s="71" t="s">
        <v>730</v>
      </c>
      <c r="N396" s="381" t="s">
        <v>135</v>
      </c>
      <c r="O396" s="295">
        <v>-2288.41</v>
      </c>
      <c r="P396" s="296"/>
      <c r="Q396"/>
      <c r="R396"/>
      <c r="S396"/>
      <c r="T396"/>
      <c r="U396"/>
      <c r="V396"/>
      <c r="W396"/>
      <c r="X396"/>
      <c r="Y396" s="45"/>
      <c r="AC396" s="45"/>
    </row>
    <row r="397" spans="2:29" s="79" customFormat="1" ht="21.75" hidden="1" customHeight="1">
      <c r="B397" s="68">
        <v>46127</v>
      </c>
      <c r="C397" s="69" t="str">
        <f t="shared" si="6"/>
        <v>Abril</v>
      </c>
      <c r="D397" s="378" t="s">
        <v>386</v>
      </c>
      <c r="E397" s="379" t="s">
        <v>468</v>
      </c>
      <c r="F397" s="380" t="s">
        <v>131</v>
      </c>
      <c r="G397" s="342" t="s">
        <v>480</v>
      </c>
      <c r="H397" s="72" t="s">
        <v>1008</v>
      </c>
      <c r="I397" s="342" t="s">
        <v>131</v>
      </c>
      <c r="J397" s="112" t="s">
        <v>131</v>
      </c>
      <c r="K397" s="343" t="s">
        <v>131</v>
      </c>
      <c r="L397" s="342" t="s">
        <v>131</v>
      </c>
      <c r="M397" s="71" t="s">
        <v>730</v>
      </c>
      <c r="N397" s="381" t="s">
        <v>586</v>
      </c>
      <c r="O397" s="390">
        <v>7520.15</v>
      </c>
      <c r="P397" s="75"/>
      <c r="Y397" s="45"/>
      <c r="AC397" s="45"/>
    </row>
    <row r="398" spans="2:29" ht="21.75" hidden="1" customHeight="1">
      <c r="B398" s="376">
        <v>46127</v>
      </c>
      <c r="C398" s="377" t="str">
        <f t="shared" si="6"/>
        <v>Abril</v>
      </c>
      <c r="D398" s="378" t="s">
        <v>386</v>
      </c>
      <c r="E398" s="379" t="s">
        <v>468</v>
      </c>
      <c r="F398" s="380" t="s">
        <v>131</v>
      </c>
      <c r="G398" s="342" t="s">
        <v>480</v>
      </c>
      <c r="H398" s="378" t="s">
        <v>1008</v>
      </c>
      <c r="I398" s="342" t="s">
        <v>131</v>
      </c>
      <c r="J398" s="112" t="s">
        <v>131</v>
      </c>
      <c r="K398" s="343" t="s">
        <v>131</v>
      </c>
      <c r="L398" s="342" t="s">
        <v>131</v>
      </c>
      <c r="M398" s="342" t="s">
        <v>730</v>
      </c>
      <c r="N398" s="381" t="s">
        <v>586</v>
      </c>
      <c r="O398" s="390">
        <v>890</v>
      </c>
      <c r="P398" s="75"/>
      <c r="Z398" s="16"/>
      <c r="AA398" s="16"/>
      <c r="AB398" s="16"/>
    </row>
    <row r="399" spans="2:29" s="341" customFormat="1" ht="21.75" hidden="1" customHeight="1">
      <c r="B399" s="68">
        <v>46127</v>
      </c>
      <c r="C399" s="69" t="str">
        <f t="shared" si="6"/>
        <v>Abril</v>
      </c>
      <c r="D399" s="77" t="s">
        <v>508</v>
      </c>
      <c r="E399" s="72" t="s">
        <v>497</v>
      </c>
      <c r="F399" s="70" t="s">
        <v>534</v>
      </c>
      <c r="G399" s="71" t="s">
        <v>1295</v>
      </c>
      <c r="H399" s="77" t="s">
        <v>1296</v>
      </c>
      <c r="I399" s="71" t="s">
        <v>595</v>
      </c>
      <c r="J399" s="393" t="s">
        <v>1297</v>
      </c>
      <c r="K399" s="78" t="s">
        <v>205</v>
      </c>
      <c r="L399" s="71" t="s">
        <v>1046</v>
      </c>
      <c r="M399" s="71" t="s">
        <v>730</v>
      </c>
      <c r="N399" s="381" t="s">
        <v>135</v>
      </c>
      <c r="O399" s="295">
        <v>-481.5</v>
      </c>
      <c r="P399" s="296"/>
      <c r="Q399"/>
      <c r="R399"/>
      <c r="S399"/>
      <c r="T399"/>
      <c r="U399"/>
      <c r="V399"/>
      <c r="W399"/>
      <c r="X399"/>
      <c r="Y399" s="45"/>
      <c r="AC399" s="45"/>
    </row>
    <row r="400" spans="2:29" s="341" customFormat="1" ht="21.75" hidden="1" customHeight="1">
      <c r="B400" s="68">
        <v>46127</v>
      </c>
      <c r="C400" s="69" t="str">
        <f t="shared" si="6"/>
        <v>Abril</v>
      </c>
      <c r="D400" s="77" t="s">
        <v>508</v>
      </c>
      <c r="E400" s="72" t="s">
        <v>497</v>
      </c>
      <c r="F400" s="70" t="s">
        <v>534</v>
      </c>
      <c r="G400" s="71" t="s">
        <v>1303</v>
      </c>
      <c r="H400" s="77" t="s">
        <v>1304</v>
      </c>
      <c r="I400" s="71" t="s">
        <v>595</v>
      </c>
      <c r="J400" s="393" t="s">
        <v>1313</v>
      </c>
      <c r="K400" s="78" t="s">
        <v>131</v>
      </c>
      <c r="L400" s="71" t="s">
        <v>1046</v>
      </c>
      <c r="M400" s="71" t="s">
        <v>730</v>
      </c>
      <c r="N400" s="381" t="s">
        <v>135</v>
      </c>
      <c r="O400" s="295">
        <v>-3242</v>
      </c>
      <c r="P400" s="296"/>
      <c r="Q400"/>
      <c r="R400"/>
      <c r="S400"/>
      <c r="T400"/>
      <c r="U400"/>
      <c r="V400"/>
      <c r="W400"/>
      <c r="X400"/>
      <c r="Y400" s="45"/>
      <c r="AC400" s="45"/>
    </row>
    <row r="401" spans="2:29" ht="21.75" hidden="1" customHeight="1">
      <c r="B401" s="376">
        <v>46127</v>
      </c>
      <c r="C401" s="377" t="str">
        <f t="shared" si="6"/>
        <v>Abril</v>
      </c>
      <c r="D401" s="378" t="s">
        <v>386</v>
      </c>
      <c r="E401" s="379" t="s">
        <v>468</v>
      </c>
      <c r="F401" s="380" t="s">
        <v>131</v>
      </c>
      <c r="G401" s="342" t="s">
        <v>480</v>
      </c>
      <c r="H401" s="72" t="s">
        <v>1008</v>
      </c>
      <c r="I401" s="342" t="s">
        <v>131</v>
      </c>
      <c r="J401" s="112" t="s">
        <v>131</v>
      </c>
      <c r="K401" s="343" t="s">
        <v>131</v>
      </c>
      <c r="L401" s="342" t="s">
        <v>131</v>
      </c>
      <c r="M401" s="342" t="s">
        <v>730</v>
      </c>
      <c r="N401" s="381" t="s">
        <v>586</v>
      </c>
      <c r="O401" s="295">
        <v>1545.65</v>
      </c>
      <c r="P401" s="75"/>
      <c r="Z401" s="16"/>
      <c r="AA401" s="16"/>
      <c r="AB401" s="16"/>
    </row>
    <row r="402" spans="2:29" ht="21.75" hidden="1" customHeight="1">
      <c r="B402" s="68">
        <v>46127</v>
      </c>
      <c r="C402" s="69" t="str">
        <f t="shared" si="6"/>
        <v>Abril</v>
      </c>
      <c r="D402" s="77" t="s">
        <v>302</v>
      </c>
      <c r="E402" s="72" t="s">
        <v>1408</v>
      </c>
      <c r="F402" s="70" t="s">
        <v>136</v>
      </c>
      <c r="G402" s="71" t="s">
        <v>480</v>
      </c>
      <c r="H402" s="77" t="s">
        <v>1391</v>
      </c>
      <c r="I402" s="71" t="s">
        <v>131</v>
      </c>
      <c r="J402" s="521" t="s">
        <v>786</v>
      </c>
      <c r="K402" s="73" t="s">
        <v>277</v>
      </c>
      <c r="L402" s="71" t="s">
        <v>1046</v>
      </c>
      <c r="M402" s="71" t="s">
        <v>730</v>
      </c>
      <c r="N402" s="381" t="s">
        <v>135</v>
      </c>
      <c r="O402" s="74">
        <v>-12.5</v>
      </c>
      <c r="P402" s="75"/>
      <c r="Z402" s="16"/>
      <c r="AA402" s="16"/>
      <c r="AB402" s="16"/>
    </row>
    <row r="403" spans="2:29" ht="21.75" hidden="1" customHeight="1">
      <c r="B403" s="68">
        <v>46128</v>
      </c>
      <c r="C403" s="69" t="str">
        <f t="shared" si="6"/>
        <v>Abril</v>
      </c>
      <c r="D403" s="77" t="s">
        <v>300</v>
      </c>
      <c r="E403" s="72" t="s">
        <v>475</v>
      </c>
      <c r="F403" s="70" t="s">
        <v>136</v>
      </c>
      <c r="G403" s="71" t="s">
        <v>212</v>
      </c>
      <c r="H403" s="378" t="s">
        <v>1277</v>
      </c>
      <c r="I403" s="71" t="s">
        <v>131</v>
      </c>
      <c r="J403" s="366" t="s">
        <v>1275</v>
      </c>
      <c r="K403" s="71" t="s">
        <v>131</v>
      </c>
      <c r="L403" s="71" t="s">
        <v>137</v>
      </c>
      <c r="M403" s="71" t="s">
        <v>735</v>
      </c>
      <c r="N403" s="80" t="s">
        <v>135</v>
      </c>
      <c r="O403" s="295">
        <v>-851.7</v>
      </c>
      <c r="P403" s="75"/>
      <c r="Z403" s="16"/>
      <c r="AA403" s="16"/>
      <c r="AB403" s="16"/>
    </row>
    <row r="404" spans="2:29" s="79" customFormat="1" ht="21.75" hidden="1" customHeight="1">
      <c r="B404" s="68">
        <v>46128</v>
      </c>
      <c r="C404" s="69" t="str">
        <f t="shared" si="6"/>
        <v>Abril</v>
      </c>
      <c r="D404" s="77" t="s">
        <v>508</v>
      </c>
      <c r="E404" s="72" t="s">
        <v>497</v>
      </c>
      <c r="F404" s="70" t="s">
        <v>534</v>
      </c>
      <c r="G404" s="71" t="s">
        <v>702</v>
      </c>
      <c r="H404" s="77" t="s">
        <v>703</v>
      </c>
      <c r="I404" s="71" t="s">
        <v>595</v>
      </c>
      <c r="J404" s="366" t="s">
        <v>1120</v>
      </c>
      <c r="K404" s="78" t="s">
        <v>273</v>
      </c>
      <c r="L404" s="71" t="s">
        <v>137</v>
      </c>
      <c r="M404" s="71" t="s">
        <v>730</v>
      </c>
      <c r="N404" s="80" t="s">
        <v>135</v>
      </c>
      <c r="O404" s="295">
        <v>-890</v>
      </c>
      <c r="P404" s="75"/>
      <c r="Y404" s="45"/>
      <c r="AC404" s="45"/>
    </row>
    <row r="405" spans="2:29" ht="21.75" hidden="1" customHeight="1">
      <c r="B405" s="376">
        <v>46128</v>
      </c>
      <c r="C405" s="377" t="str">
        <f t="shared" si="6"/>
        <v>Abril</v>
      </c>
      <c r="D405" s="378" t="s">
        <v>386</v>
      </c>
      <c r="E405" s="379" t="s">
        <v>468</v>
      </c>
      <c r="F405" s="380" t="s">
        <v>131</v>
      </c>
      <c r="G405" s="342" t="s">
        <v>480</v>
      </c>
      <c r="H405" s="72" t="s">
        <v>1008</v>
      </c>
      <c r="I405" s="342" t="s">
        <v>131</v>
      </c>
      <c r="J405" s="112" t="s">
        <v>131</v>
      </c>
      <c r="K405" s="343" t="s">
        <v>131</v>
      </c>
      <c r="L405" s="342" t="s">
        <v>131</v>
      </c>
      <c r="M405" s="342" t="s">
        <v>730</v>
      </c>
      <c r="N405" s="381" t="s">
        <v>586</v>
      </c>
      <c r="O405" s="295">
        <v>2850</v>
      </c>
      <c r="P405" s="75"/>
      <c r="Z405" s="16"/>
      <c r="AA405" s="16"/>
      <c r="AB405" s="16"/>
    </row>
    <row r="406" spans="2:29" ht="21.75" hidden="1" customHeight="1">
      <c r="B406" s="376">
        <v>46128</v>
      </c>
      <c r="C406" s="377" t="str">
        <f t="shared" si="6"/>
        <v>Abril</v>
      </c>
      <c r="D406" s="378" t="s">
        <v>508</v>
      </c>
      <c r="E406" s="379" t="s">
        <v>497</v>
      </c>
      <c r="F406" s="380" t="s">
        <v>534</v>
      </c>
      <c r="G406" s="19" t="s">
        <v>853</v>
      </c>
      <c r="H406" s="369" t="s">
        <v>854</v>
      </c>
      <c r="I406" s="342" t="s">
        <v>595</v>
      </c>
      <c r="J406" s="112" t="s">
        <v>1289</v>
      </c>
      <c r="K406" s="112" t="s">
        <v>131</v>
      </c>
      <c r="L406" s="342" t="s">
        <v>137</v>
      </c>
      <c r="M406" s="71" t="s">
        <v>730</v>
      </c>
      <c r="N406" s="381" t="s">
        <v>135</v>
      </c>
      <c r="O406" s="295">
        <v>-1545.65</v>
      </c>
      <c r="P406" s="75"/>
      <c r="Z406" s="16"/>
      <c r="AA406" s="16"/>
      <c r="AB406" s="16"/>
    </row>
    <row r="407" spans="2:29" ht="21.75" hidden="1" customHeight="1">
      <c r="B407" s="376">
        <v>46128</v>
      </c>
      <c r="C407" s="377" t="str">
        <f t="shared" si="6"/>
        <v>Abril</v>
      </c>
      <c r="D407" s="378" t="s">
        <v>386</v>
      </c>
      <c r="E407" s="379" t="s">
        <v>468</v>
      </c>
      <c r="F407" s="380" t="s">
        <v>131</v>
      </c>
      <c r="G407" s="342" t="s">
        <v>480</v>
      </c>
      <c r="H407" s="378" t="s">
        <v>1008</v>
      </c>
      <c r="I407" s="342" t="s">
        <v>131</v>
      </c>
      <c r="J407" s="112" t="s">
        <v>131</v>
      </c>
      <c r="K407" s="343" t="s">
        <v>131</v>
      </c>
      <c r="L407" s="342" t="s">
        <v>131</v>
      </c>
      <c r="M407" s="342" t="s">
        <v>730</v>
      </c>
      <c r="N407" s="381" t="s">
        <v>586</v>
      </c>
      <c r="O407" s="74">
        <v>1900.1</v>
      </c>
      <c r="P407" s="75"/>
      <c r="Z407" s="16"/>
      <c r="AA407" s="16"/>
      <c r="AB407" s="16"/>
    </row>
    <row r="408" spans="2:29" ht="21.75" hidden="1" customHeight="1">
      <c r="B408" s="68">
        <v>46128</v>
      </c>
      <c r="C408" s="69" t="str">
        <f t="shared" si="6"/>
        <v>Abril</v>
      </c>
      <c r="D408" s="77" t="s">
        <v>508</v>
      </c>
      <c r="E408" s="72" t="s">
        <v>497</v>
      </c>
      <c r="F408" s="70" t="s">
        <v>534</v>
      </c>
      <c r="G408" s="71" t="s">
        <v>1392</v>
      </c>
      <c r="H408" s="77" t="s">
        <v>1286</v>
      </c>
      <c r="I408" s="71" t="s">
        <v>595</v>
      </c>
      <c r="J408" s="71" t="s">
        <v>1393</v>
      </c>
      <c r="K408" s="78" t="s">
        <v>131</v>
      </c>
      <c r="L408" s="342" t="s">
        <v>134</v>
      </c>
      <c r="M408" s="71" t="s">
        <v>730</v>
      </c>
      <c r="N408" s="381" t="s">
        <v>135</v>
      </c>
      <c r="O408" s="390">
        <v>-6000</v>
      </c>
      <c r="P408" s="75"/>
      <c r="Z408" s="16"/>
      <c r="AA408" s="16"/>
      <c r="AB408" s="16"/>
    </row>
    <row r="409" spans="2:29" ht="21.75" hidden="1" customHeight="1">
      <c r="B409" s="376">
        <v>46128</v>
      </c>
      <c r="C409" s="377" t="str">
        <f t="shared" si="6"/>
        <v>Abril</v>
      </c>
      <c r="D409" s="378" t="s">
        <v>386</v>
      </c>
      <c r="E409" s="379" t="s">
        <v>468</v>
      </c>
      <c r="F409" s="380" t="s">
        <v>131</v>
      </c>
      <c r="G409" s="342" t="s">
        <v>480</v>
      </c>
      <c r="H409" s="378" t="s">
        <v>1008</v>
      </c>
      <c r="I409" s="342" t="s">
        <v>131</v>
      </c>
      <c r="J409" s="112" t="s">
        <v>131</v>
      </c>
      <c r="K409" s="343" t="s">
        <v>131</v>
      </c>
      <c r="L409" s="342" t="s">
        <v>131</v>
      </c>
      <c r="M409" s="342" t="s">
        <v>730</v>
      </c>
      <c r="N409" s="381" t="s">
        <v>586</v>
      </c>
      <c r="O409" s="295">
        <v>6000</v>
      </c>
      <c r="P409" s="75"/>
      <c r="Z409" s="16"/>
      <c r="AA409" s="16"/>
      <c r="AB409" s="16"/>
    </row>
    <row r="410" spans="2:29" ht="21.75" hidden="1" customHeight="1">
      <c r="B410" s="68">
        <v>46129</v>
      </c>
      <c r="C410" s="69" t="str">
        <f t="shared" si="6"/>
        <v>Abril</v>
      </c>
      <c r="D410" s="77" t="s">
        <v>300</v>
      </c>
      <c r="E410" s="72" t="s">
        <v>475</v>
      </c>
      <c r="F410" s="70" t="s">
        <v>136</v>
      </c>
      <c r="G410" s="71" t="s">
        <v>1406</v>
      </c>
      <c r="H410" s="72" t="s">
        <v>1407</v>
      </c>
      <c r="I410" s="71" t="s">
        <v>131</v>
      </c>
      <c r="J410" s="393" t="s">
        <v>1437</v>
      </c>
      <c r="K410" s="73" t="s">
        <v>131</v>
      </c>
      <c r="L410" s="71" t="s">
        <v>134</v>
      </c>
      <c r="M410" s="71" t="s">
        <v>735</v>
      </c>
      <c r="N410" s="80" t="s">
        <v>135</v>
      </c>
      <c r="O410" s="390">
        <v>-250</v>
      </c>
      <c r="P410" s="75"/>
      <c r="Z410" s="16"/>
      <c r="AA410" s="16"/>
      <c r="AB410" s="16"/>
    </row>
    <row r="411" spans="2:29" ht="21.75" hidden="1" customHeight="1">
      <c r="B411" s="376">
        <v>46129</v>
      </c>
      <c r="C411" s="377" t="str">
        <f t="shared" si="6"/>
        <v>Abril</v>
      </c>
      <c r="D411" s="77" t="s">
        <v>300</v>
      </c>
      <c r="E411" s="72" t="s">
        <v>478</v>
      </c>
      <c r="F411" s="380" t="s">
        <v>136</v>
      </c>
      <c r="G411" s="342" t="s">
        <v>1231</v>
      </c>
      <c r="H411" s="378" t="s">
        <v>1232</v>
      </c>
      <c r="I411" s="342" t="s">
        <v>131</v>
      </c>
      <c r="J411" s="389" t="s">
        <v>1233</v>
      </c>
      <c r="K411" s="342" t="s">
        <v>131</v>
      </c>
      <c r="L411" s="342" t="s">
        <v>137</v>
      </c>
      <c r="M411" s="342" t="s">
        <v>735</v>
      </c>
      <c r="N411" s="381" t="s">
        <v>135</v>
      </c>
      <c r="O411" s="295">
        <v>-280</v>
      </c>
      <c r="P411" s="75"/>
      <c r="Z411" s="16"/>
      <c r="AA411" s="16"/>
      <c r="AB411" s="16"/>
    </row>
    <row r="412" spans="2:29" ht="21.75" hidden="1" customHeight="1">
      <c r="B412" s="376">
        <v>46129</v>
      </c>
      <c r="C412" s="377" t="str">
        <f t="shared" si="6"/>
        <v>Abril</v>
      </c>
      <c r="D412" s="378" t="s">
        <v>383</v>
      </c>
      <c r="E412" s="379" t="s">
        <v>471</v>
      </c>
      <c r="F412" s="380" t="s">
        <v>131</v>
      </c>
      <c r="G412" s="342" t="s">
        <v>145</v>
      </c>
      <c r="H412" s="369" t="s">
        <v>990</v>
      </c>
      <c r="I412" s="342" t="s">
        <v>131</v>
      </c>
      <c r="J412" s="343" t="s">
        <v>131</v>
      </c>
      <c r="K412" s="342" t="s">
        <v>131</v>
      </c>
      <c r="L412" s="342" t="s">
        <v>134</v>
      </c>
      <c r="M412" s="71" t="s">
        <v>735</v>
      </c>
      <c r="N412" s="381" t="s">
        <v>144</v>
      </c>
      <c r="O412" s="295">
        <v>1900.1</v>
      </c>
      <c r="P412" s="75"/>
      <c r="Z412" s="16"/>
      <c r="AA412" s="16"/>
      <c r="AB412" s="16"/>
    </row>
    <row r="413" spans="2:29" ht="21.75" hidden="1" customHeight="1">
      <c r="B413" s="68">
        <v>46129</v>
      </c>
      <c r="C413" s="69" t="str">
        <f t="shared" si="6"/>
        <v>Abril</v>
      </c>
      <c r="D413" s="77" t="s">
        <v>508</v>
      </c>
      <c r="E413" s="72" t="s">
        <v>497</v>
      </c>
      <c r="F413" s="70" t="s">
        <v>534</v>
      </c>
      <c r="G413" s="71" t="s">
        <v>702</v>
      </c>
      <c r="H413" s="77" t="s">
        <v>703</v>
      </c>
      <c r="I413" s="71" t="s">
        <v>595</v>
      </c>
      <c r="J413" s="366" t="s">
        <v>721</v>
      </c>
      <c r="K413" s="71" t="s">
        <v>789</v>
      </c>
      <c r="L413" s="71" t="s">
        <v>137</v>
      </c>
      <c r="M413" s="71" t="s">
        <v>730</v>
      </c>
      <c r="N413" s="80" t="s">
        <v>135</v>
      </c>
      <c r="O413" s="295">
        <v>-2850</v>
      </c>
      <c r="P413" s="75"/>
      <c r="Z413" s="16"/>
      <c r="AA413" s="16"/>
      <c r="AB413" s="16"/>
    </row>
    <row r="414" spans="2:29" ht="21.75" hidden="1" customHeight="1">
      <c r="B414" s="376">
        <v>46129</v>
      </c>
      <c r="C414" s="377" t="str">
        <f t="shared" si="6"/>
        <v>Abril</v>
      </c>
      <c r="D414" s="378" t="s">
        <v>386</v>
      </c>
      <c r="E414" s="379" t="s">
        <v>468</v>
      </c>
      <c r="F414" s="380" t="s">
        <v>131</v>
      </c>
      <c r="G414" s="342" t="s">
        <v>480</v>
      </c>
      <c r="H414" s="378" t="s">
        <v>1008</v>
      </c>
      <c r="I414" s="342" t="s">
        <v>131</v>
      </c>
      <c r="J414" s="112" t="s">
        <v>131</v>
      </c>
      <c r="K414" s="343" t="s">
        <v>131</v>
      </c>
      <c r="L414" s="342" t="s">
        <v>131</v>
      </c>
      <c r="M414" s="342" t="s">
        <v>730</v>
      </c>
      <c r="N414" s="381" t="s">
        <v>586</v>
      </c>
      <c r="O414" s="295">
        <v>2511.41</v>
      </c>
      <c r="P414" s="75"/>
      <c r="Z414" s="16"/>
      <c r="AA414" s="16"/>
      <c r="AB414" s="16"/>
    </row>
    <row r="415" spans="2:29" ht="21.75" hidden="1" customHeight="1">
      <c r="B415" s="376">
        <v>46129</v>
      </c>
      <c r="C415" s="377" t="str">
        <f t="shared" si="6"/>
        <v>Abril</v>
      </c>
      <c r="D415" s="378" t="s">
        <v>386</v>
      </c>
      <c r="E415" s="379" t="s">
        <v>468</v>
      </c>
      <c r="F415" s="380" t="s">
        <v>131</v>
      </c>
      <c r="G415" s="342" t="s">
        <v>480</v>
      </c>
      <c r="H415" s="72" t="s">
        <v>1008</v>
      </c>
      <c r="I415" s="342" t="s">
        <v>131</v>
      </c>
      <c r="J415" s="112" t="s">
        <v>131</v>
      </c>
      <c r="K415" s="343" t="s">
        <v>131</v>
      </c>
      <c r="L415" s="342" t="s">
        <v>131</v>
      </c>
      <c r="M415" s="342" t="s">
        <v>730</v>
      </c>
      <c r="N415" s="381" t="s">
        <v>586</v>
      </c>
      <c r="O415" s="295">
        <v>66.33</v>
      </c>
      <c r="P415" s="75"/>
      <c r="Z415" s="16"/>
      <c r="AA415" s="16"/>
      <c r="AB415" s="16"/>
    </row>
    <row r="416" spans="2:29" ht="21.75" hidden="1" customHeight="1">
      <c r="B416" s="376">
        <v>46129</v>
      </c>
      <c r="C416" s="377" t="str">
        <f t="shared" si="6"/>
        <v>Abril</v>
      </c>
      <c r="D416" s="378" t="s">
        <v>510</v>
      </c>
      <c r="E416" s="379" t="s">
        <v>506</v>
      </c>
      <c r="F416" s="380" t="s">
        <v>131</v>
      </c>
      <c r="G416" s="342" t="s">
        <v>145</v>
      </c>
      <c r="H416" s="369" t="s">
        <v>990</v>
      </c>
      <c r="I416" s="342" t="s">
        <v>131</v>
      </c>
      <c r="J416" s="343" t="s">
        <v>131</v>
      </c>
      <c r="K416" s="342" t="s">
        <v>131</v>
      </c>
      <c r="L416" s="342" t="s">
        <v>134</v>
      </c>
      <c r="M416" s="71" t="s">
        <v>730</v>
      </c>
      <c r="N416" s="381" t="s">
        <v>135</v>
      </c>
      <c r="O416" s="295">
        <v>-1900.1</v>
      </c>
      <c r="P416" s="75"/>
      <c r="Z416" s="16"/>
      <c r="AA416" s="16"/>
      <c r="AB416" s="16"/>
    </row>
    <row r="417" spans="2:29" ht="21.75" hidden="1" customHeight="1">
      <c r="B417" s="68">
        <v>46131</v>
      </c>
      <c r="C417" s="69" t="str">
        <f t="shared" si="6"/>
        <v>Abril</v>
      </c>
      <c r="D417" s="77" t="s">
        <v>508</v>
      </c>
      <c r="E417" s="72" t="s">
        <v>497</v>
      </c>
      <c r="F417" s="70" t="s">
        <v>534</v>
      </c>
      <c r="G417" s="19" t="s">
        <v>1029</v>
      </c>
      <c r="H417" s="369" t="s">
        <v>1030</v>
      </c>
      <c r="I417" s="71" t="s">
        <v>595</v>
      </c>
      <c r="J417" s="343" t="s">
        <v>1032</v>
      </c>
      <c r="K417" s="112" t="s">
        <v>287</v>
      </c>
      <c r="L417" s="71" t="s">
        <v>137</v>
      </c>
      <c r="M417" s="71" t="s">
        <v>730</v>
      </c>
      <c r="N417" s="80" t="s">
        <v>135</v>
      </c>
      <c r="O417" s="295">
        <v>-2511.41</v>
      </c>
      <c r="P417" s="75"/>
      <c r="Z417" s="16"/>
      <c r="AA417" s="16"/>
      <c r="AB417" s="16"/>
    </row>
    <row r="418" spans="2:29" ht="21.75" hidden="1" customHeight="1">
      <c r="B418" s="68">
        <v>46132</v>
      </c>
      <c r="C418" s="69" t="str">
        <f t="shared" si="6"/>
        <v>Abril</v>
      </c>
      <c r="D418" s="77" t="s">
        <v>508</v>
      </c>
      <c r="E418" s="72" t="s">
        <v>497</v>
      </c>
      <c r="F418" s="70" t="s">
        <v>534</v>
      </c>
      <c r="G418" s="19" t="s">
        <v>184</v>
      </c>
      <c r="H418" s="369" t="s">
        <v>1235</v>
      </c>
      <c r="I418" s="71" t="s">
        <v>595</v>
      </c>
      <c r="J418" s="389" t="s">
        <v>1234</v>
      </c>
      <c r="K418" s="19" t="s">
        <v>131</v>
      </c>
      <c r="L418" s="71" t="s">
        <v>137</v>
      </c>
      <c r="M418" s="71" t="s">
        <v>730</v>
      </c>
      <c r="N418" s="381" t="s">
        <v>135</v>
      </c>
      <c r="O418" s="295">
        <v>-66.33</v>
      </c>
      <c r="P418" s="75"/>
      <c r="Z418" s="16"/>
      <c r="AA418" s="16"/>
      <c r="AB418" s="16"/>
    </row>
    <row r="419" spans="2:29" s="341" customFormat="1" ht="21.75" hidden="1" customHeight="1">
      <c r="B419" s="68">
        <v>46132</v>
      </c>
      <c r="C419" s="69" t="str">
        <f t="shared" si="6"/>
        <v>Abril</v>
      </c>
      <c r="D419" s="77" t="s">
        <v>300</v>
      </c>
      <c r="E419" s="72" t="s">
        <v>478</v>
      </c>
      <c r="F419" s="70" t="s">
        <v>136</v>
      </c>
      <c r="G419" s="71" t="s">
        <v>888</v>
      </c>
      <c r="H419" s="72" t="s">
        <v>1273</v>
      </c>
      <c r="I419" s="71" t="s">
        <v>131</v>
      </c>
      <c r="J419" s="366" t="s">
        <v>1274</v>
      </c>
      <c r="K419" s="73" t="s">
        <v>131</v>
      </c>
      <c r="L419" s="71" t="s">
        <v>137</v>
      </c>
      <c r="M419" s="71" t="s">
        <v>735</v>
      </c>
      <c r="N419" s="381" t="s">
        <v>135</v>
      </c>
      <c r="O419" s="295">
        <v>-510.39</v>
      </c>
      <c r="P419" s="296"/>
      <c r="Q419"/>
      <c r="R419"/>
      <c r="S419"/>
      <c r="T419"/>
      <c r="U419"/>
      <c r="V419"/>
      <c r="W419"/>
      <c r="X419"/>
      <c r="Y419" s="45"/>
      <c r="AC419" s="45"/>
    </row>
    <row r="420" spans="2:29" s="341" customFormat="1" ht="21.75" hidden="1" customHeight="1">
      <c r="B420" s="68">
        <v>46132</v>
      </c>
      <c r="C420" s="69" t="str">
        <f t="shared" si="6"/>
        <v>Abril</v>
      </c>
      <c r="D420" s="77" t="s">
        <v>299</v>
      </c>
      <c r="E420" s="72" t="s">
        <v>764</v>
      </c>
      <c r="F420" s="70" t="s">
        <v>138</v>
      </c>
      <c r="G420" s="71" t="s">
        <v>139</v>
      </c>
      <c r="H420" s="77" t="s">
        <v>49</v>
      </c>
      <c r="I420" s="71" t="s">
        <v>131</v>
      </c>
      <c r="J420" s="343" t="s">
        <v>781</v>
      </c>
      <c r="K420" s="71" t="s">
        <v>131</v>
      </c>
      <c r="L420" s="71" t="s">
        <v>150</v>
      </c>
      <c r="M420" s="71" t="s">
        <v>735</v>
      </c>
      <c r="N420" s="80" t="s">
        <v>135</v>
      </c>
      <c r="O420" s="295">
        <v>-400</v>
      </c>
      <c r="P420" s="296"/>
      <c r="Q420"/>
      <c r="R420"/>
      <c r="S420"/>
      <c r="T420"/>
      <c r="U420"/>
      <c r="V420"/>
      <c r="W420"/>
      <c r="X420"/>
      <c r="Y420" s="45"/>
      <c r="AC420" s="45"/>
    </row>
    <row r="421" spans="2:29" ht="21.75" hidden="1" customHeight="1">
      <c r="B421" s="68">
        <v>46132</v>
      </c>
      <c r="C421" s="69" t="str">
        <f t="shared" si="6"/>
        <v>Abril</v>
      </c>
      <c r="D421" s="77" t="s">
        <v>299</v>
      </c>
      <c r="E421" s="72" t="s">
        <v>764</v>
      </c>
      <c r="F421" s="70" t="s">
        <v>138</v>
      </c>
      <c r="G421" s="71" t="s">
        <v>163</v>
      </c>
      <c r="H421" s="77" t="s">
        <v>50</v>
      </c>
      <c r="I421" s="71" t="s">
        <v>131</v>
      </c>
      <c r="J421" s="343" t="s">
        <v>781</v>
      </c>
      <c r="K421" s="71" t="s">
        <v>131</v>
      </c>
      <c r="L421" s="71" t="s">
        <v>150</v>
      </c>
      <c r="M421" s="71" t="s">
        <v>735</v>
      </c>
      <c r="N421" s="80" t="s">
        <v>135</v>
      </c>
      <c r="O421" s="390">
        <v>-1836.5</v>
      </c>
      <c r="P421" s="75"/>
      <c r="Z421" s="16"/>
      <c r="AA421" s="16"/>
      <c r="AB421" s="16"/>
    </row>
    <row r="422" spans="2:29" ht="21.75" hidden="1" customHeight="1">
      <c r="B422" s="68">
        <v>46132</v>
      </c>
      <c r="C422" s="69" t="str">
        <f t="shared" si="6"/>
        <v>Abril</v>
      </c>
      <c r="D422" s="77" t="s">
        <v>508</v>
      </c>
      <c r="E422" s="72" t="s">
        <v>497</v>
      </c>
      <c r="F422" s="70" t="s">
        <v>534</v>
      </c>
      <c r="G422" s="71" t="s">
        <v>163</v>
      </c>
      <c r="H422" s="369" t="s">
        <v>1287</v>
      </c>
      <c r="I422" s="71" t="s">
        <v>595</v>
      </c>
      <c r="J422" s="366" t="s">
        <v>1255</v>
      </c>
      <c r="K422" s="71" t="s">
        <v>131</v>
      </c>
      <c r="L422" s="71" t="s">
        <v>150</v>
      </c>
      <c r="M422" s="71" t="s">
        <v>735</v>
      </c>
      <c r="N422" s="80" t="s">
        <v>135</v>
      </c>
      <c r="O422" s="390">
        <v>-1900.1</v>
      </c>
      <c r="P422" s="75"/>
      <c r="Z422" s="16"/>
      <c r="AA422" s="16"/>
      <c r="AB422" s="16"/>
    </row>
    <row r="423" spans="2:29" s="79" customFormat="1" ht="21.75" hidden="1" customHeight="1">
      <c r="B423" s="376">
        <v>46132</v>
      </c>
      <c r="C423" s="377" t="str">
        <f t="shared" si="6"/>
        <v>Abril</v>
      </c>
      <c r="D423" s="378" t="s">
        <v>508</v>
      </c>
      <c r="E423" s="379" t="s">
        <v>497</v>
      </c>
      <c r="F423" s="380" t="s">
        <v>534</v>
      </c>
      <c r="G423" s="342" t="s">
        <v>962</v>
      </c>
      <c r="H423" s="369" t="s">
        <v>854</v>
      </c>
      <c r="I423" s="342" t="s">
        <v>595</v>
      </c>
      <c r="J423" s="366" t="s">
        <v>1398</v>
      </c>
      <c r="K423" s="384" t="s">
        <v>131</v>
      </c>
      <c r="L423" s="342" t="s">
        <v>137</v>
      </c>
      <c r="M423" s="71" t="s">
        <v>730</v>
      </c>
      <c r="N423" s="381" t="s">
        <v>135</v>
      </c>
      <c r="O423" s="295">
        <v>-1040.79</v>
      </c>
      <c r="P423" s="75"/>
      <c r="Y423" s="45"/>
      <c r="AC423" s="45"/>
    </row>
    <row r="424" spans="2:29" ht="21.75" hidden="1" customHeight="1">
      <c r="B424" s="376">
        <v>46132</v>
      </c>
      <c r="C424" s="377" t="str">
        <f t="shared" si="6"/>
        <v>Abril</v>
      </c>
      <c r="D424" s="378" t="s">
        <v>386</v>
      </c>
      <c r="E424" s="379" t="s">
        <v>468</v>
      </c>
      <c r="F424" s="380" t="s">
        <v>131</v>
      </c>
      <c r="G424" s="342" t="s">
        <v>480</v>
      </c>
      <c r="H424" s="378" t="s">
        <v>1008</v>
      </c>
      <c r="I424" s="342" t="s">
        <v>131</v>
      </c>
      <c r="J424" s="112" t="s">
        <v>131</v>
      </c>
      <c r="K424" s="343" t="s">
        <v>131</v>
      </c>
      <c r="L424" s="342" t="s">
        <v>131</v>
      </c>
      <c r="M424" s="342" t="s">
        <v>730</v>
      </c>
      <c r="N424" s="381" t="s">
        <v>586</v>
      </c>
      <c r="O424" s="74">
        <v>1040.79</v>
      </c>
      <c r="P424" s="75"/>
      <c r="Z424" s="16"/>
      <c r="AA424" s="16"/>
      <c r="AB424" s="16"/>
    </row>
    <row r="425" spans="2:29" s="79" customFormat="1" ht="21.75" hidden="1" customHeight="1">
      <c r="B425" s="376">
        <v>46135</v>
      </c>
      <c r="C425" s="377" t="str">
        <f t="shared" si="6"/>
        <v>Abril</v>
      </c>
      <c r="D425" s="378" t="s">
        <v>508</v>
      </c>
      <c r="E425" s="379" t="s">
        <v>497</v>
      </c>
      <c r="F425" s="380" t="s">
        <v>534</v>
      </c>
      <c r="G425" s="342" t="s">
        <v>1259</v>
      </c>
      <c r="H425" s="369" t="s">
        <v>1260</v>
      </c>
      <c r="I425" s="342" t="s">
        <v>595</v>
      </c>
      <c r="J425" s="367" t="s">
        <v>209</v>
      </c>
      <c r="K425" s="343" t="s">
        <v>273</v>
      </c>
      <c r="L425" s="342" t="s">
        <v>134</v>
      </c>
      <c r="M425" s="71" t="s">
        <v>730</v>
      </c>
      <c r="N425" s="381" t="s">
        <v>135</v>
      </c>
      <c r="O425" s="295">
        <v>-12200</v>
      </c>
      <c r="P425" s="75"/>
      <c r="Y425" s="45"/>
      <c r="AC425" s="45"/>
    </row>
    <row r="426" spans="2:29" s="79" customFormat="1" ht="21.75" hidden="1" customHeight="1">
      <c r="B426" s="376">
        <v>46135</v>
      </c>
      <c r="C426" s="377" t="str">
        <f t="shared" si="6"/>
        <v>Abril</v>
      </c>
      <c r="D426" s="378" t="s">
        <v>386</v>
      </c>
      <c r="E426" s="379" t="s">
        <v>468</v>
      </c>
      <c r="F426" s="380" t="s">
        <v>131</v>
      </c>
      <c r="G426" s="342" t="s">
        <v>480</v>
      </c>
      <c r="H426" s="378" t="s">
        <v>1008</v>
      </c>
      <c r="I426" s="342" t="s">
        <v>131</v>
      </c>
      <c r="J426" s="112" t="s">
        <v>131</v>
      </c>
      <c r="K426" s="343" t="s">
        <v>131</v>
      </c>
      <c r="L426" s="342" t="s">
        <v>131</v>
      </c>
      <c r="M426" s="342" t="s">
        <v>730</v>
      </c>
      <c r="N426" s="381" t="s">
        <v>586</v>
      </c>
      <c r="O426" s="295">
        <v>12200</v>
      </c>
      <c r="P426" s="75"/>
      <c r="Y426" s="45"/>
      <c r="AC426" s="45"/>
    </row>
    <row r="427" spans="2:29" s="79" customFormat="1" ht="21.75" hidden="1" customHeight="1">
      <c r="B427" s="68">
        <v>46136</v>
      </c>
      <c r="C427" s="69" t="str">
        <f t="shared" si="6"/>
        <v>Abril</v>
      </c>
      <c r="D427" s="77" t="s">
        <v>509</v>
      </c>
      <c r="E427" s="72" t="s">
        <v>500</v>
      </c>
      <c r="F427" s="70" t="s">
        <v>131</v>
      </c>
      <c r="G427" s="71" t="s">
        <v>132</v>
      </c>
      <c r="H427" s="77" t="s">
        <v>133</v>
      </c>
      <c r="I427" s="71" t="s">
        <v>131</v>
      </c>
      <c r="J427" s="343" t="s">
        <v>786</v>
      </c>
      <c r="K427" s="71" t="s">
        <v>131</v>
      </c>
      <c r="L427" s="71" t="s">
        <v>134</v>
      </c>
      <c r="M427" s="71" t="s">
        <v>735</v>
      </c>
      <c r="N427" s="80" t="s">
        <v>265</v>
      </c>
      <c r="O427" s="295">
        <v>-2390</v>
      </c>
      <c r="P427" s="75"/>
      <c r="Y427" s="45"/>
      <c r="AC427" s="45"/>
    </row>
    <row r="428" spans="2:29" ht="21.75" hidden="1" customHeight="1">
      <c r="B428" s="68">
        <v>46136</v>
      </c>
      <c r="C428" s="69" t="str">
        <f t="shared" si="6"/>
        <v>Abril</v>
      </c>
      <c r="D428" s="77" t="s">
        <v>509</v>
      </c>
      <c r="E428" s="72" t="s">
        <v>502</v>
      </c>
      <c r="F428" s="70" t="s">
        <v>138</v>
      </c>
      <c r="G428" s="71" t="s">
        <v>141</v>
      </c>
      <c r="H428" s="72" t="s">
        <v>187</v>
      </c>
      <c r="I428" s="71" t="s">
        <v>131</v>
      </c>
      <c r="J428" s="343" t="s">
        <v>786</v>
      </c>
      <c r="K428" s="73" t="s">
        <v>131</v>
      </c>
      <c r="L428" s="71" t="s">
        <v>134</v>
      </c>
      <c r="M428" s="71" t="s">
        <v>735</v>
      </c>
      <c r="N428" s="381" t="s">
        <v>135</v>
      </c>
      <c r="O428" s="295">
        <v>-8489.33</v>
      </c>
      <c r="P428" s="75"/>
      <c r="Z428" s="16"/>
      <c r="AA428" s="16"/>
      <c r="AB428" s="16"/>
    </row>
    <row r="429" spans="2:29" ht="21.75" hidden="1" customHeight="1">
      <c r="B429" s="68">
        <v>46136</v>
      </c>
      <c r="C429" s="69" t="str">
        <f t="shared" si="6"/>
        <v>Abril</v>
      </c>
      <c r="D429" s="77" t="s">
        <v>299</v>
      </c>
      <c r="E429" s="72" t="s">
        <v>303</v>
      </c>
      <c r="F429" s="70" t="s">
        <v>136</v>
      </c>
      <c r="G429" s="71" t="s">
        <v>897</v>
      </c>
      <c r="H429" s="72" t="s">
        <v>766</v>
      </c>
      <c r="I429" s="71" t="s">
        <v>131</v>
      </c>
      <c r="J429" s="402" t="s">
        <v>1229</v>
      </c>
      <c r="K429" s="73" t="s">
        <v>131</v>
      </c>
      <c r="L429" s="71" t="s">
        <v>137</v>
      </c>
      <c r="M429" s="71" t="s">
        <v>735</v>
      </c>
      <c r="N429" s="381" t="s">
        <v>135</v>
      </c>
      <c r="O429" s="295">
        <v>-540</v>
      </c>
      <c r="P429" s="75"/>
      <c r="Z429" s="16"/>
      <c r="AA429" s="16"/>
      <c r="AB429" s="16"/>
    </row>
    <row r="430" spans="2:29" ht="21.75" hidden="1" customHeight="1">
      <c r="B430" s="376">
        <v>46136</v>
      </c>
      <c r="C430" s="377" t="str">
        <f t="shared" si="6"/>
        <v>Abril</v>
      </c>
      <c r="D430" s="378" t="s">
        <v>386</v>
      </c>
      <c r="E430" s="379" t="s">
        <v>468</v>
      </c>
      <c r="F430" s="380" t="s">
        <v>131</v>
      </c>
      <c r="G430" s="342" t="s">
        <v>480</v>
      </c>
      <c r="H430" s="378" t="s">
        <v>1008</v>
      </c>
      <c r="I430" s="342" t="s">
        <v>131</v>
      </c>
      <c r="J430" s="112" t="s">
        <v>131</v>
      </c>
      <c r="K430" s="343" t="s">
        <v>131</v>
      </c>
      <c r="L430" s="342" t="s">
        <v>131</v>
      </c>
      <c r="M430" s="342" t="s">
        <v>730</v>
      </c>
      <c r="N430" s="381" t="s">
        <v>586</v>
      </c>
      <c r="O430" s="295">
        <v>1911.52</v>
      </c>
      <c r="P430" s="75"/>
      <c r="Z430" s="16"/>
      <c r="AA430" s="16"/>
      <c r="AB430" s="16"/>
    </row>
    <row r="431" spans="2:29" ht="21.75" hidden="1" customHeight="1">
      <c r="B431" s="68">
        <v>46136</v>
      </c>
      <c r="C431" s="69" t="str">
        <f t="shared" si="6"/>
        <v>Abril</v>
      </c>
      <c r="D431" s="77" t="s">
        <v>299</v>
      </c>
      <c r="E431" s="72" t="s">
        <v>303</v>
      </c>
      <c r="F431" s="70" t="s">
        <v>136</v>
      </c>
      <c r="G431" s="71" t="s">
        <v>897</v>
      </c>
      <c r="H431" s="72" t="s">
        <v>767</v>
      </c>
      <c r="I431" s="71" t="s">
        <v>131</v>
      </c>
      <c r="J431" s="402" t="s">
        <v>1230</v>
      </c>
      <c r="K431" s="73" t="s">
        <v>131</v>
      </c>
      <c r="L431" s="71" t="s">
        <v>137</v>
      </c>
      <c r="M431" s="71" t="s">
        <v>735</v>
      </c>
      <c r="N431" s="381" t="s">
        <v>135</v>
      </c>
      <c r="O431" s="295">
        <v>-930</v>
      </c>
      <c r="P431" s="75"/>
      <c r="Z431" s="16"/>
      <c r="AA431" s="16"/>
      <c r="AB431" s="16"/>
    </row>
    <row r="432" spans="2:29" ht="21.75" hidden="1" customHeight="1">
      <c r="B432" s="68">
        <v>46138</v>
      </c>
      <c r="C432" s="69" t="str">
        <f t="shared" si="6"/>
        <v>Abril</v>
      </c>
      <c r="D432" s="77" t="s">
        <v>508</v>
      </c>
      <c r="E432" s="72" t="s">
        <v>498</v>
      </c>
      <c r="F432" s="70" t="s">
        <v>136</v>
      </c>
      <c r="G432" s="19" t="s">
        <v>184</v>
      </c>
      <c r="H432" s="369" t="s">
        <v>1293</v>
      </c>
      <c r="I432" s="71" t="s">
        <v>131</v>
      </c>
      <c r="J432" s="389" t="s">
        <v>1294</v>
      </c>
      <c r="K432" s="19" t="s">
        <v>131</v>
      </c>
      <c r="L432" s="71" t="s">
        <v>134</v>
      </c>
      <c r="M432" s="71" t="s">
        <v>735</v>
      </c>
      <c r="N432" s="381" t="s">
        <v>135</v>
      </c>
      <c r="O432" s="295">
        <v>-48.9</v>
      </c>
      <c r="P432" s="75"/>
      <c r="Z432" s="16"/>
      <c r="AA432" s="16"/>
      <c r="AB432" s="16"/>
    </row>
    <row r="433" spans="2:30" ht="21.75" hidden="1" customHeight="1">
      <c r="B433" s="376">
        <v>46139</v>
      </c>
      <c r="C433" s="377" t="str">
        <f t="shared" si="6"/>
        <v>Abril</v>
      </c>
      <c r="D433" s="378" t="s">
        <v>508</v>
      </c>
      <c r="E433" s="379" t="s">
        <v>497</v>
      </c>
      <c r="F433" s="380" t="s">
        <v>534</v>
      </c>
      <c r="G433" s="342" t="s">
        <v>1307</v>
      </c>
      <c r="H433" s="369" t="s">
        <v>1308</v>
      </c>
      <c r="I433" s="342" t="s">
        <v>595</v>
      </c>
      <c r="J433" s="366" t="s">
        <v>1309</v>
      </c>
      <c r="K433" s="384" t="s">
        <v>974</v>
      </c>
      <c r="L433" s="342" t="s">
        <v>137</v>
      </c>
      <c r="M433" s="71" t="s">
        <v>730</v>
      </c>
      <c r="N433" s="381" t="s">
        <v>135</v>
      </c>
      <c r="O433" s="295">
        <v>-1059.22</v>
      </c>
      <c r="P433" s="75"/>
      <c r="Z433" s="16"/>
      <c r="AA433" s="16"/>
      <c r="AB433" s="16"/>
    </row>
    <row r="434" spans="2:30" ht="21.75" hidden="1" customHeight="1">
      <c r="B434" s="376">
        <v>46139</v>
      </c>
      <c r="C434" s="377" t="str">
        <f t="shared" si="6"/>
        <v>Abril</v>
      </c>
      <c r="D434" s="378" t="s">
        <v>508</v>
      </c>
      <c r="E434" s="379" t="s">
        <v>497</v>
      </c>
      <c r="F434" s="380" t="s">
        <v>534</v>
      </c>
      <c r="G434" s="342" t="s">
        <v>1314</v>
      </c>
      <c r="H434" s="369" t="s">
        <v>1311</v>
      </c>
      <c r="I434" s="342" t="s">
        <v>595</v>
      </c>
      <c r="J434" s="366" t="s">
        <v>1310</v>
      </c>
      <c r="K434" s="384" t="s">
        <v>974</v>
      </c>
      <c r="L434" s="342" t="s">
        <v>137</v>
      </c>
      <c r="M434" s="71" t="s">
        <v>730</v>
      </c>
      <c r="N434" s="381" t="s">
        <v>135</v>
      </c>
      <c r="O434" s="295">
        <v>-852.3</v>
      </c>
      <c r="P434" s="75"/>
      <c r="Z434" s="16"/>
      <c r="AA434" s="16"/>
      <c r="AB434" s="16"/>
    </row>
    <row r="435" spans="2:30" ht="21.75" hidden="1" customHeight="1">
      <c r="B435" s="376">
        <v>46140</v>
      </c>
      <c r="C435" s="377" t="str">
        <f t="shared" si="6"/>
        <v>Abril</v>
      </c>
      <c r="D435" s="378" t="s">
        <v>386</v>
      </c>
      <c r="E435" s="379" t="s">
        <v>468</v>
      </c>
      <c r="F435" s="380" t="s">
        <v>131</v>
      </c>
      <c r="G435" s="342" t="s">
        <v>480</v>
      </c>
      <c r="H435" s="378" t="s">
        <v>1008</v>
      </c>
      <c r="I435" s="342" t="s">
        <v>131</v>
      </c>
      <c r="J435" s="112" t="s">
        <v>131</v>
      </c>
      <c r="K435" s="343" t="s">
        <v>131</v>
      </c>
      <c r="L435" s="342" t="s">
        <v>131</v>
      </c>
      <c r="M435" s="342" t="s">
        <v>730</v>
      </c>
      <c r="N435" s="381" t="s">
        <v>586</v>
      </c>
      <c r="O435" s="295">
        <v>6000</v>
      </c>
      <c r="P435"/>
      <c r="Y435"/>
      <c r="Z435"/>
      <c r="AA435"/>
      <c r="AB435"/>
      <c r="AC435"/>
      <c r="AD435"/>
    </row>
    <row r="436" spans="2:30" ht="21.75" hidden="1" customHeight="1">
      <c r="B436" s="376">
        <v>46140</v>
      </c>
      <c r="C436" s="377" t="str">
        <f t="shared" si="6"/>
        <v>Abril</v>
      </c>
      <c r="D436" s="378" t="s">
        <v>386</v>
      </c>
      <c r="E436" s="379" t="s">
        <v>468</v>
      </c>
      <c r="F436" s="380" t="s">
        <v>131</v>
      </c>
      <c r="G436" s="342" t="s">
        <v>480</v>
      </c>
      <c r="H436" s="378" t="s">
        <v>1008</v>
      </c>
      <c r="I436" s="342" t="s">
        <v>131</v>
      </c>
      <c r="J436" s="112" t="s">
        <v>131</v>
      </c>
      <c r="K436" s="343" t="s">
        <v>131</v>
      </c>
      <c r="L436" s="342" t="s">
        <v>131</v>
      </c>
      <c r="M436" s="342" t="s">
        <v>730</v>
      </c>
      <c r="N436" s="381" t="s">
        <v>586</v>
      </c>
      <c r="O436" s="295">
        <v>8727.7999999999993</v>
      </c>
      <c r="P436"/>
      <c r="Y436"/>
      <c r="Z436"/>
      <c r="AA436"/>
      <c r="AB436"/>
      <c r="AC436"/>
      <c r="AD436"/>
    </row>
    <row r="437" spans="2:30" ht="21.75" hidden="1" customHeight="1">
      <c r="B437" s="68">
        <v>46140</v>
      </c>
      <c r="C437" s="69" t="str">
        <f t="shared" si="6"/>
        <v>Abril</v>
      </c>
      <c r="D437" s="77" t="s">
        <v>509</v>
      </c>
      <c r="E437" s="72" t="s">
        <v>500</v>
      </c>
      <c r="F437" s="70" t="s">
        <v>131</v>
      </c>
      <c r="G437" s="71" t="s">
        <v>132</v>
      </c>
      <c r="H437" s="77" t="s">
        <v>133</v>
      </c>
      <c r="I437" s="71" t="s">
        <v>131</v>
      </c>
      <c r="J437" s="343" t="s">
        <v>786</v>
      </c>
      <c r="K437" s="71" t="s">
        <v>131</v>
      </c>
      <c r="L437" s="71" t="s">
        <v>134</v>
      </c>
      <c r="M437" s="71" t="s">
        <v>735</v>
      </c>
      <c r="N437" s="80" t="s">
        <v>265</v>
      </c>
      <c r="O437" s="295">
        <v>-68428.459999999992</v>
      </c>
      <c r="P437"/>
      <c r="Y437"/>
      <c r="Z437"/>
      <c r="AA437"/>
      <c r="AB437"/>
      <c r="AC437"/>
      <c r="AD437"/>
    </row>
    <row r="438" spans="2:30" ht="21.75" hidden="1" customHeight="1">
      <c r="B438" s="376">
        <v>46140</v>
      </c>
      <c r="C438" s="377" t="str">
        <f t="shared" si="6"/>
        <v>Abril</v>
      </c>
      <c r="D438" s="378" t="s">
        <v>386</v>
      </c>
      <c r="E438" s="379" t="s">
        <v>468</v>
      </c>
      <c r="F438" s="380" t="s">
        <v>131</v>
      </c>
      <c r="G438" s="342" t="s">
        <v>480</v>
      </c>
      <c r="H438" s="378" t="s">
        <v>1008</v>
      </c>
      <c r="I438" s="342" t="s">
        <v>131</v>
      </c>
      <c r="J438" s="112" t="s">
        <v>131</v>
      </c>
      <c r="K438" s="343" t="s">
        <v>131</v>
      </c>
      <c r="L438" s="342" t="s">
        <v>131</v>
      </c>
      <c r="M438" s="342" t="s">
        <v>730</v>
      </c>
      <c r="N438" s="381" t="s">
        <v>586</v>
      </c>
      <c r="O438" s="295">
        <v>2450</v>
      </c>
      <c r="P438"/>
      <c r="Y438"/>
      <c r="Z438"/>
      <c r="AA438"/>
      <c r="AB438"/>
      <c r="AC438"/>
      <c r="AD438"/>
    </row>
    <row r="439" spans="2:30" ht="21.75" hidden="1" customHeight="1">
      <c r="B439" s="376">
        <v>46140</v>
      </c>
      <c r="C439" s="377" t="str">
        <f t="shared" si="6"/>
        <v>Abril</v>
      </c>
      <c r="D439" s="378" t="s">
        <v>508</v>
      </c>
      <c r="E439" s="379" t="s">
        <v>497</v>
      </c>
      <c r="F439" s="380" t="s">
        <v>534</v>
      </c>
      <c r="G439" s="342" t="s">
        <v>1250</v>
      </c>
      <c r="H439" s="369" t="s">
        <v>1423</v>
      </c>
      <c r="I439" s="342" t="s">
        <v>595</v>
      </c>
      <c r="J439" s="366" t="s">
        <v>1435</v>
      </c>
      <c r="K439" s="343" t="s">
        <v>131</v>
      </c>
      <c r="L439" s="342" t="s">
        <v>134</v>
      </c>
      <c r="M439" s="71" t="s">
        <v>730</v>
      </c>
      <c r="N439" s="381" t="s">
        <v>135</v>
      </c>
      <c r="O439" s="295">
        <v>-8727.7999999999993</v>
      </c>
      <c r="P439" s="75"/>
      <c r="Z439" s="16"/>
      <c r="AA439" s="16"/>
      <c r="AB439" s="16"/>
    </row>
    <row r="440" spans="2:30" ht="21.75" hidden="1" customHeight="1">
      <c r="B440" s="68">
        <v>46140</v>
      </c>
      <c r="C440" s="69" t="str">
        <f t="shared" si="6"/>
        <v>Abril</v>
      </c>
      <c r="D440" s="77" t="s">
        <v>508</v>
      </c>
      <c r="E440" s="72" t="s">
        <v>497</v>
      </c>
      <c r="F440" s="70" t="s">
        <v>534</v>
      </c>
      <c r="G440" s="71" t="s">
        <v>1392</v>
      </c>
      <c r="H440" s="77" t="s">
        <v>1286</v>
      </c>
      <c r="I440" s="71" t="s">
        <v>595</v>
      </c>
      <c r="J440" s="71" t="s">
        <v>724</v>
      </c>
      <c r="K440" s="78" t="s">
        <v>131</v>
      </c>
      <c r="L440" s="342" t="s">
        <v>134</v>
      </c>
      <c r="M440" s="71" t="s">
        <v>730</v>
      </c>
      <c r="N440" s="381" t="s">
        <v>135</v>
      </c>
      <c r="O440" s="390">
        <v>-6000</v>
      </c>
      <c r="P440"/>
      <c r="Y440"/>
      <c r="Z440"/>
      <c r="AA440"/>
      <c r="AB440"/>
      <c r="AC440"/>
      <c r="AD440"/>
    </row>
    <row r="441" spans="2:30" ht="21.75" hidden="1" customHeight="1">
      <c r="B441" s="68">
        <v>46140</v>
      </c>
      <c r="C441" s="377" t="str">
        <f t="shared" si="6"/>
        <v>Abril</v>
      </c>
      <c r="D441" s="378" t="s">
        <v>508</v>
      </c>
      <c r="E441" s="379" t="s">
        <v>497</v>
      </c>
      <c r="F441" s="380" t="s">
        <v>534</v>
      </c>
      <c r="G441" s="342" t="s">
        <v>674</v>
      </c>
      <c r="H441" s="369" t="s">
        <v>1355</v>
      </c>
      <c r="I441" s="342" t="s">
        <v>595</v>
      </c>
      <c r="J441" s="366" t="s">
        <v>1436</v>
      </c>
      <c r="K441" s="384" t="s">
        <v>206</v>
      </c>
      <c r="L441" s="343" t="s">
        <v>134</v>
      </c>
      <c r="M441" s="342" t="s">
        <v>730</v>
      </c>
      <c r="N441" s="381" t="s">
        <v>135</v>
      </c>
      <c r="O441" s="295">
        <v>-2450</v>
      </c>
      <c r="P441"/>
      <c r="Y441"/>
      <c r="Z441"/>
      <c r="AA441"/>
      <c r="AB441"/>
      <c r="AC441"/>
      <c r="AD441"/>
    </row>
    <row r="442" spans="2:30" ht="21.75" hidden="1" customHeight="1">
      <c r="B442" s="68">
        <v>46141</v>
      </c>
      <c r="C442" s="69" t="str">
        <f t="shared" si="6"/>
        <v>Abril</v>
      </c>
      <c r="D442" s="77" t="s">
        <v>298</v>
      </c>
      <c r="E442" s="72" t="s">
        <v>439</v>
      </c>
      <c r="F442" s="70" t="s">
        <v>138</v>
      </c>
      <c r="G442" s="71" t="s">
        <v>164</v>
      </c>
      <c r="H442" s="77" t="s">
        <v>790</v>
      </c>
      <c r="I442" s="71" t="s">
        <v>131</v>
      </c>
      <c r="J442" s="19">
        <v>2026</v>
      </c>
      <c r="K442" s="71" t="s">
        <v>131</v>
      </c>
      <c r="L442" s="71" t="s">
        <v>150</v>
      </c>
      <c r="M442" s="71" t="s">
        <v>735</v>
      </c>
      <c r="N442" s="80" t="s">
        <v>135</v>
      </c>
      <c r="O442" s="295">
        <v>-31602.45</v>
      </c>
      <c r="P442" s="75"/>
      <c r="Z442" s="16"/>
      <c r="AA442" s="16"/>
      <c r="AB442" s="16"/>
    </row>
    <row r="443" spans="2:30" s="79" customFormat="1" ht="21.75" hidden="1" customHeight="1">
      <c r="B443" s="68">
        <v>46141</v>
      </c>
      <c r="C443" s="69" t="str">
        <f t="shared" si="6"/>
        <v>Abril</v>
      </c>
      <c r="D443" s="77" t="s">
        <v>298</v>
      </c>
      <c r="E443" s="72" t="s">
        <v>439</v>
      </c>
      <c r="F443" s="70" t="s">
        <v>138</v>
      </c>
      <c r="G443" s="71" t="s">
        <v>164</v>
      </c>
      <c r="H443" s="72" t="s">
        <v>791</v>
      </c>
      <c r="I443" s="71" t="s">
        <v>131</v>
      </c>
      <c r="J443" s="19">
        <v>2026</v>
      </c>
      <c r="K443" s="73" t="s">
        <v>131</v>
      </c>
      <c r="L443" s="71" t="s">
        <v>150</v>
      </c>
      <c r="M443" s="71" t="s">
        <v>735</v>
      </c>
      <c r="N443" s="80" t="s">
        <v>135</v>
      </c>
      <c r="O443" s="295">
        <v>-52591.67</v>
      </c>
      <c r="P443" s="75"/>
      <c r="Y443" s="45"/>
      <c r="AC443" s="45"/>
    </row>
    <row r="444" spans="2:30" s="79" customFormat="1" ht="21.75" customHeight="1">
      <c r="B444" s="376">
        <v>46144</v>
      </c>
      <c r="C444" s="377" t="str">
        <f t="shared" si="6"/>
        <v>Maio</v>
      </c>
      <c r="D444" s="378" t="s">
        <v>386</v>
      </c>
      <c r="E444" s="379" t="s">
        <v>468</v>
      </c>
      <c r="F444" s="380" t="s">
        <v>131</v>
      </c>
      <c r="G444" s="342" t="s">
        <v>480</v>
      </c>
      <c r="H444" s="378" t="s">
        <v>1008</v>
      </c>
      <c r="I444" s="342" t="s">
        <v>131</v>
      </c>
      <c r="J444" s="112" t="s">
        <v>131</v>
      </c>
      <c r="K444" s="343" t="s">
        <v>131</v>
      </c>
      <c r="L444" s="342" t="s">
        <v>131</v>
      </c>
      <c r="M444" s="342" t="s">
        <v>730</v>
      </c>
      <c r="N444" s="381" t="s">
        <v>521</v>
      </c>
      <c r="O444" s="295">
        <v>2725</v>
      </c>
      <c r="P444" s="75"/>
      <c r="Y444" s="45"/>
      <c r="AC444" s="45"/>
    </row>
    <row r="445" spans="2:30" ht="21.75" customHeight="1">
      <c r="B445" s="68">
        <v>46146</v>
      </c>
      <c r="C445" s="69" t="str">
        <f t="shared" si="6"/>
        <v>Maio</v>
      </c>
      <c r="D445" s="77" t="s">
        <v>299</v>
      </c>
      <c r="E445" s="72" t="s">
        <v>303</v>
      </c>
      <c r="F445" s="70" t="s">
        <v>138</v>
      </c>
      <c r="G445" s="71" t="s">
        <v>147</v>
      </c>
      <c r="H445" s="77" t="s">
        <v>629</v>
      </c>
      <c r="I445" s="71" t="s">
        <v>131</v>
      </c>
      <c r="J445" s="367" t="s">
        <v>209</v>
      </c>
      <c r="K445" s="71" t="s">
        <v>131</v>
      </c>
      <c r="L445" s="71" t="s">
        <v>137</v>
      </c>
      <c r="M445" s="71" t="s">
        <v>735</v>
      </c>
      <c r="N445" s="80" t="s">
        <v>151</v>
      </c>
      <c r="O445" s="295">
        <v>-700</v>
      </c>
      <c r="P445" s="75"/>
      <c r="Z445" s="16"/>
      <c r="AA445" s="16"/>
      <c r="AB445" s="16"/>
    </row>
    <row r="446" spans="2:30" ht="21.75" customHeight="1">
      <c r="B446" s="376">
        <v>46146</v>
      </c>
      <c r="C446" s="377" t="str">
        <f t="shared" si="6"/>
        <v>Maio</v>
      </c>
      <c r="D446" s="378" t="s">
        <v>300</v>
      </c>
      <c r="E446" s="379" t="s">
        <v>478</v>
      </c>
      <c r="F446" s="380" t="s">
        <v>136</v>
      </c>
      <c r="G446" s="342" t="s">
        <v>894</v>
      </c>
      <c r="H446" s="378" t="s">
        <v>211</v>
      </c>
      <c r="I446" s="342" t="s">
        <v>131</v>
      </c>
      <c r="J446" s="393" t="s">
        <v>1444</v>
      </c>
      <c r="K446" s="342" t="s">
        <v>131</v>
      </c>
      <c r="L446" s="342" t="s">
        <v>134</v>
      </c>
      <c r="M446" s="342" t="s">
        <v>735</v>
      </c>
      <c r="N446" s="381" t="s">
        <v>151</v>
      </c>
      <c r="O446" s="295">
        <v>-514</v>
      </c>
      <c r="P446" s="75"/>
      <c r="Z446" s="16"/>
      <c r="AA446" s="16"/>
      <c r="AB446" s="16"/>
    </row>
    <row r="447" spans="2:30" ht="21.75" customHeight="1">
      <c r="B447" s="376">
        <v>46146</v>
      </c>
      <c r="C447" s="377" t="str">
        <f t="shared" si="6"/>
        <v>Maio</v>
      </c>
      <c r="D447" s="378" t="s">
        <v>300</v>
      </c>
      <c r="E447" s="379" t="s">
        <v>438</v>
      </c>
      <c r="F447" s="380" t="s">
        <v>136</v>
      </c>
      <c r="G447" s="342" t="s">
        <v>954</v>
      </c>
      <c r="H447" s="378" t="s">
        <v>1412</v>
      </c>
      <c r="I447" s="342" t="s">
        <v>131</v>
      </c>
      <c r="J447" s="343" t="s">
        <v>1413</v>
      </c>
      <c r="K447" s="384" t="s">
        <v>131</v>
      </c>
      <c r="L447" s="342" t="s">
        <v>134</v>
      </c>
      <c r="M447" s="342" t="s">
        <v>735</v>
      </c>
      <c r="N447" s="381" t="s">
        <v>151</v>
      </c>
      <c r="O447" s="295">
        <v>-220</v>
      </c>
      <c r="P447" s="75"/>
      <c r="Z447" s="16"/>
      <c r="AA447" s="16"/>
      <c r="AB447" s="16"/>
    </row>
    <row r="448" spans="2:30" ht="21.75" customHeight="1">
      <c r="B448" s="376">
        <v>46146</v>
      </c>
      <c r="C448" s="377" t="str">
        <f t="shared" si="6"/>
        <v>Maio</v>
      </c>
      <c r="D448" s="378" t="s">
        <v>300</v>
      </c>
      <c r="E448" s="379" t="s">
        <v>478</v>
      </c>
      <c r="F448" s="380" t="s">
        <v>136</v>
      </c>
      <c r="G448" s="342" t="s">
        <v>948</v>
      </c>
      <c r="H448" s="378" t="s">
        <v>949</v>
      </c>
      <c r="I448" s="342" t="s">
        <v>595</v>
      </c>
      <c r="J448" s="372" t="s">
        <v>1414</v>
      </c>
      <c r="K448" s="342" t="s">
        <v>131</v>
      </c>
      <c r="L448" s="342" t="s">
        <v>137</v>
      </c>
      <c r="M448" s="342" t="s">
        <v>735</v>
      </c>
      <c r="N448" s="381" t="s">
        <v>151</v>
      </c>
      <c r="O448" s="74">
        <v>-135</v>
      </c>
      <c r="P448" s="75"/>
      <c r="Z448" s="16"/>
      <c r="AA448" s="16"/>
      <c r="AB448" s="16"/>
    </row>
    <row r="449" spans="2:29" ht="21.75" customHeight="1">
      <c r="B449" s="68">
        <v>46146</v>
      </c>
      <c r="C449" s="69" t="str">
        <f t="shared" si="6"/>
        <v>Maio</v>
      </c>
      <c r="D449" s="77" t="s">
        <v>508</v>
      </c>
      <c r="E449" s="72" t="s">
        <v>497</v>
      </c>
      <c r="F449" s="70" t="s">
        <v>534</v>
      </c>
      <c r="G449" s="71" t="s">
        <v>1090</v>
      </c>
      <c r="H449" s="77" t="s">
        <v>1092</v>
      </c>
      <c r="I449" s="71" t="s">
        <v>595</v>
      </c>
      <c r="J449" s="393" t="s">
        <v>1073</v>
      </c>
      <c r="K449" s="78" t="s">
        <v>288</v>
      </c>
      <c r="L449" s="71" t="s">
        <v>137</v>
      </c>
      <c r="M449" s="71" t="s">
        <v>730</v>
      </c>
      <c r="N449" s="80" t="s">
        <v>151</v>
      </c>
      <c r="O449" s="295">
        <v>-2725</v>
      </c>
      <c r="P449" s="75"/>
      <c r="Z449" s="16"/>
      <c r="AA449" s="16"/>
      <c r="AB449" s="16"/>
    </row>
    <row r="450" spans="2:29" ht="21.75" customHeight="1">
      <c r="B450" s="68">
        <v>46146</v>
      </c>
      <c r="C450" s="69" t="str">
        <f t="shared" si="6"/>
        <v>Maio</v>
      </c>
      <c r="D450" s="77" t="s">
        <v>386</v>
      </c>
      <c r="E450" s="72" t="s">
        <v>468</v>
      </c>
      <c r="F450" s="70" t="s">
        <v>131</v>
      </c>
      <c r="G450" s="71" t="s">
        <v>480</v>
      </c>
      <c r="H450" s="72" t="s">
        <v>1008</v>
      </c>
      <c r="I450" s="71" t="s">
        <v>131</v>
      </c>
      <c r="J450" s="112" t="s">
        <v>131</v>
      </c>
      <c r="K450" s="73" t="s">
        <v>131</v>
      </c>
      <c r="L450" s="71" t="s">
        <v>131</v>
      </c>
      <c r="M450" s="71" t="s">
        <v>730</v>
      </c>
      <c r="N450" s="80" t="s">
        <v>521</v>
      </c>
      <c r="O450" s="295">
        <v>1918</v>
      </c>
      <c r="P450" s="75"/>
      <c r="Z450" s="16"/>
      <c r="AA450" s="16"/>
      <c r="AB450" s="16"/>
    </row>
    <row r="451" spans="2:29" ht="21.75" customHeight="1">
      <c r="B451" s="376">
        <v>46146</v>
      </c>
      <c r="C451" s="377" t="str">
        <f t="shared" si="6"/>
        <v>Maio</v>
      </c>
      <c r="D451" s="378" t="s">
        <v>386</v>
      </c>
      <c r="E451" s="379" t="s">
        <v>468</v>
      </c>
      <c r="F451" s="380" t="s">
        <v>131</v>
      </c>
      <c r="G451" s="342" t="s">
        <v>480</v>
      </c>
      <c r="H451" s="378" t="s">
        <v>1008</v>
      </c>
      <c r="I451" s="342" t="s">
        <v>131</v>
      </c>
      <c r="J451" s="112" t="s">
        <v>131</v>
      </c>
      <c r="K451" s="343" t="s">
        <v>131</v>
      </c>
      <c r="L451" s="342" t="s">
        <v>131</v>
      </c>
      <c r="M451" s="342" t="s">
        <v>730</v>
      </c>
      <c r="N451" s="381" t="s">
        <v>521</v>
      </c>
      <c r="O451" s="295">
        <v>456.39</v>
      </c>
      <c r="P451" s="75"/>
      <c r="Z451" s="16"/>
      <c r="AA451" s="16"/>
      <c r="AB451" s="16"/>
    </row>
    <row r="452" spans="2:29" s="465" customFormat="1" ht="21.75" customHeight="1">
      <c r="B452" s="376">
        <v>46146</v>
      </c>
      <c r="C452" s="377" t="str">
        <f t="shared" si="6"/>
        <v>Maio</v>
      </c>
      <c r="D452" s="378" t="s">
        <v>508</v>
      </c>
      <c r="E452" s="379" t="s">
        <v>497</v>
      </c>
      <c r="F452" s="380" t="s">
        <v>534</v>
      </c>
      <c r="G452" s="342" t="s">
        <v>948</v>
      </c>
      <c r="H452" s="378" t="s">
        <v>949</v>
      </c>
      <c r="I452" s="342" t="s">
        <v>595</v>
      </c>
      <c r="J452" s="372" t="s">
        <v>1415</v>
      </c>
      <c r="K452" s="342" t="s">
        <v>131</v>
      </c>
      <c r="L452" s="342" t="s">
        <v>137</v>
      </c>
      <c r="M452" s="342" t="s">
        <v>730</v>
      </c>
      <c r="N452" s="80" t="s">
        <v>151</v>
      </c>
      <c r="O452" s="74">
        <v>-270</v>
      </c>
      <c r="P452" s="296"/>
      <c r="Y452" s="45"/>
      <c r="AC452" s="45"/>
    </row>
    <row r="453" spans="2:29" s="79" customFormat="1" ht="21.75" customHeight="1">
      <c r="B453" s="68">
        <v>46147</v>
      </c>
      <c r="C453" s="69" t="str">
        <f t="shared" si="6"/>
        <v>Maio</v>
      </c>
      <c r="D453" s="77" t="s">
        <v>302</v>
      </c>
      <c r="E453" s="72" t="s">
        <v>436</v>
      </c>
      <c r="F453" s="70" t="s">
        <v>138</v>
      </c>
      <c r="G453" s="71" t="s">
        <v>480</v>
      </c>
      <c r="H453" s="77" t="s">
        <v>484</v>
      </c>
      <c r="I453" s="71" t="s">
        <v>131</v>
      </c>
      <c r="J453" s="389" t="s">
        <v>792</v>
      </c>
      <c r="K453" s="71" t="s">
        <v>131</v>
      </c>
      <c r="L453" s="71" t="s">
        <v>197</v>
      </c>
      <c r="M453" s="71" t="s">
        <v>730</v>
      </c>
      <c r="N453" s="80" t="s">
        <v>151</v>
      </c>
      <c r="O453" s="295">
        <v>-100</v>
      </c>
      <c r="P453" s="75"/>
      <c r="Y453" s="45"/>
      <c r="AC453" s="45"/>
    </row>
    <row r="454" spans="2:29" ht="21.75" customHeight="1">
      <c r="B454" s="68">
        <v>46147</v>
      </c>
      <c r="C454" s="69" t="str">
        <f t="shared" ref="C454:C518" si="7">PROPER(TEXT(B454,"MMMM"))</f>
        <v>Maio</v>
      </c>
      <c r="D454" s="77" t="s">
        <v>301</v>
      </c>
      <c r="E454" s="72" t="s">
        <v>526</v>
      </c>
      <c r="F454" s="70" t="s">
        <v>136</v>
      </c>
      <c r="G454" s="71" t="s">
        <v>548</v>
      </c>
      <c r="H454" s="77" t="s">
        <v>549</v>
      </c>
      <c r="I454" s="71" t="s">
        <v>131</v>
      </c>
      <c r="J454" s="367" t="s">
        <v>209</v>
      </c>
      <c r="K454" s="71" t="s">
        <v>131</v>
      </c>
      <c r="L454" s="71" t="s">
        <v>134</v>
      </c>
      <c r="M454" s="71" t="s">
        <v>735</v>
      </c>
      <c r="N454" s="381" t="s">
        <v>151</v>
      </c>
      <c r="O454" s="295">
        <v>-70</v>
      </c>
      <c r="P454" s="75"/>
      <c r="Z454" s="16"/>
      <c r="AA454" s="16"/>
      <c r="AB454" s="16"/>
    </row>
    <row r="455" spans="2:29" ht="21.75" customHeight="1">
      <c r="B455" s="68">
        <v>46147</v>
      </c>
      <c r="C455" s="69" t="str">
        <f t="shared" si="7"/>
        <v>Maio</v>
      </c>
      <c r="D455" s="77" t="s">
        <v>508</v>
      </c>
      <c r="E455" s="72" t="s">
        <v>497</v>
      </c>
      <c r="F455" s="70" t="s">
        <v>534</v>
      </c>
      <c r="G455" s="71" t="s">
        <v>1281</v>
      </c>
      <c r="H455" s="77" t="s">
        <v>1282</v>
      </c>
      <c r="I455" s="71" t="s">
        <v>595</v>
      </c>
      <c r="J455" s="485" t="s">
        <v>209</v>
      </c>
      <c r="K455" s="78" t="s">
        <v>131</v>
      </c>
      <c r="L455" s="342" t="s">
        <v>134</v>
      </c>
      <c r="M455" s="71" t="s">
        <v>730</v>
      </c>
      <c r="N455" s="80" t="s">
        <v>28</v>
      </c>
      <c r="O455" s="390">
        <v>-2695</v>
      </c>
      <c r="P455" s="75"/>
      <c r="Z455" s="16"/>
      <c r="AA455" s="16"/>
      <c r="AB455" s="16"/>
    </row>
    <row r="456" spans="2:29" ht="21.75" customHeight="1">
      <c r="B456" s="68">
        <v>46146</v>
      </c>
      <c r="C456" s="69" t="str">
        <f t="shared" si="7"/>
        <v>Maio</v>
      </c>
      <c r="D456" s="77" t="s">
        <v>509</v>
      </c>
      <c r="E456" s="72" t="s">
        <v>500</v>
      </c>
      <c r="F456" s="70" t="s">
        <v>131</v>
      </c>
      <c r="G456" s="71" t="s">
        <v>132</v>
      </c>
      <c r="H456" s="77" t="s">
        <v>133</v>
      </c>
      <c r="I456" s="71" t="s">
        <v>131</v>
      </c>
      <c r="J456" s="343" t="s">
        <v>792</v>
      </c>
      <c r="K456" s="71" t="s">
        <v>131</v>
      </c>
      <c r="L456" s="71" t="s">
        <v>134</v>
      </c>
      <c r="M456" s="71" t="s">
        <v>735</v>
      </c>
      <c r="N456" s="80" t="s">
        <v>267</v>
      </c>
      <c r="O456" s="634">
        <v>-3212.86</v>
      </c>
      <c r="P456" s="75"/>
      <c r="Z456" s="16"/>
      <c r="AA456" s="16"/>
      <c r="AB456" s="16"/>
    </row>
    <row r="457" spans="2:29" ht="21.75" customHeight="1">
      <c r="B457" s="68">
        <v>46157</v>
      </c>
      <c r="C457" s="69" t="str">
        <f t="shared" si="7"/>
        <v>Maio</v>
      </c>
      <c r="D457" s="77" t="s">
        <v>509</v>
      </c>
      <c r="E457" s="72" t="s">
        <v>500</v>
      </c>
      <c r="F457" s="70" t="s">
        <v>131</v>
      </c>
      <c r="G457" s="71" t="s">
        <v>132</v>
      </c>
      <c r="H457" s="77" t="s">
        <v>133</v>
      </c>
      <c r="I457" s="71" t="s">
        <v>131</v>
      </c>
      <c r="J457" s="343" t="s">
        <v>792</v>
      </c>
      <c r="K457" s="71" t="s">
        <v>131</v>
      </c>
      <c r="L457" s="71" t="s">
        <v>134</v>
      </c>
      <c r="M457" s="71" t="s">
        <v>735</v>
      </c>
      <c r="N457" s="80" t="s">
        <v>266</v>
      </c>
      <c r="O457" s="295">
        <f>-1*(SUMIFS('Distribuição de Lucro_Mensal'!$I$6:$I$680,'Distribuição de Lucro_Mensal'!$D$6:$D$680,"maio",'Distribuição de Lucro_Mensal'!$K$6:$K$680,"Provisionado"))</f>
        <v>-24458.55</v>
      </c>
      <c r="P457" s="75"/>
      <c r="Z457" s="16"/>
      <c r="AA457" s="16"/>
      <c r="AB457" s="16"/>
    </row>
    <row r="458" spans="2:29" s="341" customFormat="1" ht="21.75" customHeight="1">
      <c r="B458" s="68">
        <v>46147</v>
      </c>
      <c r="C458" s="69" t="str">
        <f t="shared" si="7"/>
        <v>Maio</v>
      </c>
      <c r="D458" s="77" t="s">
        <v>298</v>
      </c>
      <c r="E458" s="72" t="s">
        <v>513</v>
      </c>
      <c r="F458" s="70" t="s">
        <v>138</v>
      </c>
      <c r="G458" s="71" t="s">
        <v>140</v>
      </c>
      <c r="H458" s="77" t="s">
        <v>152</v>
      </c>
      <c r="I458" s="71" t="s">
        <v>131</v>
      </c>
      <c r="J458" s="343" t="s">
        <v>1440</v>
      </c>
      <c r="K458" s="71" t="s">
        <v>131</v>
      </c>
      <c r="L458" s="71" t="s">
        <v>137</v>
      </c>
      <c r="M458" s="71" t="s">
        <v>735</v>
      </c>
      <c r="N458" s="80" t="s">
        <v>151</v>
      </c>
      <c r="O458" s="295">
        <v>-4885</v>
      </c>
      <c r="P458" s="296"/>
      <c r="Q458"/>
      <c r="R458"/>
      <c r="S458"/>
      <c r="T458"/>
      <c r="U458"/>
      <c r="V458"/>
      <c r="W458"/>
      <c r="X458"/>
      <c r="Y458" s="45"/>
      <c r="AC458" s="45"/>
    </row>
    <row r="459" spans="2:29" s="341" customFormat="1" ht="21.75" customHeight="1">
      <c r="B459" s="68">
        <v>46147</v>
      </c>
      <c r="C459" s="69" t="str">
        <f t="shared" si="7"/>
        <v>Maio</v>
      </c>
      <c r="D459" s="77" t="s">
        <v>299</v>
      </c>
      <c r="E459" s="72" t="s">
        <v>757</v>
      </c>
      <c r="F459" s="70" t="s">
        <v>138</v>
      </c>
      <c r="G459" s="71" t="s">
        <v>148</v>
      </c>
      <c r="H459" s="77" t="s">
        <v>177</v>
      </c>
      <c r="I459" s="71" t="s">
        <v>131</v>
      </c>
      <c r="J459" s="389" t="s">
        <v>786</v>
      </c>
      <c r="K459" s="78" t="s">
        <v>131</v>
      </c>
      <c r="L459" s="71" t="s">
        <v>134</v>
      </c>
      <c r="M459" s="71" t="s">
        <v>735</v>
      </c>
      <c r="N459" s="80" t="s">
        <v>151</v>
      </c>
      <c r="O459" s="295">
        <v>-4498.5</v>
      </c>
      <c r="P459" s="296"/>
      <c r="Q459"/>
      <c r="R459"/>
      <c r="S459"/>
      <c r="T459"/>
      <c r="U459"/>
      <c r="V459"/>
      <c r="W459"/>
      <c r="X459"/>
      <c r="Y459" s="45"/>
      <c r="AC459" s="45"/>
    </row>
    <row r="460" spans="2:29" ht="21.75" customHeight="1">
      <c r="B460" s="68">
        <v>46147</v>
      </c>
      <c r="C460" s="69" t="str">
        <f t="shared" si="7"/>
        <v>Maio</v>
      </c>
      <c r="D460" s="77" t="s">
        <v>508</v>
      </c>
      <c r="E460" s="72" t="s">
        <v>497</v>
      </c>
      <c r="F460" s="70" t="s">
        <v>534</v>
      </c>
      <c r="G460" s="19" t="s">
        <v>753</v>
      </c>
      <c r="H460" s="369" t="s">
        <v>754</v>
      </c>
      <c r="I460" s="71" t="s">
        <v>595</v>
      </c>
      <c r="J460" s="342" t="s">
        <v>755</v>
      </c>
      <c r="K460" s="112" t="s">
        <v>289</v>
      </c>
      <c r="L460" s="71" t="s">
        <v>137</v>
      </c>
      <c r="M460" s="71" t="s">
        <v>730</v>
      </c>
      <c r="N460" s="80" t="s">
        <v>151</v>
      </c>
      <c r="O460" s="390">
        <v>-1918</v>
      </c>
      <c r="P460" s="75"/>
      <c r="Z460" s="16"/>
      <c r="AA460" s="16"/>
      <c r="AB460" s="16"/>
    </row>
    <row r="461" spans="2:29" ht="21.75" customHeight="1">
      <c r="B461" s="376">
        <v>46147</v>
      </c>
      <c r="C461" s="377" t="str">
        <f t="shared" si="7"/>
        <v>Maio</v>
      </c>
      <c r="D461" s="378" t="s">
        <v>508</v>
      </c>
      <c r="E461" s="379" t="s">
        <v>497</v>
      </c>
      <c r="F461" s="380" t="s">
        <v>534</v>
      </c>
      <c r="G461" s="19" t="s">
        <v>853</v>
      </c>
      <c r="H461" s="369" t="s">
        <v>854</v>
      </c>
      <c r="I461" s="342" t="s">
        <v>595</v>
      </c>
      <c r="J461" s="112" t="s">
        <v>1376</v>
      </c>
      <c r="K461" s="112" t="s">
        <v>131</v>
      </c>
      <c r="L461" s="342" t="s">
        <v>137</v>
      </c>
      <c r="M461" s="71" t="s">
        <v>730</v>
      </c>
      <c r="N461" s="80" t="s">
        <v>151</v>
      </c>
      <c r="O461" s="295">
        <v>-186.39</v>
      </c>
      <c r="P461" s="75"/>
      <c r="Z461" s="16"/>
      <c r="AA461" s="16"/>
      <c r="AB461" s="16"/>
    </row>
    <row r="462" spans="2:29" ht="21.75" customHeight="1">
      <c r="B462" s="68">
        <v>46149</v>
      </c>
      <c r="C462" s="69" t="str">
        <f t="shared" si="7"/>
        <v>Maio</v>
      </c>
      <c r="D462" s="77" t="s">
        <v>299</v>
      </c>
      <c r="E462" s="72" t="s">
        <v>303</v>
      </c>
      <c r="F462" s="70" t="s">
        <v>136</v>
      </c>
      <c r="G462" s="19" t="s">
        <v>1157</v>
      </c>
      <c r="H462" s="369" t="s">
        <v>1158</v>
      </c>
      <c r="I462" s="71" t="s">
        <v>131</v>
      </c>
      <c r="J462" s="112" t="s">
        <v>1443</v>
      </c>
      <c r="K462" s="112" t="s">
        <v>131</v>
      </c>
      <c r="L462" s="71" t="s">
        <v>134</v>
      </c>
      <c r="M462" s="71" t="s">
        <v>735</v>
      </c>
      <c r="N462" s="381" t="s">
        <v>151</v>
      </c>
      <c r="O462" s="295">
        <v>-150</v>
      </c>
      <c r="P462" s="75"/>
      <c r="Z462" s="16"/>
      <c r="AA462" s="16"/>
      <c r="AB462" s="16"/>
    </row>
    <row r="463" spans="2:29" ht="21.75" customHeight="1">
      <c r="B463" s="376">
        <v>46149</v>
      </c>
      <c r="C463" s="377" t="str">
        <f t="shared" si="7"/>
        <v>Maio</v>
      </c>
      <c r="D463" s="378" t="s">
        <v>386</v>
      </c>
      <c r="E463" s="379" t="s">
        <v>468</v>
      </c>
      <c r="F463" s="380" t="s">
        <v>131</v>
      </c>
      <c r="G463" s="342" t="s">
        <v>480</v>
      </c>
      <c r="H463" s="378" t="s">
        <v>1008</v>
      </c>
      <c r="I463" s="342" t="s">
        <v>131</v>
      </c>
      <c r="J463" s="112" t="s">
        <v>131</v>
      </c>
      <c r="K463" s="343" t="s">
        <v>131</v>
      </c>
      <c r="L463" s="342" t="s">
        <v>131</v>
      </c>
      <c r="M463" s="342" t="s">
        <v>730</v>
      </c>
      <c r="N463" s="381" t="s">
        <v>521</v>
      </c>
      <c r="O463" s="295">
        <v>3187.34</v>
      </c>
      <c r="P463" s="75"/>
      <c r="Z463" s="16"/>
      <c r="AA463" s="16"/>
      <c r="AB463" s="16"/>
    </row>
    <row r="464" spans="2:29" ht="21.75" customHeight="1">
      <c r="B464" s="68">
        <v>46150</v>
      </c>
      <c r="C464" s="377" t="str">
        <f t="shared" si="7"/>
        <v>Maio</v>
      </c>
      <c r="D464" s="378" t="s">
        <v>300</v>
      </c>
      <c r="E464" s="379" t="s">
        <v>438</v>
      </c>
      <c r="F464" s="380" t="s">
        <v>136</v>
      </c>
      <c r="G464" s="19" t="s">
        <v>967</v>
      </c>
      <c r="H464" s="369" t="s">
        <v>1374</v>
      </c>
      <c r="I464" s="342" t="s">
        <v>131</v>
      </c>
      <c r="J464" s="393" t="s">
        <v>1373</v>
      </c>
      <c r="K464" s="384" t="s">
        <v>131</v>
      </c>
      <c r="L464" s="342" t="s">
        <v>137</v>
      </c>
      <c r="M464" s="342" t="s">
        <v>735</v>
      </c>
      <c r="N464" s="381" t="s">
        <v>151</v>
      </c>
      <c r="O464" s="295">
        <v>-60</v>
      </c>
      <c r="P464" s="75"/>
      <c r="Z464" s="16"/>
      <c r="AA464" s="16"/>
      <c r="AB464" s="16"/>
    </row>
    <row r="465" spans="2:29" ht="21.75" customHeight="1">
      <c r="B465" s="376">
        <v>46150</v>
      </c>
      <c r="C465" s="377" t="str">
        <f t="shared" si="7"/>
        <v>Maio</v>
      </c>
      <c r="D465" s="378" t="s">
        <v>300</v>
      </c>
      <c r="E465" s="379" t="s">
        <v>438</v>
      </c>
      <c r="F465" s="380" t="s">
        <v>136</v>
      </c>
      <c r="G465" s="19" t="s">
        <v>1365</v>
      </c>
      <c r="H465" s="378" t="s">
        <v>1366</v>
      </c>
      <c r="I465" s="342" t="s">
        <v>131</v>
      </c>
      <c r="J465" s="112" t="s">
        <v>1367</v>
      </c>
      <c r="K465" s="342" t="s">
        <v>131</v>
      </c>
      <c r="L465" s="342" t="s">
        <v>137</v>
      </c>
      <c r="M465" s="342" t="s">
        <v>735</v>
      </c>
      <c r="N465" s="381" t="s">
        <v>151</v>
      </c>
      <c r="O465" s="295">
        <v>-434</v>
      </c>
      <c r="P465" s="75"/>
      <c r="Z465" s="16"/>
      <c r="AA465" s="16"/>
      <c r="AB465" s="16"/>
    </row>
    <row r="466" spans="2:29" ht="21.75" customHeight="1">
      <c r="B466" s="376">
        <v>46150</v>
      </c>
      <c r="C466" s="377" t="str">
        <f t="shared" si="7"/>
        <v>Maio</v>
      </c>
      <c r="D466" s="378" t="s">
        <v>300</v>
      </c>
      <c r="E466" s="379" t="s">
        <v>476</v>
      </c>
      <c r="F466" s="380" t="s">
        <v>136</v>
      </c>
      <c r="G466" s="342" t="s">
        <v>1231</v>
      </c>
      <c r="H466" s="378" t="s">
        <v>1368</v>
      </c>
      <c r="I466" s="342" t="s">
        <v>131</v>
      </c>
      <c r="J466" s="389" t="s">
        <v>1369</v>
      </c>
      <c r="K466" s="342" t="s">
        <v>131</v>
      </c>
      <c r="L466" s="342" t="s">
        <v>137</v>
      </c>
      <c r="M466" s="342" t="s">
        <v>735</v>
      </c>
      <c r="N466" s="381" t="s">
        <v>151</v>
      </c>
      <c r="O466" s="295">
        <v>-176</v>
      </c>
      <c r="P466" s="75"/>
      <c r="Z466" s="16"/>
      <c r="AA466" s="16"/>
      <c r="AB466" s="16"/>
    </row>
    <row r="467" spans="2:29" s="79" customFormat="1" ht="21.75" customHeight="1">
      <c r="B467" s="68">
        <v>46150</v>
      </c>
      <c r="C467" s="69" t="str">
        <f t="shared" si="7"/>
        <v>Maio</v>
      </c>
      <c r="D467" s="77" t="s">
        <v>300</v>
      </c>
      <c r="E467" s="72" t="s">
        <v>478</v>
      </c>
      <c r="F467" s="70" t="s">
        <v>136</v>
      </c>
      <c r="G467" s="71" t="s">
        <v>888</v>
      </c>
      <c r="H467" s="72" t="s">
        <v>1372</v>
      </c>
      <c r="I467" s="71" t="s">
        <v>131</v>
      </c>
      <c r="J467" s="366" t="s">
        <v>1371</v>
      </c>
      <c r="K467" s="73" t="s">
        <v>131</v>
      </c>
      <c r="L467" s="71" t="s">
        <v>137</v>
      </c>
      <c r="M467" s="71" t="s">
        <v>735</v>
      </c>
      <c r="N467" s="381" t="s">
        <v>151</v>
      </c>
      <c r="O467" s="295">
        <v>-144.35</v>
      </c>
      <c r="P467" s="75"/>
      <c r="Y467" s="45"/>
      <c r="AC467" s="45"/>
    </row>
    <row r="468" spans="2:29" s="465" customFormat="1" ht="21.75" customHeight="1">
      <c r="B468" s="68">
        <v>46150</v>
      </c>
      <c r="C468" s="69" t="str">
        <f t="shared" si="7"/>
        <v>Maio</v>
      </c>
      <c r="D468" s="77" t="s">
        <v>508</v>
      </c>
      <c r="E468" s="72" t="s">
        <v>497</v>
      </c>
      <c r="F468" s="70" t="s">
        <v>534</v>
      </c>
      <c r="G468" s="71" t="s">
        <v>628</v>
      </c>
      <c r="H468" s="77" t="s">
        <v>663</v>
      </c>
      <c r="I468" s="71" t="s">
        <v>595</v>
      </c>
      <c r="J468" s="393" t="s">
        <v>1370</v>
      </c>
      <c r="K468" s="78" t="s">
        <v>272</v>
      </c>
      <c r="L468" s="71" t="s">
        <v>137</v>
      </c>
      <c r="M468" s="71" t="s">
        <v>730</v>
      </c>
      <c r="N468" s="80" t="s">
        <v>151</v>
      </c>
      <c r="O468" s="295">
        <v>-3187.34</v>
      </c>
      <c r="P468" s="296"/>
      <c r="Y468" s="45"/>
      <c r="AC468" s="45"/>
    </row>
    <row r="469" spans="2:29" ht="21.75" customHeight="1">
      <c r="B469" s="376">
        <v>46150</v>
      </c>
      <c r="C469" s="377" t="str">
        <f t="shared" si="7"/>
        <v>Maio</v>
      </c>
      <c r="D469" s="378" t="s">
        <v>386</v>
      </c>
      <c r="E469" s="379" t="s">
        <v>468</v>
      </c>
      <c r="F469" s="380" t="s">
        <v>131</v>
      </c>
      <c r="G469" s="342" t="s">
        <v>480</v>
      </c>
      <c r="H469" s="378" t="s">
        <v>1008</v>
      </c>
      <c r="I469" s="342" t="s">
        <v>131</v>
      </c>
      <c r="J469" s="112" t="s">
        <v>131</v>
      </c>
      <c r="K469" s="343" t="s">
        <v>131</v>
      </c>
      <c r="L469" s="342" t="s">
        <v>131</v>
      </c>
      <c r="M469" s="342" t="s">
        <v>730</v>
      </c>
      <c r="N469" s="381" t="s">
        <v>521</v>
      </c>
      <c r="O469" s="295">
        <v>3625</v>
      </c>
      <c r="P469" s="75"/>
      <c r="Z469" s="16"/>
      <c r="AA469" s="16"/>
      <c r="AB469" s="16"/>
    </row>
    <row r="470" spans="2:29" ht="21.75" customHeight="1">
      <c r="B470" s="68">
        <v>46152</v>
      </c>
      <c r="C470" s="69" t="str">
        <f t="shared" si="7"/>
        <v>Maio</v>
      </c>
      <c r="D470" s="77" t="s">
        <v>298</v>
      </c>
      <c r="E470" s="72" t="s">
        <v>515</v>
      </c>
      <c r="F470" s="70" t="s">
        <v>138</v>
      </c>
      <c r="G470" s="19" t="s">
        <v>146</v>
      </c>
      <c r="H470" s="369" t="s">
        <v>153</v>
      </c>
      <c r="I470" s="71" t="s">
        <v>131</v>
      </c>
      <c r="J470" s="389" t="s">
        <v>793</v>
      </c>
      <c r="K470" s="112" t="s">
        <v>131</v>
      </c>
      <c r="L470" s="71" t="s">
        <v>134</v>
      </c>
      <c r="M470" s="71" t="s">
        <v>735</v>
      </c>
      <c r="N470" s="80" t="s">
        <v>151</v>
      </c>
      <c r="O470" s="295">
        <v>-1120</v>
      </c>
      <c r="P470" s="75"/>
      <c r="Z470" s="16"/>
      <c r="AA470" s="16"/>
      <c r="AB470" s="16"/>
    </row>
    <row r="471" spans="2:29" s="465" customFormat="1" ht="21.75" customHeight="1">
      <c r="B471" s="68">
        <v>46153</v>
      </c>
      <c r="C471" s="69" t="str">
        <f t="shared" si="7"/>
        <v>Maio</v>
      </c>
      <c r="D471" s="77" t="s">
        <v>508</v>
      </c>
      <c r="E471" s="72" t="s">
        <v>497</v>
      </c>
      <c r="F471" s="70" t="s">
        <v>534</v>
      </c>
      <c r="G471" s="71" t="s">
        <v>1090</v>
      </c>
      <c r="H471" s="77" t="s">
        <v>1324</v>
      </c>
      <c r="I471" s="71" t="s">
        <v>595</v>
      </c>
      <c r="J471" s="393" t="s">
        <v>1358</v>
      </c>
      <c r="K471" s="78" t="s">
        <v>1265</v>
      </c>
      <c r="L471" s="71" t="s">
        <v>137</v>
      </c>
      <c r="M471" s="71" t="s">
        <v>730</v>
      </c>
      <c r="N471" s="80" t="s">
        <v>151</v>
      </c>
      <c r="O471" s="295">
        <v>-3625</v>
      </c>
      <c r="P471" s="296"/>
      <c r="Y471" s="45"/>
      <c r="AC471" s="45"/>
    </row>
    <row r="472" spans="2:29" ht="21.75" customHeight="1">
      <c r="B472" s="68">
        <v>46153</v>
      </c>
      <c r="C472" s="69" t="str">
        <f t="shared" si="7"/>
        <v>Maio</v>
      </c>
      <c r="D472" s="77" t="s">
        <v>302</v>
      </c>
      <c r="E472" s="72" t="s">
        <v>436</v>
      </c>
      <c r="F472" s="70" t="s">
        <v>138</v>
      </c>
      <c r="G472" s="19" t="s">
        <v>480</v>
      </c>
      <c r="H472" s="379" t="s">
        <v>482</v>
      </c>
      <c r="I472" s="71" t="s">
        <v>131</v>
      </c>
      <c r="J472" s="389" t="s">
        <v>792</v>
      </c>
      <c r="K472" s="112" t="s">
        <v>131</v>
      </c>
      <c r="L472" s="71" t="s">
        <v>197</v>
      </c>
      <c r="M472" s="71" t="s">
        <v>730</v>
      </c>
      <c r="N472" s="80" t="s">
        <v>151</v>
      </c>
      <c r="O472" s="295">
        <v>-56.5</v>
      </c>
      <c r="P472" s="75"/>
      <c r="Z472" s="16"/>
      <c r="AA472" s="16"/>
      <c r="AB472" s="16"/>
    </row>
    <row r="473" spans="2:29" ht="21.75" customHeight="1">
      <c r="B473" s="376">
        <v>46155</v>
      </c>
      <c r="C473" s="377" t="str">
        <f t="shared" si="7"/>
        <v>Maio</v>
      </c>
      <c r="D473" s="378" t="s">
        <v>386</v>
      </c>
      <c r="E473" s="379" t="s">
        <v>468</v>
      </c>
      <c r="F473" s="380" t="s">
        <v>131</v>
      </c>
      <c r="G473" s="342" t="s">
        <v>480</v>
      </c>
      <c r="H473" s="378" t="s">
        <v>1008</v>
      </c>
      <c r="I473" s="342" t="s">
        <v>131</v>
      </c>
      <c r="J473" s="112" t="s">
        <v>131</v>
      </c>
      <c r="K473" s="343" t="s">
        <v>131</v>
      </c>
      <c r="L473" s="342" t="s">
        <v>131</v>
      </c>
      <c r="M473" s="342" t="s">
        <v>730</v>
      </c>
      <c r="N473" s="381" t="s">
        <v>521</v>
      </c>
      <c r="O473" s="390">
        <v>890</v>
      </c>
      <c r="P473" s="75"/>
      <c r="Z473" s="16"/>
      <c r="AA473" s="16"/>
      <c r="AB473" s="16"/>
    </row>
    <row r="474" spans="2:29" ht="21.75" customHeight="1">
      <c r="B474" s="68">
        <v>46156</v>
      </c>
      <c r="C474" s="69" t="str">
        <f t="shared" si="7"/>
        <v>Maio</v>
      </c>
      <c r="D474" s="77" t="s">
        <v>508</v>
      </c>
      <c r="E474" s="72" t="s">
        <v>497</v>
      </c>
      <c r="F474" s="70" t="s">
        <v>534</v>
      </c>
      <c r="G474" s="71" t="s">
        <v>1392</v>
      </c>
      <c r="H474" s="77" t="s">
        <v>1286</v>
      </c>
      <c r="I474" s="71" t="s">
        <v>595</v>
      </c>
      <c r="J474" s="374" t="s">
        <v>1394</v>
      </c>
      <c r="K474" s="78" t="s">
        <v>131</v>
      </c>
      <c r="L474" s="342" t="s">
        <v>134</v>
      </c>
      <c r="M474" s="71" t="s">
        <v>730</v>
      </c>
      <c r="N474" s="80" t="s">
        <v>28</v>
      </c>
      <c r="O474" s="390">
        <v>-33000</v>
      </c>
      <c r="P474" s="75"/>
      <c r="Z474" s="16"/>
      <c r="AA474" s="16"/>
      <c r="AB474" s="16"/>
    </row>
    <row r="475" spans="2:29" ht="21.75" customHeight="1">
      <c r="B475" s="68">
        <v>46156</v>
      </c>
      <c r="C475" s="69" t="str">
        <f t="shared" si="7"/>
        <v>Maio</v>
      </c>
      <c r="D475" s="77" t="s">
        <v>508</v>
      </c>
      <c r="E475" s="72" t="s">
        <v>497</v>
      </c>
      <c r="F475" s="70" t="s">
        <v>534</v>
      </c>
      <c r="G475" s="71" t="s">
        <v>702</v>
      </c>
      <c r="H475" s="77" t="s">
        <v>703</v>
      </c>
      <c r="I475" s="71" t="s">
        <v>595</v>
      </c>
      <c r="J475" s="366" t="s">
        <v>1120</v>
      </c>
      <c r="K475" s="78" t="s">
        <v>274</v>
      </c>
      <c r="L475" s="71" t="s">
        <v>137</v>
      </c>
      <c r="M475" s="71" t="s">
        <v>730</v>
      </c>
      <c r="N475" s="80" t="s">
        <v>151</v>
      </c>
      <c r="O475" s="295">
        <v>-890</v>
      </c>
      <c r="P475" s="75"/>
      <c r="Z475" s="16"/>
      <c r="AA475" s="16"/>
      <c r="AB475" s="16"/>
    </row>
    <row r="476" spans="2:29" ht="21.75" customHeight="1">
      <c r="B476" s="376">
        <v>46156</v>
      </c>
      <c r="C476" s="377" t="str">
        <f t="shared" si="7"/>
        <v>Maio</v>
      </c>
      <c r="D476" s="378" t="s">
        <v>386</v>
      </c>
      <c r="E476" s="379" t="s">
        <v>468</v>
      </c>
      <c r="F476" s="380" t="s">
        <v>131</v>
      </c>
      <c r="G476" s="342" t="s">
        <v>480</v>
      </c>
      <c r="H476" s="72" t="s">
        <v>1008</v>
      </c>
      <c r="I476" s="342" t="s">
        <v>131</v>
      </c>
      <c r="J476" s="112" t="s">
        <v>131</v>
      </c>
      <c r="K476" s="343" t="s">
        <v>131</v>
      </c>
      <c r="L476" s="342" t="s">
        <v>131</v>
      </c>
      <c r="M476" s="342" t="s">
        <v>730</v>
      </c>
      <c r="N476" s="381" t="s">
        <v>521</v>
      </c>
      <c r="O476" s="295">
        <v>2850</v>
      </c>
      <c r="P476" s="75"/>
      <c r="Z476" s="16"/>
      <c r="AA476" s="16"/>
      <c r="AB476" s="16"/>
    </row>
    <row r="477" spans="2:29" s="79" customFormat="1" ht="21.75" customHeight="1">
      <c r="B477" s="68">
        <v>46157</v>
      </c>
      <c r="C477" s="69" t="str">
        <f t="shared" si="7"/>
        <v>Maio</v>
      </c>
      <c r="D477" s="77" t="s">
        <v>298</v>
      </c>
      <c r="E477" s="72" t="s">
        <v>440</v>
      </c>
      <c r="F477" s="70" t="s">
        <v>136</v>
      </c>
      <c r="G477" s="71" t="s">
        <v>1384</v>
      </c>
      <c r="H477" s="72" t="s">
        <v>1352</v>
      </c>
      <c r="I477" s="71" t="s">
        <v>131</v>
      </c>
      <c r="J477" s="78" t="s">
        <v>1353</v>
      </c>
      <c r="K477" s="73" t="s">
        <v>273</v>
      </c>
      <c r="L477" s="342" t="s">
        <v>134</v>
      </c>
      <c r="M477" s="71" t="s">
        <v>735</v>
      </c>
      <c r="N477" s="80" t="s">
        <v>28</v>
      </c>
      <c r="O477" s="74">
        <v>-6250</v>
      </c>
      <c r="P477" s="75"/>
      <c r="Y477" s="45"/>
      <c r="AC477" s="45"/>
    </row>
    <row r="478" spans="2:29" s="79" customFormat="1" ht="21.75" customHeight="1">
      <c r="B478" s="68">
        <v>46157</v>
      </c>
      <c r="C478" s="69" t="str">
        <f t="shared" si="7"/>
        <v>Maio</v>
      </c>
      <c r="D478" s="77" t="s">
        <v>298</v>
      </c>
      <c r="E478" s="72" t="s">
        <v>440</v>
      </c>
      <c r="F478" s="70" t="s">
        <v>136</v>
      </c>
      <c r="G478" s="71" t="s">
        <v>425</v>
      </c>
      <c r="H478" s="77" t="s">
        <v>251</v>
      </c>
      <c r="I478" s="71" t="s">
        <v>131</v>
      </c>
      <c r="J478" s="112" t="s">
        <v>131</v>
      </c>
      <c r="K478" s="73" t="s">
        <v>278</v>
      </c>
      <c r="L478" s="71" t="s">
        <v>1046</v>
      </c>
      <c r="M478" s="71" t="s">
        <v>735</v>
      </c>
      <c r="N478" s="80" t="s">
        <v>28</v>
      </c>
      <c r="O478" s="295">
        <v>-24.16</v>
      </c>
      <c r="P478" s="75"/>
      <c r="R478"/>
      <c r="S478"/>
      <c r="Y478" s="45"/>
      <c r="AC478" s="45"/>
    </row>
    <row r="479" spans="2:29" ht="21.75" customHeight="1">
      <c r="B479" s="68">
        <v>46157</v>
      </c>
      <c r="C479" s="69" t="str">
        <f t="shared" si="7"/>
        <v>Maio</v>
      </c>
      <c r="D479" s="77" t="s">
        <v>508</v>
      </c>
      <c r="E479" s="72" t="s">
        <v>497</v>
      </c>
      <c r="F479" s="70" t="s">
        <v>534</v>
      </c>
      <c r="G479" s="71" t="s">
        <v>628</v>
      </c>
      <c r="H479" s="77" t="s">
        <v>1379</v>
      </c>
      <c r="I479" s="71" t="s">
        <v>595</v>
      </c>
      <c r="J479" s="393" t="s">
        <v>1359</v>
      </c>
      <c r="K479" s="78" t="s">
        <v>131</v>
      </c>
      <c r="L479" s="71" t="s">
        <v>1046</v>
      </c>
      <c r="M479" s="71" t="s">
        <v>730</v>
      </c>
      <c r="N479" s="80" t="s">
        <v>28</v>
      </c>
      <c r="O479" s="295">
        <v>-118.8</v>
      </c>
      <c r="P479" s="75"/>
      <c r="Z479" s="16"/>
      <c r="AA479" s="16"/>
      <c r="AB479" s="16"/>
    </row>
    <row r="480" spans="2:29" ht="21.75" customHeight="1">
      <c r="B480" s="68">
        <v>46157</v>
      </c>
      <c r="C480" s="69" t="str">
        <f t="shared" si="7"/>
        <v>Maio</v>
      </c>
      <c r="D480" s="77" t="s">
        <v>508</v>
      </c>
      <c r="E480" s="72" t="s">
        <v>497</v>
      </c>
      <c r="F480" s="70" t="s">
        <v>534</v>
      </c>
      <c r="G480" s="71" t="s">
        <v>628</v>
      </c>
      <c r="H480" s="77" t="s">
        <v>1377</v>
      </c>
      <c r="I480" s="71" t="s">
        <v>595</v>
      </c>
      <c r="J480" s="393" t="s">
        <v>1378</v>
      </c>
      <c r="K480" s="78" t="s">
        <v>131</v>
      </c>
      <c r="L480" s="71" t="s">
        <v>1046</v>
      </c>
      <c r="M480" s="71" t="s">
        <v>730</v>
      </c>
      <c r="N480" s="80" t="s">
        <v>28</v>
      </c>
      <c r="O480" s="295">
        <v>-189.02</v>
      </c>
      <c r="P480" s="75"/>
      <c r="Z480" s="16"/>
      <c r="AA480" s="16"/>
      <c r="AB480" s="16"/>
    </row>
    <row r="481" spans="2:29" ht="21.75" customHeight="1">
      <c r="B481" s="497">
        <v>46157</v>
      </c>
      <c r="C481" s="377" t="str">
        <f t="shared" si="7"/>
        <v>Maio</v>
      </c>
      <c r="D481" s="378" t="s">
        <v>508</v>
      </c>
      <c r="E481" s="379" t="s">
        <v>497</v>
      </c>
      <c r="F481" s="380" t="s">
        <v>534</v>
      </c>
      <c r="G481" s="342" t="s">
        <v>1263</v>
      </c>
      <c r="H481" s="369" t="s">
        <v>1264</v>
      </c>
      <c r="I481" s="342" t="s">
        <v>595</v>
      </c>
      <c r="J481" s="342" t="s">
        <v>1364</v>
      </c>
      <c r="K481" s="343" t="s">
        <v>765</v>
      </c>
      <c r="L481" s="342" t="s">
        <v>1046</v>
      </c>
      <c r="M481" s="71" t="s">
        <v>730</v>
      </c>
      <c r="N481" s="381" t="s">
        <v>28</v>
      </c>
      <c r="O481" s="295">
        <v>-146.75</v>
      </c>
      <c r="P481" s="75"/>
      <c r="Z481" s="16"/>
      <c r="AA481" s="16"/>
      <c r="AB481" s="16"/>
    </row>
    <row r="482" spans="2:29" ht="21.75" customHeight="1">
      <c r="B482" s="68">
        <v>46157</v>
      </c>
      <c r="C482" s="69" t="str">
        <f t="shared" si="7"/>
        <v>Maio</v>
      </c>
      <c r="D482" s="77" t="s">
        <v>508</v>
      </c>
      <c r="E482" s="72" t="s">
        <v>497</v>
      </c>
      <c r="F482" s="70" t="s">
        <v>534</v>
      </c>
      <c r="G482" s="71" t="s">
        <v>998</v>
      </c>
      <c r="H482" s="77" t="s">
        <v>1001</v>
      </c>
      <c r="I482" s="71" t="s">
        <v>595</v>
      </c>
      <c r="J482" s="393" t="s">
        <v>1016</v>
      </c>
      <c r="K482" s="78" t="s">
        <v>289</v>
      </c>
      <c r="L482" s="71" t="s">
        <v>1046</v>
      </c>
      <c r="M482" s="71" t="s">
        <v>730</v>
      </c>
      <c r="N482" s="80" t="s">
        <v>28</v>
      </c>
      <c r="O482" s="295">
        <v>-361.37</v>
      </c>
      <c r="P482" s="75"/>
      <c r="Z482" s="16"/>
      <c r="AA482" s="16"/>
      <c r="AB482" s="16"/>
    </row>
    <row r="483" spans="2:29" ht="21.75" customHeight="1">
      <c r="B483" s="68">
        <v>46157</v>
      </c>
      <c r="C483" s="69" t="str">
        <f t="shared" si="7"/>
        <v>Maio</v>
      </c>
      <c r="D483" s="77" t="s">
        <v>298</v>
      </c>
      <c r="E483" s="72" t="s">
        <v>440</v>
      </c>
      <c r="F483" s="70" t="s">
        <v>136</v>
      </c>
      <c r="G483" s="71" t="s">
        <v>426</v>
      </c>
      <c r="H483" s="72" t="s">
        <v>252</v>
      </c>
      <c r="I483" s="71" t="s">
        <v>131</v>
      </c>
      <c r="J483" s="342" t="s">
        <v>1441</v>
      </c>
      <c r="K483" s="73" t="s">
        <v>280</v>
      </c>
      <c r="L483" s="71" t="s">
        <v>1046</v>
      </c>
      <c r="M483" s="71" t="s">
        <v>735</v>
      </c>
      <c r="N483" s="80" t="s">
        <v>28</v>
      </c>
      <c r="O483" s="295">
        <v>-413.38</v>
      </c>
      <c r="P483" s="75"/>
      <c r="Z483" s="16"/>
      <c r="AA483" s="16"/>
      <c r="AB483" s="16"/>
    </row>
    <row r="484" spans="2:29" ht="21.75" customHeight="1">
      <c r="B484" s="68">
        <v>46157</v>
      </c>
      <c r="C484" s="69" t="str">
        <f t="shared" si="7"/>
        <v>Maio</v>
      </c>
      <c r="D484" s="77" t="s">
        <v>300</v>
      </c>
      <c r="E484" s="72" t="s">
        <v>432</v>
      </c>
      <c r="F484" s="70" t="s">
        <v>136</v>
      </c>
      <c r="G484" s="71" t="s">
        <v>434</v>
      </c>
      <c r="H484" s="77" t="s">
        <v>154</v>
      </c>
      <c r="I484" s="71" t="s">
        <v>131</v>
      </c>
      <c r="J484" s="112" t="s">
        <v>1395</v>
      </c>
      <c r="K484" s="71" t="s">
        <v>131</v>
      </c>
      <c r="L484" s="71" t="s">
        <v>1046</v>
      </c>
      <c r="M484" s="71" t="s">
        <v>735</v>
      </c>
      <c r="N484" s="80" t="s">
        <v>28</v>
      </c>
      <c r="O484" s="295">
        <v>-235.52</v>
      </c>
      <c r="P484" s="75"/>
      <c r="Z484" s="16"/>
      <c r="AA484" s="16"/>
      <c r="AB484" s="16"/>
    </row>
    <row r="485" spans="2:29" ht="21.75" customHeight="1">
      <c r="B485" s="68">
        <v>46157</v>
      </c>
      <c r="C485" s="69" t="str">
        <f t="shared" si="7"/>
        <v>Maio</v>
      </c>
      <c r="D485" s="77" t="s">
        <v>300</v>
      </c>
      <c r="E485" s="72" t="s">
        <v>433</v>
      </c>
      <c r="F485" s="70" t="s">
        <v>136</v>
      </c>
      <c r="G485" s="71" t="s">
        <v>142</v>
      </c>
      <c r="H485" s="77" t="s">
        <v>155</v>
      </c>
      <c r="I485" s="71" t="s">
        <v>131</v>
      </c>
      <c r="J485" s="367" t="s">
        <v>209</v>
      </c>
      <c r="K485" s="78" t="s">
        <v>131</v>
      </c>
      <c r="L485" s="71" t="s">
        <v>137</v>
      </c>
      <c r="M485" s="71" t="s">
        <v>735</v>
      </c>
      <c r="N485" s="80" t="s">
        <v>28</v>
      </c>
      <c r="O485" s="295">
        <v>-1165.5899999999999</v>
      </c>
      <c r="P485" s="75"/>
      <c r="Z485" s="16"/>
      <c r="AA485" s="16"/>
      <c r="AB485" s="16"/>
    </row>
    <row r="486" spans="2:29" ht="21.75" customHeight="1">
      <c r="B486" s="68">
        <v>46157</v>
      </c>
      <c r="C486" s="69" t="str">
        <f t="shared" si="7"/>
        <v>Maio</v>
      </c>
      <c r="D486" s="77" t="s">
        <v>508</v>
      </c>
      <c r="E486" s="72" t="s">
        <v>497</v>
      </c>
      <c r="F486" s="70" t="s">
        <v>534</v>
      </c>
      <c r="G486" s="71" t="s">
        <v>998</v>
      </c>
      <c r="H486" s="77" t="s">
        <v>1005</v>
      </c>
      <c r="I486" s="71" t="s">
        <v>595</v>
      </c>
      <c r="J486" s="393" t="s">
        <v>999</v>
      </c>
      <c r="K486" s="78" t="s">
        <v>289</v>
      </c>
      <c r="L486" s="71" t="s">
        <v>1046</v>
      </c>
      <c r="M486" s="71" t="s">
        <v>730</v>
      </c>
      <c r="N486" s="80" t="s">
        <v>28</v>
      </c>
      <c r="O486" s="295">
        <v>-940</v>
      </c>
      <c r="P486" s="75"/>
      <c r="Z486" s="16"/>
      <c r="AA486" s="16"/>
      <c r="AB486" s="16"/>
    </row>
    <row r="487" spans="2:29" ht="21.75" customHeight="1">
      <c r="B487" s="68">
        <v>46157</v>
      </c>
      <c r="C487" s="69" t="str">
        <f t="shared" si="7"/>
        <v>Maio</v>
      </c>
      <c r="D487" s="77" t="s">
        <v>298</v>
      </c>
      <c r="E487" s="72" t="s">
        <v>440</v>
      </c>
      <c r="F487" s="70" t="s">
        <v>136</v>
      </c>
      <c r="G487" s="71" t="s">
        <v>1384</v>
      </c>
      <c r="H487" s="72" t="s">
        <v>1352</v>
      </c>
      <c r="I487" s="71" t="s">
        <v>131</v>
      </c>
      <c r="J487" s="78" t="s">
        <v>1353</v>
      </c>
      <c r="K487" s="73" t="s">
        <v>274</v>
      </c>
      <c r="L487" s="342" t="s">
        <v>134</v>
      </c>
      <c r="M487" s="71" t="s">
        <v>735</v>
      </c>
      <c r="N487" s="80" t="s">
        <v>28</v>
      </c>
      <c r="O487" s="74">
        <v>-6250</v>
      </c>
      <c r="P487" s="75"/>
      <c r="Z487" s="16"/>
      <c r="AA487" s="16"/>
      <c r="AB487" s="16"/>
    </row>
    <row r="488" spans="2:29" ht="21.75" customHeight="1">
      <c r="B488" s="68">
        <v>46157</v>
      </c>
      <c r="C488" s="69" t="str">
        <f t="shared" si="7"/>
        <v>Maio</v>
      </c>
      <c r="D488" s="77" t="s">
        <v>508</v>
      </c>
      <c r="E488" s="72" t="s">
        <v>497</v>
      </c>
      <c r="F488" s="70" t="s">
        <v>534</v>
      </c>
      <c r="G488" s="71" t="s">
        <v>1305</v>
      </c>
      <c r="H488" s="369" t="s">
        <v>1360</v>
      </c>
      <c r="I488" s="71" t="s">
        <v>595</v>
      </c>
      <c r="J488" s="389" t="s">
        <v>1236</v>
      </c>
      <c r="K488" s="73" t="s">
        <v>1238</v>
      </c>
      <c r="L488" s="71" t="s">
        <v>1046</v>
      </c>
      <c r="M488" s="71" t="s">
        <v>730</v>
      </c>
      <c r="N488" s="80" t="s">
        <v>28</v>
      </c>
      <c r="O488" s="295">
        <v>-2288.37</v>
      </c>
      <c r="P488" s="75"/>
      <c r="Z488" s="16"/>
      <c r="AA488" s="16"/>
      <c r="AB488" s="16"/>
    </row>
    <row r="489" spans="2:29" ht="21.75" customHeight="1">
      <c r="B489" s="68">
        <v>46157</v>
      </c>
      <c r="C489" s="69" t="str">
        <f t="shared" si="7"/>
        <v>Maio</v>
      </c>
      <c r="D489" s="77" t="s">
        <v>508</v>
      </c>
      <c r="E489" s="72" t="s">
        <v>497</v>
      </c>
      <c r="F489" s="70" t="s">
        <v>534</v>
      </c>
      <c r="G489" s="71" t="s">
        <v>702</v>
      </c>
      <c r="H489" s="77" t="s">
        <v>703</v>
      </c>
      <c r="I489" s="71" t="s">
        <v>595</v>
      </c>
      <c r="J489" s="366" t="s">
        <v>721</v>
      </c>
      <c r="K489" s="71" t="s">
        <v>794</v>
      </c>
      <c r="L489" s="71" t="s">
        <v>137</v>
      </c>
      <c r="M489" s="71" t="s">
        <v>730</v>
      </c>
      <c r="N489" s="80" t="s">
        <v>151</v>
      </c>
      <c r="O489" s="295">
        <v>-2850</v>
      </c>
      <c r="P489" s="75"/>
      <c r="Z489" s="16"/>
      <c r="AA489" s="16"/>
      <c r="AB489" s="16"/>
    </row>
    <row r="490" spans="2:29" ht="21.75" customHeight="1">
      <c r="B490" s="68">
        <v>46157</v>
      </c>
      <c r="C490" s="69" t="str">
        <f t="shared" si="7"/>
        <v>Maio</v>
      </c>
      <c r="D490" s="77" t="s">
        <v>508</v>
      </c>
      <c r="E490" s="72" t="s">
        <v>497</v>
      </c>
      <c r="F490" s="70" t="s">
        <v>534</v>
      </c>
      <c r="G490" s="71" t="s">
        <v>1295</v>
      </c>
      <c r="H490" s="77" t="s">
        <v>1296</v>
      </c>
      <c r="I490" s="71" t="s">
        <v>595</v>
      </c>
      <c r="J490" s="393" t="s">
        <v>1297</v>
      </c>
      <c r="K490" s="78" t="s">
        <v>206</v>
      </c>
      <c r="L490" s="71" t="s">
        <v>1046</v>
      </c>
      <c r="M490" s="71" t="s">
        <v>730</v>
      </c>
      <c r="N490" s="80" t="s">
        <v>28</v>
      </c>
      <c r="O490" s="295">
        <v>-481.5</v>
      </c>
      <c r="P490" s="75"/>
      <c r="Z490" s="16"/>
      <c r="AA490" s="16"/>
      <c r="AB490" s="16"/>
    </row>
    <row r="491" spans="2:29" ht="21.75" customHeight="1">
      <c r="B491" s="68">
        <v>46157</v>
      </c>
      <c r="C491" s="69" t="str">
        <f t="shared" si="7"/>
        <v>Maio</v>
      </c>
      <c r="D491" s="77" t="s">
        <v>302</v>
      </c>
      <c r="E491" s="72" t="s">
        <v>1408</v>
      </c>
      <c r="F491" s="70" t="s">
        <v>136</v>
      </c>
      <c r="G491" s="71" t="s">
        <v>480</v>
      </c>
      <c r="H491" s="77" t="s">
        <v>1391</v>
      </c>
      <c r="I491" s="71" t="s">
        <v>131</v>
      </c>
      <c r="J491" s="521" t="s">
        <v>786</v>
      </c>
      <c r="K491" s="73" t="s">
        <v>280</v>
      </c>
      <c r="L491" s="71" t="s">
        <v>1046</v>
      </c>
      <c r="M491" s="71" t="s">
        <v>730</v>
      </c>
      <c r="N491" s="381" t="s">
        <v>28</v>
      </c>
      <c r="O491" s="74">
        <v>-12.5</v>
      </c>
      <c r="P491" s="75"/>
      <c r="Z491" s="16"/>
      <c r="AA491" s="16"/>
      <c r="AB491" s="16"/>
    </row>
    <row r="492" spans="2:29" ht="21.75" customHeight="1">
      <c r="B492" s="68">
        <v>46157</v>
      </c>
      <c r="C492" s="69" t="str">
        <f t="shared" si="7"/>
        <v>Maio</v>
      </c>
      <c r="D492" s="77" t="s">
        <v>508</v>
      </c>
      <c r="E492" s="72" t="s">
        <v>497</v>
      </c>
      <c r="F492" s="70" t="s">
        <v>534</v>
      </c>
      <c r="G492" s="71" t="s">
        <v>1417</v>
      </c>
      <c r="H492" s="369" t="s">
        <v>1418</v>
      </c>
      <c r="I492" s="71" t="s">
        <v>595</v>
      </c>
      <c r="J492" s="528" t="s">
        <v>1419</v>
      </c>
      <c r="K492" s="73" t="s">
        <v>272</v>
      </c>
      <c r="L492" s="71" t="s">
        <v>1046</v>
      </c>
      <c r="M492" s="71" t="s">
        <v>730</v>
      </c>
      <c r="N492" s="80" t="s">
        <v>28</v>
      </c>
      <c r="O492" s="295">
        <v>-1050.5</v>
      </c>
      <c r="P492" s="75"/>
      <c r="Z492" s="16"/>
      <c r="AA492" s="16"/>
      <c r="AB492" s="16"/>
    </row>
    <row r="493" spans="2:29" ht="21.75" customHeight="1">
      <c r="B493" s="68">
        <v>46157</v>
      </c>
      <c r="C493" s="69" t="str">
        <f t="shared" si="7"/>
        <v>Maio</v>
      </c>
      <c r="D493" s="77" t="s">
        <v>508</v>
      </c>
      <c r="E493" s="72" t="s">
        <v>497</v>
      </c>
      <c r="F493" s="70" t="s">
        <v>534</v>
      </c>
      <c r="G493" s="71" t="s">
        <v>1420</v>
      </c>
      <c r="H493" s="369" t="s">
        <v>1421</v>
      </c>
      <c r="I493" s="71" t="s">
        <v>595</v>
      </c>
      <c r="J493" s="528" t="s">
        <v>1424</v>
      </c>
      <c r="K493" s="73" t="s">
        <v>272</v>
      </c>
      <c r="L493" s="71" t="s">
        <v>1046</v>
      </c>
      <c r="M493" s="71" t="s">
        <v>730</v>
      </c>
      <c r="N493" s="80" t="s">
        <v>28</v>
      </c>
      <c r="O493" s="295">
        <v>-601</v>
      </c>
      <c r="P493" s="75"/>
      <c r="Z493" s="16"/>
      <c r="AA493" s="16"/>
      <c r="AB493" s="16"/>
    </row>
    <row r="494" spans="2:29" ht="21.75" customHeight="1">
      <c r="B494" s="68">
        <v>46157</v>
      </c>
      <c r="C494" s="69" t="str">
        <f t="shared" si="7"/>
        <v>Maio</v>
      </c>
      <c r="D494" s="77" t="s">
        <v>508</v>
      </c>
      <c r="E494" s="72" t="s">
        <v>497</v>
      </c>
      <c r="F494" s="70" t="s">
        <v>534</v>
      </c>
      <c r="G494" s="71" t="s">
        <v>1420</v>
      </c>
      <c r="H494" s="369" t="s">
        <v>1439</v>
      </c>
      <c r="I494" s="71" t="s">
        <v>595</v>
      </c>
      <c r="J494" s="528" t="s">
        <v>1438</v>
      </c>
      <c r="K494" s="73" t="s">
        <v>131</v>
      </c>
      <c r="L494" s="71" t="s">
        <v>1046</v>
      </c>
      <c r="M494" s="71" t="s">
        <v>730</v>
      </c>
      <c r="N494" s="80" t="s">
        <v>28</v>
      </c>
      <c r="O494" s="295">
        <v>-304</v>
      </c>
      <c r="P494" s="75"/>
      <c r="Z494" s="16"/>
      <c r="AA494" s="16"/>
      <c r="AB494" s="16"/>
    </row>
    <row r="495" spans="2:29" ht="21.75" customHeight="1">
      <c r="B495" s="376">
        <v>46157</v>
      </c>
      <c r="C495" s="377" t="str">
        <f t="shared" si="7"/>
        <v>Maio</v>
      </c>
      <c r="D495" s="378" t="s">
        <v>386</v>
      </c>
      <c r="E495" s="379" t="s">
        <v>468</v>
      </c>
      <c r="F495" s="380" t="s">
        <v>131</v>
      </c>
      <c r="G495" s="342" t="s">
        <v>480</v>
      </c>
      <c r="H495" s="378" t="s">
        <v>1008</v>
      </c>
      <c r="I495" s="342" t="s">
        <v>131</v>
      </c>
      <c r="J495" s="112" t="s">
        <v>131</v>
      </c>
      <c r="K495" s="343" t="s">
        <v>131</v>
      </c>
      <c r="L495" s="342" t="s">
        <v>131</v>
      </c>
      <c r="M495" s="342" t="s">
        <v>730</v>
      </c>
      <c r="N495" s="381" t="s">
        <v>521</v>
      </c>
      <c r="O495" s="295">
        <v>4580.66</v>
      </c>
      <c r="P495" s="75"/>
      <c r="Z495" s="16"/>
      <c r="AA495" s="16"/>
      <c r="AB495" s="16"/>
    </row>
    <row r="496" spans="2:29" s="465" customFormat="1" ht="21.75" customHeight="1">
      <c r="B496" s="376">
        <v>46158</v>
      </c>
      <c r="C496" s="377" t="str">
        <f t="shared" si="7"/>
        <v>Maio</v>
      </c>
      <c r="D496" s="378" t="s">
        <v>508</v>
      </c>
      <c r="E496" s="379" t="s">
        <v>497</v>
      </c>
      <c r="F496" s="380" t="s">
        <v>534</v>
      </c>
      <c r="G496" s="19" t="s">
        <v>853</v>
      </c>
      <c r="H496" s="369" t="s">
        <v>854</v>
      </c>
      <c r="I496" s="342" t="s">
        <v>595</v>
      </c>
      <c r="J496" s="112" t="s">
        <v>1399</v>
      </c>
      <c r="K496" s="112" t="s">
        <v>131</v>
      </c>
      <c r="L496" s="342" t="s">
        <v>137</v>
      </c>
      <c r="M496" s="71" t="s">
        <v>730</v>
      </c>
      <c r="N496" s="381" t="s">
        <v>151</v>
      </c>
      <c r="O496" s="295">
        <v>-1023.07</v>
      </c>
      <c r="P496" s="296"/>
      <c r="Y496" s="45"/>
      <c r="AC496" s="45"/>
    </row>
    <row r="497" spans="2:29" ht="21.75" customHeight="1">
      <c r="B497" s="68">
        <v>46158</v>
      </c>
      <c r="C497" s="69" t="str">
        <f t="shared" si="7"/>
        <v>Maio</v>
      </c>
      <c r="D497" s="77" t="s">
        <v>508</v>
      </c>
      <c r="E497" s="72" t="s">
        <v>497</v>
      </c>
      <c r="F497" s="70" t="s">
        <v>534</v>
      </c>
      <c r="G497" s="19" t="s">
        <v>184</v>
      </c>
      <c r="H497" s="369" t="s">
        <v>1235</v>
      </c>
      <c r="I497" s="71" t="s">
        <v>595</v>
      </c>
      <c r="J497" s="389" t="s">
        <v>1397</v>
      </c>
      <c r="K497" s="19" t="s">
        <v>131</v>
      </c>
      <c r="L497" s="71" t="s">
        <v>137</v>
      </c>
      <c r="M497" s="71" t="s">
        <v>730</v>
      </c>
      <c r="N497" s="381" t="s">
        <v>151</v>
      </c>
      <c r="O497" s="295">
        <v>-3557.59</v>
      </c>
      <c r="P497" s="75"/>
      <c r="Z497" s="16"/>
      <c r="AA497" s="16"/>
      <c r="AB497" s="16"/>
    </row>
    <row r="498" spans="2:29" ht="21.75" customHeight="1">
      <c r="B498" s="376">
        <v>46160</v>
      </c>
      <c r="C498" s="377" t="str">
        <f t="shared" si="7"/>
        <v>Maio</v>
      </c>
      <c r="D498" s="378" t="s">
        <v>386</v>
      </c>
      <c r="E498" s="379" t="s">
        <v>468</v>
      </c>
      <c r="F498" s="380" t="s">
        <v>131</v>
      </c>
      <c r="G498" s="342" t="s">
        <v>480</v>
      </c>
      <c r="H498" s="378" t="s">
        <v>1008</v>
      </c>
      <c r="I498" s="342" t="s">
        <v>131</v>
      </c>
      <c r="J498" s="112" t="s">
        <v>131</v>
      </c>
      <c r="K498" s="343" t="s">
        <v>131</v>
      </c>
      <c r="L498" s="342" t="s">
        <v>131</v>
      </c>
      <c r="M498" s="342" t="s">
        <v>730</v>
      </c>
      <c r="N498" s="381" t="s">
        <v>521</v>
      </c>
      <c r="O498" s="295">
        <v>2511.41</v>
      </c>
      <c r="P498" s="75"/>
      <c r="Z498" s="16"/>
      <c r="AA498" s="16"/>
      <c r="AB498" s="16"/>
    </row>
    <row r="499" spans="2:29" ht="21.75" customHeight="1">
      <c r="B499" s="68">
        <v>46161</v>
      </c>
      <c r="C499" s="69" t="str">
        <f t="shared" si="7"/>
        <v>Maio</v>
      </c>
      <c r="D499" s="77" t="s">
        <v>508</v>
      </c>
      <c r="E499" s="72" t="s">
        <v>497</v>
      </c>
      <c r="F499" s="70" t="s">
        <v>534</v>
      </c>
      <c r="G499" s="19" t="s">
        <v>1029</v>
      </c>
      <c r="H499" s="369" t="s">
        <v>1030</v>
      </c>
      <c r="I499" s="71" t="s">
        <v>595</v>
      </c>
      <c r="J499" s="343" t="s">
        <v>1032</v>
      </c>
      <c r="K499" s="112" t="s">
        <v>288</v>
      </c>
      <c r="L499" s="71" t="s">
        <v>137</v>
      </c>
      <c r="M499" s="71" t="s">
        <v>730</v>
      </c>
      <c r="N499" s="80" t="s">
        <v>151</v>
      </c>
      <c r="O499" s="295">
        <v>-2511.41</v>
      </c>
      <c r="P499" s="75"/>
      <c r="Z499" s="16"/>
      <c r="AA499" s="16"/>
      <c r="AB499" s="16"/>
    </row>
    <row r="500" spans="2:29" ht="21.75" customHeight="1">
      <c r="B500" s="376">
        <v>46161</v>
      </c>
      <c r="C500" s="377" t="str">
        <f t="shared" si="7"/>
        <v>Maio</v>
      </c>
      <c r="D500" s="378" t="s">
        <v>386</v>
      </c>
      <c r="E500" s="379" t="s">
        <v>468</v>
      </c>
      <c r="F500" s="380" t="s">
        <v>131</v>
      </c>
      <c r="G500" s="342" t="s">
        <v>480</v>
      </c>
      <c r="H500" s="378" t="s">
        <v>1008</v>
      </c>
      <c r="I500" s="342" t="s">
        <v>131</v>
      </c>
      <c r="J500" s="112" t="s">
        <v>131</v>
      </c>
      <c r="K500" s="343" t="s">
        <v>131</v>
      </c>
      <c r="L500" s="342" t="s">
        <v>131</v>
      </c>
      <c r="M500" s="342" t="s">
        <v>730</v>
      </c>
      <c r="N500" s="381" t="s">
        <v>521</v>
      </c>
      <c r="O500" s="295">
        <v>1299.3900000000001</v>
      </c>
      <c r="P500" s="75"/>
      <c r="Z500" s="16"/>
      <c r="AA500" s="16"/>
      <c r="AB500" s="16"/>
    </row>
    <row r="501" spans="2:29" ht="21.75" customHeight="1">
      <c r="B501" s="68">
        <v>46162</v>
      </c>
      <c r="C501" s="69" t="str">
        <f t="shared" si="7"/>
        <v>Maio</v>
      </c>
      <c r="D501" s="77" t="s">
        <v>300</v>
      </c>
      <c r="E501" s="72" t="s">
        <v>478</v>
      </c>
      <c r="F501" s="70" t="s">
        <v>136</v>
      </c>
      <c r="G501" s="19" t="s">
        <v>136</v>
      </c>
      <c r="H501" s="369" t="s">
        <v>136</v>
      </c>
      <c r="I501" s="71" t="s">
        <v>131</v>
      </c>
      <c r="J501" s="389" t="s">
        <v>792</v>
      </c>
      <c r="K501" s="19" t="s">
        <v>131</v>
      </c>
      <c r="L501" s="71" t="s">
        <v>134</v>
      </c>
      <c r="M501" s="71" t="s">
        <v>735</v>
      </c>
      <c r="N501" s="80" t="s">
        <v>207</v>
      </c>
      <c r="O501" s="295">
        <f>-1*(SUMIFS(Aramburu_Mensal!$O$6:$O$984,Aramburu_Mensal!$C$6:$C$984,"Maio",Aramburu_Mensal!$F$6:$F$984,"Despesas Variáveis",Aramburu_Mensal!$N$6:$N$984,"A pagar")+SUMIFS(Aramburu_Mensal!$O$6:$O$984,Aramburu_Mensal!$C$6:$C$984,"Maio",Aramburu_Mensal!$F$6:$F$984,"Despesas Variáveis",Aramburu_Mensal!$N$6:$N$984,"Pago")+SUMIFS(Aramburu_Mensal!$O$6:$O$984,Aramburu_Mensal!$C$6:$C$984,"Maio",Aramburu_Mensal!$F$6:$F$984,"Despesas Variáveis",Aramburu_Mensal!$N$6:$N$984,"Provisionado"))-20000</f>
        <v>-3668.4999999999982</v>
      </c>
      <c r="P501" s="75"/>
      <c r="Z501" s="16"/>
      <c r="AA501" s="16"/>
      <c r="AB501" s="16"/>
    </row>
    <row r="502" spans="2:29" ht="21.75" customHeight="1">
      <c r="B502" s="68">
        <v>46162</v>
      </c>
      <c r="C502" s="69" t="str">
        <f t="shared" si="7"/>
        <v>Maio</v>
      </c>
      <c r="D502" s="77" t="s">
        <v>508</v>
      </c>
      <c r="E502" s="72" t="s">
        <v>497</v>
      </c>
      <c r="F502" s="70" t="s">
        <v>534</v>
      </c>
      <c r="G502" s="71" t="s">
        <v>163</v>
      </c>
      <c r="H502" s="77" t="s">
        <v>1288</v>
      </c>
      <c r="I502" s="71" t="s">
        <v>595</v>
      </c>
      <c r="J502" s="366" t="s">
        <v>1393</v>
      </c>
      <c r="K502" s="71" t="s">
        <v>131</v>
      </c>
      <c r="L502" s="71" t="s">
        <v>150</v>
      </c>
      <c r="M502" s="71" t="s">
        <v>730</v>
      </c>
      <c r="N502" s="80" t="s">
        <v>28</v>
      </c>
      <c r="O502" s="390">
        <v>-1200</v>
      </c>
      <c r="P502" s="75"/>
      <c r="Z502" s="16"/>
      <c r="AA502" s="16"/>
      <c r="AB502" s="16"/>
    </row>
    <row r="503" spans="2:29" ht="21.75" customHeight="1">
      <c r="B503" s="68">
        <v>46162</v>
      </c>
      <c r="C503" s="69" t="str">
        <f t="shared" si="7"/>
        <v>Maio</v>
      </c>
      <c r="D503" s="77" t="s">
        <v>299</v>
      </c>
      <c r="E503" s="72" t="s">
        <v>764</v>
      </c>
      <c r="F503" s="70" t="s">
        <v>138</v>
      </c>
      <c r="G503" s="19" t="s">
        <v>139</v>
      </c>
      <c r="H503" s="369" t="s">
        <v>49</v>
      </c>
      <c r="I503" s="71" t="s">
        <v>131</v>
      </c>
      <c r="J503" s="343" t="s">
        <v>786</v>
      </c>
      <c r="K503" s="19" t="s">
        <v>131</v>
      </c>
      <c r="L503" s="71" t="s">
        <v>150</v>
      </c>
      <c r="M503" s="71" t="s">
        <v>735</v>
      </c>
      <c r="N503" s="80" t="s">
        <v>151</v>
      </c>
      <c r="O503" s="295">
        <v>-400</v>
      </c>
      <c r="P503" s="75"/>
      <c r="Z503" s="16"/>
      <c r="AA503" s="16"/>
      <c r="AB503" s="16"/>
    </row>
    <row r="504" spans="2:29" ht="21.75" customHeight="1">
      <c r="B504" s="68">
        <v>46162</v>
      </c>
      <c r="C504" s="69" t="str">
        <f t="shared" si="7"/>
        <v>Maio</v>
      </c>
      <c r="D504" s="77" t="s">
        <v>299</v>
      </c>
      <c r="E504" s="72" t="s">
        <v>764</v>
      </c>
      <c r="F504" s="70" t="s">
        <v>138</v>
      </c>
      <c r="G504" s="71" t="s">
        <v>163</v>
      </c>
      <c r="H504" s="77" t="s">
        <v>50</v>
      </c>
      <c r="I504" s="71" t="s">
        <v>131</v>
      </c>
      <c r="J504" s="343" t="s">
        <v>786</v>
      </c>
      <c r="K504" s="71" t="s">
        <v>131</v>
      </c>
      <c r="L504" s="71" t="s">
        <v>150</v>
      </c>
      <c r="M504" s="71" t="s">
        <v>735</v>
      </c>
      <c r="N504" s="80" t="s">
        <v>28</v>
      </c>
      <c r="O504" s="295">
        <v>-1846.36</v>
      </c>
      <c r="P504" s="75"/>
      <c r="Z504" s="16"/>
      <c r="AA504" s="16"/>
      <c r="AB504" s="16"/>
    </row>
    <row r="505" spans="2:29" ht="21.75" customHeight="1">
      <c r="B505" s="68">
        <v>46162</v>
      </c>
      <c r="C505" s="69" t="str">
        <f t="shared" si="7"/>
        <v>Maio</v>
      </c>
      <c r="D505" s="77" t="s">
        <v>508</v>
      </c>
      <c r="E505" s="72" t="s">
        <v>498</v>
      </c>
      <c r="F505" s="70" t="s">
        <v>136</v>
      </c>
      <c r="G505" s="19" t="s">
        <v>184</v>
      </c>
      <c r="H505" s="369" t="s">
        <v>1401</v>
      </c>
      <c r="I505" s="71" t="s">
        <v>131</v>
      </c>
      <c r="J505" s="389" t="s">
        <v>1400</v>
      </c>
      <c r="K505" s="19" t="s">
        <v>131</v>
      </c>
      <c r="L505" s="71" t="s">
        <v>137</v>
      </c>
      <c r="M505" s="71" t="s">
        <v>735</v>
      </c>
      <c r="N505" s="381" t="s">
        <v>151</v>
      </c>
      <c r="O505" s="295">
        <v>-77</v>
      </c>
      <c r="P505" s="75"/>
      <c r="Z505" s="16"/>
      <c r="AA505" s="16"/>
      <c r="AB505" s="16"/>
    </row>
    <row r="506" spans="2:29" ht="21.75" customHeight="1">
      <c r="B506" s="68">
        <v>46162</v>
      </c>
      <c r="C506" s="69" t="str">
        <f t="shared" si="7"/>
        <v>Maio</v>
      </c>
      <c r="D506" s="77" t="s">
        <v>508</v>
      </c>
      <c r="E506" s="72" t="s">
        <v>497</v>
      </c>
      <c r="F506" s="70" t="s">
        <v>534</v>
      </c>
      <c r="G506" s="71" t="s">
        <v>163</v>
      </c>
      <c r="H506" s="77" t="s">
        <v>1288</v>
      </c>
      <c r="I506" s="71" t="s">
        <v>595</v>
      </c>
      <c r="J506" s="366" t="s">
        <v>724</v>
      </c>
      <c r="K506" s="71" t="s">
        <v>131</v>
      </c>
      <c r="L506" s="71" t="s">
        <v>150</v>
      </c>
      <c r="M506" s="71" t="s">
        <v>730</v>
      </c>
      <c r="N506" s="80" t="s">
        <v>28</v>
      </c>
      <c r="O506" s="390">
        <v>-1200</v>
      </c>
      <c r="P506" s="75"/>
      <c r="Z506" s="16"/>
      <c r="AA506" s="16"/>
      <c r="AB506" s="16"/>
    </row>
    <row r="507" spans="2:29" ht="21.75" customHeight="1">
      <c r="B507" s="68">
        <v>46162</v>
      </c>
      <c r="C507" s="69" t="str">
        <f t="shared" si="7"/>
        <v>Maio</v>
      </c>
      <c r="D507" s="77" t="s">
        <v>508</v>
      </c>
      <c r="E507" s="72" t="s">
        <v>497</v>
      </c>
      <c r="F507" s="70" t="s">
        <v>534</v>
      </c>
      <c r="G507" s="71" t="s">
        <v>163</v>
      </c>
      <c r="H507" s="369" t="s">
        <v>1287</v>
      </c>
      <c r="I507" s="71" t="s">
        <v>595</v>
      </c>
      <c r="J507" s="366" t="s">
        <v>1354</v>
      </c>
      <c r="K507" s="71" t="s">
        <v>131</v>
      </c>
      <c r="L507" s="71" t="s">
        <v>150</v>
      </c>
      <c r="M507" s="71" t="s">
        <v>730</v>
      </c>
      <c r="N507" s="80" t="s">
        <v>28</v>
      </c>
      <c r="O507" s="390">
        <v>-2618.88</v>
      </c>
      <c r="P507" s="75"/>
      <c r="Z507" s="16"/>
      <c r="AA507" s="16"/>
      <c r="AB507" s="16"/>
    </row>
    <row r="508" spans="2:29" ht="21.75" customHeight="1">
      <c r="B508" s="68">
        <v>46162</v>
      </c>
      <c r="C508" s="69" t="str">
        <f t="shared" si="7"/>
        <v>Maio</v>
      </c>
      <c r="D508" s="77" t="s">
        <v>508</v>
      </c>
      <c r="E508" s="72" t="s">
        <v>497</v>
      </c>
      <c r="F508" s="70" t="s">
        <v>534</v>
      </c>
      <c r="G508" s="71" t="s">
        <v>163</v>
      </c>
      <c r="H508" s="369" t="s">
        <v>1287</v>
      </c>
      <c r="I508" s="71" t="s">
        <v>595</v>
      </c>
      <c r="J508" s="366" t="s">
        <v>1435</v>
      </c>
      <c r="K508" s="71" t="s">
        <v>131</v>
      </c>
      <c r="L508" s="71" t="s">
        <v>150</v>
      </c>
      <c r="M508" s="71" t="s">
        <v>730</v>
      </c>
      <c r="N508" s="80" t="s">
        <v>28</v>
      </c>
      <c r="O508" s="390">
        <v>-2345.56</v>
      </c>
      <c r="P508" s="75"/>
      <c r="Z508" s="16"/>
      <c r="AA508" s="16"/>
      <c r="AB508" s="16"/>
    </row>
    <row r="509" spans="2:29" ht="21.75" customHeight="1">
      <c r="B509" s="68">
        <v>46162</v>
      </c>
      <c r="C509" s="69" t="str">
        <f t="shared" si="7"/>
        <v>Maio</v>
      </c>
      <c r="D509" s="77" t="s">
        <v>508</v>
      </c>
      <c r="E509" s="72" t="s">
        <v>497</v>
      </c>
      <c r="F509" s="70" t="s">
        <v>534</v>
      </c>
      <c r="G509" s="19" t="s">
        <v>184</v>
      </c>
      <c r="H509" s="369" t="s">
        <v>1403</v>
      </c>
      <c r="I509" s="71" t="s">
        <v>595</v>
      </c>
      <c r="J509" s="389" t="s">
        <v>1402</v>
      </c>
      <c r="K509" s="19" t="s">
        <v>131</v>
      </c>
      <c r="L509" s="71" t="s">
        <v>137</v>
      </c>
      <c r="M509" s="71" t="s">
        <v>730</v>
      </c>
      <c r="N509" s="381" t="s">
        <v>151</v>
      </c>
      <c r="O509" s="295">
        <v>-222.5</v>
      </c>
      <c r="P509" s="75"/>
      <c r="Z509" s="16"/>
      <c r="AA509" s="16"/>
      <c r="AB509" s="16"/>
    </row>
    <row r="510" spans="2:29" s="465" customFormat="1" ht="21.75" customHeight="1">
      <c r="B510" s="68">
        <v>46162</v>
      </c>
      <c r="C510" s="69" t="str">
        <f t="shared" si="7"/>
        <v>Maio</v>
      </c>
      <c r="D510" s="77" t="s">
        <v>298</v>
      </c>
      <c r="E510" s="72" t="s">
        <v>439</v>
      </c>
      <c r="F510" s="70" t="s">
        <v>637</v>
      </c>
      <c r="G510" s="71" t="s">
        <v>132</v>
      </c>
      <c r="H510" s="77" t="s">
        <v>270</v>
      </c>
      <c r="I510" s="71" t="s">
        <v>131</v>
      </c>
      <c r="J510" s="342" t="s">
        <v>131</v>
      </c>
      <c r="K510" s="71" t="s">
        <v>131</v>
      </c>
      <c r="L510" s="71" t="s">
        <v>134</v>
      </c>
      <c r="M510" s="71" t="s">
        <v>735</v>
      </c>
      <c r="N510" s="80" t="s">
        <v>28</v>
      </c>
      <c r="O510" s="295">
        <v>-200</v>
      </c>
      <c r="P510" s="296"/>
      <c r="Y510" s="45"/>
      <c r="AC510" s="45"/>
    </row>
    <row r="511" spans="2:29" ht="21.75" customHeight="1">
      <c r="B511" s="68">
        <v>46163</v>
      </c>
      <c r="C511" s="69" t="str">
        <f t="shared" si="7"/>
        <v>Maio</v>
      </c>
      <c r="D511" s="77" t="s">
        <v>508</v>
      </c>
      <c r="E511" s="72" t="s">
        <v>497</v>
      </c>
      <c r="F511" s="70" t="s">
        <v>534</v>
      </c>
      <c r="G511" s="71" t="s">
        <v>702</v>
      </c>
      <c r="H511" s="77" t="s">
        <v>703</v>
      </c>
      <c r="I511" s="71" t="s">
        <v>595</v>
      </c>
      <c r="J511" s="366" t="s">
        <v>1411</v>
      </c>
      <c r="K511" s="71" t="s">
        <v>131</v>
      </c>
      <c r="L511" s="71" t="s">
        <v>137</v>
      </c>
      <c r="M511" s="71" t="s">
        <v>730</v>
      </c>
      <c r="N511" s="80" t="s">
        <v>151</v>
      </c>
      <c r="O511" s="295">
        <v>-710.89</v>
      </c>
      <c r="P511" s="75"/>
      <c r="Z511" s="16"/>
      <c r="AA511" s="16"/>
      <c r="AB511" s="16"/>
    </row>
    <row r="512" spans="2:29" ht="21.75" customHeight="1">
      <c r="B512" s="376">
        <v>46164</v>
      </c>
      <c r="C512" s="377" t="str">
        <f t="shared" si="7"/>
        <v>Maio</v>
      </c>
      <c r="D512" s="378" t="s">
        <v>386</v>
      </c>
      <c r="E512" s="379" t="s">
        <v>468</v>
      </c>
      <c r="F512" s="380" t="s">
        <v>131</v>
      </c>
      <c r="G512" s="342" t="s">
        <v>480</v>
      </c>
      <c r="H512" s="378" t="s">
        <v>1008</v>
      </c>
      <c r="I512" s="342" t="s">
        <v>131</v>
      </c>
      <c r="J512" s="112" t="s">
        <v>131</v>
      </c>
      <c r="K512" s="343" t="s">
        <v>131</v>
      </c>
      <c r="L512" s="342" t="s">
        <v>131</v>
      </c>
      <c r="M512" s="342" t="s">
        <v>730</v>
      </c>
      <c r="N512" s="381" t="s">
        <v>521</v>
      </c>
      <c r="O512" s="295">
        <v>1911.52</v>
      </c>
      <c r="P512" s="75"/>
      <c r="Z512" s="16"/>
      <c r="AA512" s="16"/>
      <c r="AB512" s="16"/>
    </row>
    <row r="513" spans="2:29" ht="21.75" customHeight="1">
      <c r="B513" s="68">
        <v>46164</v>
      </c>
      <c r="C513" s="69" t="str">
        <f t="shared" si="7"/>
        <v>Maio</v>
      </c>
      <c r="D513" s="77" t="s">
        <v>508</v>
      </c>
      <c r="E513" s="72" t="s">
        <v>497</v>
      </c>
      <c r="F513" s="70" t="s">
        <v>534</v>
      </c>
      <c r="G513" s="19" t="s">
        <v>184</v>
      </c>
      <c r="H513" s="369" t="s">
        <v>1404</v>
      </c>
      <c r="I513" s="71" t="s">
        <v>595</v>
      </c>
      <c r="J513" s="389" t="s">
        <v>1405</v>
      </c>
      <c r="K513" s="19" t="s">
        <v>131</v>
      </c>
      <c r="L513" s="71" t="s">
        <v>137</v>
      </c>
      <c r="M513" s="71" t="s">
        <v>730</v>
      </c>
      <c r="N513" s="80" t="s">
        <v>151</v>
      </c>
      <c r="O513" s="295">
        <v>-366</v>
      </c>
      <c r="P513" s="75"/>
      <c r="Z513" s="16"/>
      <c r="AA513" s="16"/>
      <c r="AB513" s="16"/>
    </row>
    <row r="514" spans="2:29" ht="21.75" customHeight="1">
      <c r="B514" s="376">
        <v>46164</v>
      </c>
      <c r="C514" s="377" t="str">
        <f t="shared" si="7"/>
        <v>Maio</v>
      </c>
      <c r="D514" s="378" t="s">
        <v>386</v>
      </c>
      <c r="E514" s="379" t="s">
        <v>468</v>
      </c>
      <c r="F514" s="380" t="s">
        <v>131</v>
      </c>
      <c r="G514" s="342" t="s">
        <v>480</v>
      </c>
      <c r="H514" s="378" t="s">
        <v>1008</v>
      </c>
      <c r="I514" s="342" t="s">
        <v>131</v>
      </c>
      <c r="J514" s="112" t="s">
        <v>131</v>
      </c>
      <c r="K514" s="343" t="s">
        <v>131</v>
      </c>
      <c r="L514" s="342" t="s">
        <v>131</v>
      </c>
      <c r="M514" s="342" t="s">
        <v>730</v>
      </c>
      <c r="N514" s="381" t="s">
        <v>521</v>
      </c>
      <c r="O514" s="295">
        <f>12200</f>
        <v>12200</v>
      </c>
      <c r="P514" s="75"/>
      <c r="Z514" s="16"/>
      <c r="AA514" s="16"/>
      <c r="AB514" s="16"/>
    </row>
    <row r="515" spans="2:29" ht="21.75" customHeight="1">
      <c r="B515" s="68">
        <v>46164</v>
      </c>
      <c r="C515" s="69" t="str">
        <f t="shared" si="7"/>
        <v>Maio</v>
      </c>
      <c r="D515" s="77" t="s">
        <v>509</v>
      </c>
      <c r="E515" s="72" t="s">
        <v>502</v>
      </c>
      <c r="F515" s="70" t="s">
        <v>138</v>
      </c>
      <c r="G515" s="71" t="s">
        <v>141</v>
      </c>
      <c r="H515" s="77" t="s">
        <v>187</v>
      </c>
      <c r="I515" s="71" t="s">
        <v>131</v>
      </c>
      <c r="J515" s="343" t="s">
        <v>792</v>
      </c>
      <c r="K515" s="71" t="s">
        <v>131</v>
      </c>
      <c r="L515" s="71" t="s">
        <v>134</v>
      </c>
      <c r="M515" s="71" t="s">
        <v>735</v>
      </c>
      <c r="N515" s="80" t="s">
        <v>151</v>
      </c>
      <c r="O515" s="295">
        <v>-8489.33</v>
      </c>
      <c r="P515" s="75"/>
      <c r="Z515" s="16"/>
      <c r="AA515" s="16"/>
      <c r="AB515" s="16"/>
    </row>
    <row r="516" spans="2:29" s="465" customFormat="1" ht="21.75" customHeight="1">
      <c r="B516" s="376">
        <v>46165</v>
      </c>
      <c r="C516" s="377" t="str">
        <f t="shared" si="7"/>
        <v>Maio</v>
      </c>
      <c r="D516" s="378" t="s">
        <v>508</v>
      </c>
      <c r="E516" s="379" t="s">
        <v>497</v>
      </c>
      <c r="F516" s="380" t="s">
        <v>534</v>
      </c>
      <c r="G516" s="342" t="s">
        <v>1259</v>
      </c>
      <c r="H516" s="369" t="s">
        <v>1260</v>
      </c>
      <c r="I516" s="342" t="s">
        <v>595</v>
      </c>
      <c r="J516" s="367" t="s">
        <v>209</v>
      </c>
      <c r="K516" s="343" t="s">
        <v>274</v>
      </c>
      <c r="L516" s="342" t="s">
        <v>134</v>
      </c>
      <c r="M516" s="71" t="s">
        <v>730</v>
      </c>
      <c r="N516" s="80" t="s">
        <v>151</v>
      </c>
      <c r="O516" s="295">
        <v>-12200</v>
      </c>
      <c r="P516" s="296"/>
      <c r="Y516" s="45"/>
      <c r="AC516" s="45"/>
    </row>
    <row r="517" spans="2:29" ht="21.75" customHeight="1">
      <c r="B517" s="376">
        <v>46167</v>
      </c>
      <c r="C517" s="377" t="str">
        <f t="shared" si="7"/>
        <v>Maio</v>
      </c>
      <c r="D517" s="378" t="s">
        <v>508</v>
      </c>
      <c r="E517" s="379" t="s">
        <v>497</v>
      </c>
      <c r="F517" s="380" t="s">
        <v>534</v>
      </c>
      <c r="G517" s="342" t="s">
        <v>1307</v>
      </c>
      <c r="H517" s="369" t="s">
        <v>1308</v>
      </c>
      <c r="I517" s="342" t="s">
        <v>595</v>
      </c>
      <c r="J517" s="366" t="s">
        <v>1309</v>
      </c>
      <c r="K517" s="384" t="s">
        <v>975</v>
      </c>
      <c r="L517" s="342" t="s">
        <v>137</v>
      </c>
      <c r="M517" s="71" t="s">
        <v>730</v>
      </c>
      <c r="N517" s="381" t="s">
        <v>151</v>
      </c>
      <c r="O517" s="295">
        <v>-1059.22</v>
      </c>
      <c r="P517" s="75"/>
      <c r="Z517" s="16"/>
      <c r="AA517" s="16"/>
      <c r="AB517" s="16"/>
    </row>
    <row r="518" spans="2:29" ht="21.75" customHeight="1">
      <c r="B518" s="376">
        <v>46167</v>
      </c>
      <c r="C518" s="377" t="str">
        <f t="shared" si="7"/>
        <v>Maio</v>
      </c>
      <c r="D518" s="378" t="s">
        <v>508</v>
      </c>
      <c r="E518" s="379" t="s">
        <v>497</v>
      </c>
      <c r="F518" s="380" t="s">
        <v>534</v>
      </c>
      <c r="G518" s="342" t="s">
        <v>1314</v>
      </c>
      <c r="H518" s="369" t="s">
        <v>1311</v>
      </c>
      <c r="I518" s="342" t="s">
        <v>595</v>
      </c>
      <c r="J518" s="366" t="s">
        <v>1310</v>
      </c>
      <c r="K518" s="384" t="s">
        <v>975</v>
      </c>
      <c r="L518" s="342" t="s">
        <v>137</v>
      </c>
      <c r="M518" s="71" t="s">
        <v>730</v>
      </c>
      <c r="N518" s="381" t="s">
        <v>151</v>
      </c>
      <c r="O518" s="295">
        <v>-852.3</v>
      </c>
      <c r="P518" s="75"/>
      <c r="Z518" s="16"/>
      <c r="AA518" s="16"/>
      <c r="AB518" s="16"/>
    </row>
    <row r="519" spans="2:29" ht="21.75" customHeight="1">
      <c r="B519" s="376">
        <v>46167</v>
      </c>
      <c r="C519" s="377" t="str">
        <f t="shared" ref="C519:C582" si="8">PROPER(TEXT(B519,"MMMM"))</f>
        <v>Maio</v>
      </c>
      <c r="D519" s="378" t="s">
        <v>508</v>
      </c>
      <c r="E519" s="379" t="s">
        <v>497</v>
      </c>
      <c r="F519" s="380" t="s">
        <v>534</v>
      </c>
      <c r="G519" s="19" t="s">
        <v>853</v>
      </c>
      <c r="H519" s="369" t="s">
        <v>854</v>
      </c>
      <c r="I519" s="342" t="s">
        <v>595</v>
      </c>
      <c r="J519" s="112" t="s">
        <v>1446</v>
      </c>
      <c r="K519" s="112" t="s">
        <v>131</v>
      </c>
      <c r="L519" s="342" t="s">
        <v>137</v>
      </c>
      <c r="M519" s="71" t="s">
        <v>730</v>
      </c>
      <c r="N519" s="381" t="s">
        <v>28</v>
      </c>
      <c r="O519" s="295">
        <v>-72.599999999999994</v>
      </c>
      <c r="P519" s="75"/>
      <c r="Z519" s="16"/>
      <c r="AA519" s="16"/>
      <c r="AB519" s="16"/>
    </row>
    <row r="520" spans="2:29" ht="21.75" customHeight="1">
      <c r="B520" s="376">
        <v>46168</v>
      </c>
      <c r="C520" s="377" t="str">
        <f t="shared" si="8"/>
        <v>Maio</v>
      </c>
      <c r="D520" s="378" t="s">
        <v>386</v>
      </c>
      <c r="E520" s="379" t="s">
        <v>468</v>
      </c>
      <c r="F520" s="380" t="s">
        <v>131</v>
      </c>
      <c r="G520" s="342" t="s">
        <v>480</v>
      </c>
      <c r="H520" s="378" t="s">
        <v>1008</v>
      </c>
      <c r="I520" s="342" t="s">
        <v>131</v>
      </c>
      <c r="J520" s="112" t="s">
        <v>131</v>
      </c>
      <c r="K520" s="343" t="s">
        <v>131</v>
      </c>
      <c r="L520" s="342" t="s">
        <v>131</v>
      </c>
      <c r="M520" s="342" t="s">
        <v>730</v>
      </c>
      <c r="N520" s="381" t="s">
        <v>521</v>
      </c>
      <c r="O520" s="295">
        <v>48.9</v>
      </c>
      <c r="P520" s="75"/>
      <c r="Z520" s="16"/>
      <c r="AA520" s="16"/>
      <c r="AB520" s="16"/>
    </row>
    <row r="521" spans="2:29" s="465" customFormat="1" ht="21.75" customHeight="1">
      <c r="B521" s="68">
        <v>46169</v>
      </c>
      <c r="C521" s="69" t="str">
        <f t="shared" si="8"/>
        <v>Maio</v>
      </c>
      <c r="D521" s="77" t="s">
        <v>508</v>
      </c>
      <c r="E521" s="72" t="s">
        <v>497</v>
      </c>
      <c r="F521" s="70" t="s">
        <v>534</v>
      </c>
      <c r="G521" s="19" t="s">
        <v>184</v>
      </c>
      <c r="H521" s="369" t="s">
        <v>1425</v>
      </c>
      <c r="I521" s="71" t="s">
        <v>595</v>
      </c>
      <c r="J521" s="389" t="s">
        <v>1426</v>
      </c>
      <c r="K521" s="19" t="s">
        <v>131</v>
      </c>
      <c r="L521" s="71" t="s">
        <v>137</v>
      </c>
      <c r="M521" s="71" t="s">
        <v>730</v>
      </c>
      <c r="N521" s="80" t="s">
        <v>151</v>
      </c>
      <c r="O521" s="295">
        <v>-48.9</v>
      </c>
      <c r="P521" s="296"/>
      <c r="Y521" s="45"/>
      <c r="AC521" s="45"/>
    </row>
    <row r="522" spans="2:29" ht="21.75" customHeight="1">
      <c r="B522" s="68">
        <v>46172</v>
      </c>
      <c r="C522" s="69" t="str">
        <f t="shared" si="8"/>
        <v>Maio</v>
      </c>
      <c r="D522" s="77" t="s">
        <v>386</v>
      </c>
      <c r="E522" s="72" t="s">
        <v>468</v>
      </c>
      <c r="F522" s="70" t="s">
        <v>131</v>
      </c>
      <c r="G522" s="71" t="s">
        <v>480</v>
      </c>
      <c r="H522" s="72" t="s">
        <v>1008</v>
      </c>
      <c r="I522" s="71" t="s">
        <v>131</v>
      </c>
      <c r="J522" s="343" t="s">
        <v>131</v>
      </c>
      <c r="K522" s="71" t="s">
        <v>131</v>
      </c>
      <c r="L522" s="71" t="s">
        <v>131</v>
      </c>
      <c r="M522" s="71" t="s">
        <v>730</v>
      </c>
      <c r="N522" s="80" t="s">
        <v>161</v>
      </c>
      <c r="O522" s="295">
        <f>-1*(SUMIFS($O$6:$O$1198,$C$6:$C$1198,"Maio",$F$6:$F$1198,"Despesas Eventuais",$M$6:$M$1198,"Cooperativa Sicredi (0913)",$N$6:$N$1198,"Provisionado"))</f>
        <v>91135.779999999897</v>
      </c>
      <c r="P522" s="75"/>
      <c r="Z522" s="16"/>
      <c r="AA522" s="16"/>
      <c r="AB522" s="16"/>
    </row>
    <row r="523" spans="2:29" ht="21.75" customHeight="1">
      <c r="B523" s="68">
        <v>46172</v>
      </c>
      <c r="C523" s="69" t="str">
        <f t="shared" si="8"/>
        <v>Maio</v>
      </c>
      <c r="D523" s="77" t="s">
        <v>298</v>
      </c>
      <c r="E523" s="72" t="s">
        <v>439</v>
      </c>
      <c r="F523" s="70" t="s">
        <v>637</v>
      </c>
      <c r="G523" s="71" t="s">
        <v>768</v>
      </c>
      <c r="H523" s="77" t="s">
        <v>769</v>
      </c>
      <c r="I523" s="71" t="s">
        <v>131</v>
      </c>
      <c r="J523" s="112" t="s">
        <v>131</v>
      </c>
      <c r="K523" s="71" t="s">
        <v>131</v>
      </c>
      <c r="L523" s="71" t="s">
        <v>137</v>
      </c>
      <c r="M523" s="71" t="s">
        <v>735</v>
      </c>
      <c r="N523" s="80" t="s">
        <v>28</v>
      </c>
      <c r="O523" s="295">
        <v>-4416</v>
      </c>
      <c r="P523" s="75"/>
      <c r="Z523" s="16"/>
      <c r="AA523" s="16"/>
      <c r="AB523" s="16"/>
    </row>
    <row r="524" spans="2:29" ht="21.75" customHeight="1">
      <c r="B524" s="68">
        <v>46172</v>
      </c>
      <c r="C524" s="69" t="str">
        <f t="shared" si="8"/>
        <v>Maio</v>
      </c>
      <c r="D524" s="77" t="s">
        <v>508</v>
      </c>
      <c r="E524" s="72" t="s">
        <v>497</v>
      </c>
      <c r="F524" s="70" t="s">
        <v>534</v>
      </c>
      <c r="G524" s="71" t="s">
        <v>290</v>
      </c>
      <c r="H524" s="77" t="s">
        <v>762</v>
      </c>
      <c r="I524" s="71" t="s">
        <v>778</v>
      </c>
      <c r="J524" s="392" t="s">
        <v>209</v>
      </c>
      <c r="K524" s="73" t="s">
        <v>1053</v>
      </c>
      <c r="L524" s="71" t="s">
        <v>134</v>
      </c>
      <c r="M524" s="71" t="s">
        <v>730</v>
      </c>
      <c r="N524" s="80" t="s">
        <v>28</v>
      </c>
      <c r="O524" s="295">
        <f>-10326.4299999999+1704</f>
        <v>-8622.4299999999002</v>
      </c>
      <c r="P524" s="75"/>
      <c r="Z524" s="16"/>
      <c r="AA524" s="16"/>
      <c r="AB524" s="16"/>
    </row>
    <row r="525" spans="2:29" ht="21.75" customHeight="1">
      <c r="B525" s="68">
        <v>46172</v>
      </c>
      <c r="C525" s="377" t="str">
        <f t="shared" si="8"/>
        <v>Maio</v>
      </c>
      <c r="D525" s="378" t="s">
        <v>508</v>
      </c>
      <c r="E525" s="379" t="s">
        <v>497</v>
      </c>
      <c r="F525" s="380" t="s">
        <v>534</v>
      </c>
      <c r="G525" s="342" t="s">
        <v>674</v>
      </c>
      <c r="H525" s="369" t="s">
        <v>673</v>
      </c>
      <c r="I525" s="342" t="s">
        <v>595</v>
      </c>
      <c r="J525" s="367" t="s">
        <v>209</v>
      </c>
      <c r="K525" s="384" t="s">
        <v>206</v>
      </c>
      <c r="L525" s="343" t="s">
        <v>134</v>
      </c>
      <c r="M525" s="342" t="s">
        <v>730</v>
      </c>
      <c r="N525" s="381" t="s">
        <v>28</v>
      </c>
      <c r="O525" s="295">
        <v>-29500</v>
      </c>
      <c r="P525" s="75"/>
      <c r="Z525" s="16"/>
      <c r="AA525" s="16"/>
      <c r="AB525" s="16"/>
    </row>
    <row r="526" spans="2:29" ht="21.75" customHeight="1">
      <c r="B526" s="68">
        <v>46172</v>
      </c>
      <c r="C526" s="69" t="str">
        <f t="shared" si="8"/>
        <v>Maio</v>
      </c>
      <c r="D526" s="77" t="s">
        <v>298</v>
      </c>
      <c r="E526" s="72" t="s">
        <v>439</v>
      </c>
      <c r="F526" s="70" t="s">
        <v>637</v>
      </c>
      <c r="G526" s="71" t="s">
        <v>768</v>
      </c>
      <c r="H526" s="72" t="s">
        <v>774</v>
      </c>
      <c r="I526" s="71" t="s">
        <v>131</v>
      </c>
      <c r="J526" s="112" t="s">
        <v>131</v>
      </c>
      <c r="K526" s="73" t="s">
        <v>131</v>
      </c>
      <c r="L526" s="71" t="s">
        <v>137</v>
      </c>
      <c r="M526" s="71" t="s">
        <v>735</v>
      </c>
      <c r="N526" s="80" t="s">
        <v>28</v>
      </c>
      <c r="O526" s="295">
        <v>-4416</v>
      </c>
      <c r="P526" s="75"/>
      <c r="Z526" s="16"/>
      <c r="AA526" s="16"/>
      <c r="AB526" s="16"/>
    </row>
    <row r="527" spans="2:29" ht="21.75" customHeight="1">
      <c r="B527" s="68">
        <v>46172</v>
      </c>
      <c r="C527" s="69" t="str">
        <f t="shared" si="8"/>
        <v>Maio</v>
      </c>
      <c r="D527" s="77" t="s">
        <v>508</v>
      </c>
      <c r="E527" s="72" t="s">
        <v>497</v>
      </c>
      <c r="F527" s="70" t="s">
        <v>534</v>
      </c>
      <c r="G527" s="71" t="s">
        <v>705</v>
      </c>
      <c r="H527" s="77" t="s">
        <v>706</v>
      </c>
      <c r="I527" s="71" t="s">
        <v>595</v>
      </c>
      <c r="J527" s="112" t="s">
        <v>724</v>
      </c>
      <c r="K527" s="73" t="s">
        <v>274</v>
      </c>
      <c r="L527" s="71" t="s">
        <v>134</v>
      </c>
      <c r="M527" s="71" t="s">
        <v>730</v>
      </c>
      <c r="N527" s="80" t="s">
        <v>28</v>
      </c>
      <c r="O527" s="295">
        <v>-1400</v>
      </c>
      <c r="P527" s="75"/>
      <c r="Z527" s="16"/>
      <c r="AA527" s="16"/>
      <c r="AB527" s="16"/>
    </row>
    <row r="528" spans="2:29" ht="21.75" customHeight="1">
      <c r="B528" s="68">
        <v>46172</v>
      </c>
      <c r="C528" s="377" t="str">
        <f t="shared" si="8"/>
        <v>Maio</v>
      </c>
      <c r="D528" s="378" t="s">
        <v>508</v>
      </c>
      <c r="E528" s="379" t="s">
        <v>497</v>
      </c>
      <c r="F528" s="380" t="s">
        <v>534</v>
      </c>
      <c r="G528" s="19" t="s">
        <v>890</v>
      </c>
      <c r="H528" s="378" t="s">
        <v>1020</v>
      </c>
      <c r="I528" s="342" t="s">
        <v>595</v>
      </c>
      <c r="J528" s="367" t="s">
        <v>209</v>
      </c>
      <c r="K528" s="342" t="s">
        <v>131</v>
      </c>
      <c r="L528" s="342" t="s">
        <v>134</v>
      </c>
      <c r="M528" s="342" t="s">
        <v>730</v>
      </c>
      <c r="N528" s="381" t="s">
        <v>28</v>
      </c>
      <c r="O528" s="295">
        <f>-500*4</f>
        <v>-2000</v>
      </c>
      <c r="P528" s="75"/>
      <c r="Z528" s="16"/>
      <c r="AA528" s="16"/>
      <c r="AB528" s="16"/>
    </row>
    <row r="529" spans="2:29" ht="21.75" customHeight="1">
      <c r="B529" s="68">
        <v>46172</v>
      </c>
      <c r="C529" s="69" t="str">
        <f t="shared" si="8"/>
        <v>Maio</v>
      </c>
      <c r="D529" s="77" t="s">
        <v>298</v>
      </c>
      <c r="E529" s="72" t="s">
        <v>439</v>
      </c>
      <c r="F529" s="70" t="s">
        <v>637</v>
      </c>
      <c r="G529" s="71" t="s">
        <v>132</v>
      </c>
      <c r="H529" s="77" t="s">
        <v>795</v>
      </c>
      <c r="I529" s="71" t="s">
        <v>131</v>
      </c>
      <c r="J529" s="112">
        <v>2026</v>
      </c>
      <c r="K529" s="71" t="s">
        <v>131</v>
      </c>
      <c r="L529" s="71" t="s">
        <v>150</v>
      </c>
      <c r="M529" s="71" t="s">
        <v>735</v>
      </c>
      <c r="N529" s="80" t="s">
        <v>28</v>
      </c>
      <c r="O529" s="390">
        <f>SUMIF($E$6:$E$1199,"2.8.1 – Distribuição de Lucros",$O$6:$O$1199)*10%</f>
        <v>-193817.37299999999</v>
      </c>
      <c r="P529" s="75"/>
      <c r="Z529" s="16"/>
      <c r="AA529" s="16"/>
      <c r="AB529" s="16"/>
    </row>
    <row r="530" spans="2:29" ht="21.75" hidden="1" customHeight="1">
      <c r="B530" s="376">
        <v>46174</v>
      </c>
      <c r="C530" s="377" t="str">
        <f t="shared" si="8"/>
        <v>Junho</v>
      </c>
      <c r="D530" s="378" t="s">
        <v>386</v>
      </c>
      <c r="E530" s="379" t="s">
        <v>468</v>
      </c>
      <c r="F530" s="380" t="s">
        <v>131</v>
      </c>
      <c r="G530" s="342" t="s">
        <v>480</v>
      </c>
      <c r="H530" s="378" t="s">
        <v>1008</v>
      </c>
      <c r="I530" s="342" t="s">
        <v>131</v>
      </c>
      <c r="J530" s="112" t="s">
        <v>131</v>
      </c>
      <c r="K530" s="343" t="s">
        <v>131</v>
      </c>
      <c r="L530" s="342" t="s">
        <v>131</v>
      </c>
      <c r="M530" s="342" t="s">
        <v>730</v>
      </c>
      <c r="N530" s="381" t="s">
        <v>521</v>
      </c>
      <c r="O530" s="295">
        <v>2725</v>
      </c>
      <c r="P530" s="75"/>
      <c r="Z530" s="16"/>
      <c r="AA530" s="16"/>
      <c r="AB530" s="16"/>
    </row>
    <row r="531" spans="2:29" ht="21.75" hidden="1" customHeight="1">
      <c r="B531" s="68">
        <v>46174</v>
      </c>
      <c r="C531" s="69" t="str">
        <f t="shared" si="8"/>
        <v>Junho</v>
      </c>
      <c r="D531" s="77" t="s">
        <v>509</v>
      </c>
      <c r="E531" s="72" t="s">
        <v>500</v>
      </c>
      <c r="F531" s="70" t="s">
        <v>131</v>
      </c>
      <c r="G531" s="71" t="s">
        <v>132</v>
      </c>
      <c r="H531" s="77" t="s">
        <v>133</v>
      </c>
      <c r="I531" s="71" t="s">
        <v>131</v>
      </c>
      <c r="J531" s="343" t="s">
        <v>796</v>
      </c>
      <c r="K531" s="71" t="s">
        <v>131</v>
      </c>
      <c r="L531" s="71" t="s">
        <v>134</v>
      </c>
      <c r="M531" s="71" t="s">
        <v>735</v>
      </c>
      <c r="N531" s="80" t="s">
        <v>266</v>
      </c>
      <c r="O531" s="295">
        <f>-1*(SUMIFS('Distribuição de Lucro_Mensal'!$I$6:$I$680,'Distribuição de Lucro_Mensal'!$D$6:$D$680,"junho",'Distribuição de Lucro_Mensal'!$K$6:$K$680,"Provisionado"))</f>
        <v>-93164.989999999991</v>
      </c>
      <c r="P531" s="75"/>
      <c r="Z531" s="16"/>
      <c r="AA531" s="16"/>
      <c r="AB531" s="16"/>
    </row>
    <row r="532" spans="2:29" ht="21.75" hidden="1" customHeight="1">
      <c r="B532" s="68">
        <v>46174</v>
      </c>
      <c r="C532" s="69" t="str">
        <f t="shared" si="8"/>
        <v>Junho</v>
      </c>
      <c r="D532" s="77" t="s">
        <v>302</v>
      </c>
      <c r="E532" s="72" t="s">
        <v>436</v>
      </c>
      <c r="F532" s="70" t="s">
        <v>138</v>
      </c>
      <c r="G532" s="71" t="s">
        <v>480</v>
      </c>
      <c r="H532" s="77" t="s">
        <v>484</v>
      </c>
      <c r="I532" s="71" t="s">
        <v>131</v>
      </c>
      <c r="J532" s="343" t="s">
        <v>796</v>
      </c>
      <c r="K532" s="78" t="s">
        <v>131</v>
      </c>
      <c r="L532" s="71" t="s">
        <v>197</v>
      </c>
      <c r="M532" s="71" t="s">
        <v>730</v>
      </c>
      <c r="N532" s="80" t="s">
        <v>151</v>
      </c>
      <c r="O532" s="295">
        <v>-100</v>
      </c>
      <c r="P532" s="75"/>
      <c r="Z532" s="16"/>
      <c r="AA532" s="16"/>
      <c r="AB532" s="16"/>
    </row>
    <row r="533" spans="2:29" ht="21.75" hidden="1" customHeight="1">
      <c r="B533" s="68">
        <v>46174</v>
      </c>
      <c r="C533" s="69" t="str">
        <f t="shared" si="8"/>
        <v>Junho</v>
      </c>
      <c r="D533" s="77" t="s">
        <v>386</v>
      </c>
      <c r="E533" s="72" t="s">
        <v>468</v>
      </c>
      <c r="F533" s="70" t="s">
        <v>131</v>
      </c>
      <c r="G533" s="71" t="s">
        <v>480</v>
      </c>
      <c r="H533" s="72" t="s">
        <v>1008</v>
      </c>
      <c r="I533" s="71" t="s">
        <v>131</v>
      </c>
      <c r="J533" s="343" t="s">
        <v>131</v>
      </c>
      <c r="K533" s="71" t="s">
        <v>131</v>
      </c>
      <c r="L533" s="71" t="s">
        <v>131</v>
      </c>
      <c r="M533" s="71" t="s">
        <v>730</v>
      </c>
      <c r="N533" s="80" t="s">
        <v>161</v>
      </c>
      <c r="O533" s="295">
        <f>-1*(SUMIFS($O$6:$O$1198,$C$6:$C$1198,"Junho",$F$6:$F$1198,"Despesas Eventuais",$M$6:$M$1198,"Cooperativa Sicredi (0913)",$N$6:$N$1198,"Provisionado"))</f>
        <v>6486.61</v>
      </c>
      <c r="P533" s="75"/>
      <c r="Z533" s="16"/>
      <c r="AA533" s="16"/>
      <c r="AB533" s="16"/>
    </row>
    <row r="534" spans="2:29" ht="21.75" hidden="1" customHeight="1">
      <c r="B534" s="68">
        <v>46174</v>
      </c>
      <c r="C534" s="69" t="str">
        <f t="shared" si="8"/>
        <v>Junho</v>
      </c>
      <c r="D534" s="77" t="s">
        <v>509</v>
      </c>
      <c r="E534" s="72" t="s">
        <v>500</v>
      </c>
      <c r="F534" s="70" t="s">
        <v>131</v>
      </c>
      <c r="G534" s="71" t="s">
        <v>132</v>
      </c>
      <c r="H534" s="77" t="s">
        <v>133</v>
      </c>
      <c r="I534" s="71" t="s">
        <v>131</v>
      </c>
      <c r="J534" s="343" t="s">
        <v>796</v>
      </c>
      <c r="K534" s="71" t="s">
        <v>131</v>
      </c>
      <c r="L534" s="71" t="s">
        <v>134</v>
      </c>
      <c r="M534" s="71" t="s">
        <v>735</v>
      </c>
      <c r="N534" s="80" t="s">
        <v>266</v>
      </c>
      <c r="O534" s="295">
        <f>-1*(SUMIFS('Distribuição de Lucro_Mensal'!$I$6:$I$680,'Distribuição de Lucro_Mensal'!$D$6:$D$680,"junho",'Distribuição de Lucro_Mensal'!$K$6:$K$680,"A pagar"))</f>
        <v>0</v>
      </c>
      <c r="P534" s="75"/>
      <c r="Z534" s="16"/>
      <c r="AA534" s="16"/>
      <c r="AB534" s="16"/>
    </row>
    <row r="535" spans="2:29" ht="21.75" hidden="1" customHeight="1">
      <c r="B535" s="68">
        <v>46175</v>
      </c>
      <c r="C535" s="69" t="str">
        <f t="shared" si="8"/>
        <v>Junho</v>
      </c>
      <c r="D535" s="77" t="s">
        <v>508</v>
      </c>
      <c r="E535" s="72" t="s">
        <v>497</v>
      </c>
      <c r="F535" s="70" t="s">
        <v>534</v>
      </c>
      <c r="G535" s="71" t="s">
        <v>1090</v>
      </c>
      <c r="H535" s="77" t="s">
        <v>1092</v>
      </c>
      <c r="I535" s="71" t="s">
        <v>595</v>
      </c>
      <c r="J535" s="393" t="s">
        <v>1073</v>
      </c>
      <c r="K535" s="78" t="s">
        <v>289</v>
      </c>
      <c r="L535" s="71" t="s">
        <v>137</v>
      </c>
      <c r="M535" s="71" t="s">
        <v>730</v>
      </c>
      <c r="N535" s="80" t="s">
        <v>151</v>
      </c>
      <c r="O535" s="295">
        <v>-2725</v>
      </c>
      <c r="P535" s="75"/>
      <c r="Z535" s="16"/>
      <c r="AA535" s="16"/>
      <c r="AB535" s="16"/>
    </row>
    <row r="536" spans="2:29" ht="21.75" hidden="1" customHeight="1">
      <c r="B536" s="68">
        <v>46175</v>
      </c>
      <c r="C536" s="69" t="str">
        <f t="shared" si="8"/>
        <v>Junho</v>
      </c>
      <c r="D536" s="77" t="s">
        <v>299</v>
      </c>
      <c r="E536" s="72" t="s">
        <v>303</v>
      </c>
      <c r="F536" s="70" t="s">
        <v>138</v>
      </c>
      <c r="G536" s="71" t="s">
        <v>147</v>
      </c>
      <c r="H536" s="77" t="s">
        <v>629</v>
      </c>
      <c r="I536" s="71" t="s">
        <v>131</v>
      </c>
      <c r="J536" s="367" t="s">
        <v>209</v>
      </c>
      <c r="K536" s="71" t="s">
        <v>131</v>
      </c>
      <c r="L536" s="71" t="s">
        <v>137</v>
      </c>
      <c r="M536" s="71" t="s">
        <v>735</v>
      </c>
      <c r="N536" s="80" t="s">
        <v>28</v>
      </c>
      <c r="O536" s="295">
        <v>-700</v>
      </c>
      <c r="P536" s="75"/>
      <c r="Z536" s="16"/>
      <c r="AA536" s="16"/>
      <c r="AB536" s="16"/>
    </row>
    <row r="537" spans="2:29" ht="21.75" hidden="1" customHeight="1">
      <c r="B537" s="68">
        <v>46178</v>
      </c>
      <c r="C537" s="69" t="str">
        <f t="shared" si="8"/>
        <v>Junho</v>
      </c>
      <c r="D537" s="77" t="s">
        <v>298</v>
      </c>
      <c r="E537" s="72" t="s">
        <v>513</v>
      </c>
      <c r="F537" s="70" t="s">
        <v>138</v>
      </c>
      <c r="G537" s="71" t="s">
        <v>140</v>
      </c>
      <c r="H537" s="72" t="s">
        <v>152</v>
      </c>
      <c r="I537" s="71" t="s">
        <v>131</v>
      </c>
      <c r="J537" s="367" t="s">
        <v>209</v>
      </c>
      <c r="K537" s="73" t="s">
        <v>131</v>
      </c>
      <c r="L537" s="71" t="s">
        <v>137</v>
      </c>
      <c r="M537" s="71" t="s">
        <v>735</v>
      </c>
      <c r="N537" s="80" t="s">
        <v>28</v>
      </c>
      <c r="O537" s="295">
        <v>-4885</v>
      </c>
      <c r="P537" s="75"/>
      <c r="Z537" s="16"/>
      <c r="AA537" s="16"/>
      <c r="AB537" s="16"/>
    </row>
    <row r="538" spans="2:29" ht="21.75" hidden="1" customHeight="1">
      <c r="B538" s="68">
        <v>46178</v>
      </c>
      <c r="C538" s="69" t="str">
        <f t="shared" si="8"/>
        <v>Junho</v>
      </c>
      <c r="D538" s="77" t="s">
        <v>301</v>
      </c>
      <c r="E538" s="72" t="s">
        <v>526</v>
      </c>
      <c r="F538" s="70" t="s">
        <v>136</v>
      </c>
      <c r="G538" s="71" t="s">
        <v>548</v>
      </c>
      <c r="H538" s="72" t="s">
        <v>549</v>
      </c>
      <c r="I538" s="71" t="s">
        <v>131</v>
      </c>
      <c r="J538" s="367" t="s">
        <v>209</v>
      </c>
      <c r="K538" s="73" t="s">
        <v>131</v>
      </c>
      <c r="L538" s="71" t="s">
        <v>134</v>
      </c>
      <c r="M538" s="71" t="s">
        <v>735</v>
      </c>
      <c r="N538" s="80" t="s">
        <v>28</v>
      </c>
      <c r="O538" s="295">
        <v>-70</v>
      </c>
      <c r="P538" s="75"/>
      <c r="Z538" s="16"/>
      <c r="AA538" s="16"/>
      <c r="AB538" s="16"/>
    </row>
    <row r="539" spans="2:29" ht="21.75" hidden="1" customHeight="1">
      <c r="B539" s="68">
        <v>46178</v>
      </c>
      <c r="C539" s="69" t="str">
        <f t="shared" si="8"/>
        <v>Junho</v>
      </c>
      <c r="D539" s="77" t="s">
        <v>299</v>
      </c>
      <c r="E539" s="72" t="s">
        <v>757</v>
      </c>
      <c r="F539" s="70" t="s">
        <v>138</v>
      </c>
      <c r="G539" s="71" t="s">
        <v>148</v>
      </c>
      <c r="H539" s="77" t="s">
        <v>177</v>
      </c>
      <c r="I539" s="71" t="s">
        <v>131</v>
      </c>
      <c r="J539" s="389" t="s">
        <v>792</v>
      </c>
      <c r="K539" s="71" t="s">
        <v>131</v>
      </c>
      <c r="L539" s="71" t="s">
        <v>134</v>
      </c>
      <c r="M539" s="71" t="s">
        <v>735</v>
      </c>
      <c r="N539" s="80" t="s">
        <v>28</v>
      </c>
      <c r="O539" s="295">
        <v>-4498.5</v>
      </c>
      <c r="P539" s="75"/>
      <c r="Z539" s="16"/>
      <c r="AA539" s="16"/>
      <c r="AB539" s="16"/>
    </row>
    <row r="540" spans="2:29" ht="21.75" hidden="1" customHeight="1">
      <c r="B540" s="376">
        <v>46178</v>
      </c>
      <c r="C540" s="377" t="str">
        <f t="shared" si="8"/>
        <v>Junho</v>
      </c>
      <c r="D540" s="378" t="s">
        <v>386</v>
      </c>
      <c r="E540" s="379" t="s">
        <v>468</v>
      </c>
      <c r="F540" s="380" t="s">
        <v>131</v>
      </c>
      <c r="G540" s="342" t="s">
        <v>480</v>
      </c>
      <c r="H540" s="378" t="s">
        <v>1008</v>
      </c>
      <c r="I540" s="342" t="s">
        <v>131</v>
      </c>
      <c r="J540" s="112" t="s">
        <v>131</v>
      </c>
      <c r="K540" s="343" t="s">
        <v>131</v>
      </c>
      <c r="L540" s="342" t="s">
        <v>131</v>
      </c>
      <c r="M540" s="342" t="s">
        <v>730</v>
      </c>
      <c r="N540" s="381" t="s">
        <v>521</v>
      </c>
      <c r="O540" s="295">
        <v>3187.33</v>
      </c>
      <c r="P540" s="75"/>
      <c r="Z540" s="16"/>
      <c r="AA540" s="16"/>
      <c r="AB540" s="16"/>
    </row>
    <row r="541" spans="2:29" ht="21.75" hidden="1" customHeight="1">
      <c r="B541" s="68">
        <v>46180</v>
      </c>
      <c r="C541" s="69" t="str">
        <f t="shared" si="8"/>
        <v>Junho</v>
      </c>
      <c r="D541" s="77" t="s">
        <v>508</v>
      </c>
      <c r="E541" s="72" t="s">
        <v>497</v>
      </c>
      <c r="F541" s="70" t="s">
        <v>534</v>
      </c>
      <c r="G541" s="71" t="s">
        <v>628</v>
      </c>
      <c r="H541" s="77" t="s">
        <v>663</v>
      </c>
      <c r="I541" s="71" t="s">
        <v>595</v>
      </c>
      <c r="J541" s="393" t="s">
        <v>1370</v>
      </c>
      <c r="K541" s="78" t="s">
        <v>273</v>
      </c>
      <c r="L541" s="71" t="s">
        <v>137</v>
      </c>
      <c r="M541" s="71" t="s">
        <v>730</v>
      </c>
      <c r="N541" s="80" t="s">
        <v>151</v>
      </c>
      <c r="O541" s="295">
        <v>-3187.33</v>
      </c>
      <c r="P541" s="75"/>
      <c r="Z541" s="16"/>
      <c r="AA541" s="16"/>
      <c r="AB541" s="16"/>
    </row>
    <row r="542" spans="2:29" s="465" customFormat="1" ht="21.75" hidden="1" customHeight="1">
      <c r="B542" s="68">
        <v>46180</v>
      </c>
      <c r="C542" s="69" t="str">
        <f t="shared" si="8"/>
        <v>Junho</v>
      </c>
      <c r="D542" s="77" t="s">
        <v>299</v>
      </c>
      <c r="E542" s="72" t="s">
        <v>303</v>
      </c>
      <c r="F542" s="70" t="s">
        <v>136</v>
      </c>
      <c r="G542" s="19" t="s">
        <v>1157</v>
      </c>
      <c r="H542" s="369" t="s">
        <v>1158</v>
      </c>
      <c r="I542" s="71" t="s">
        <v>131</v>
      </c>
      <c r="J542" s="175" t="s">
        <v>209</v>
      </c>
      <c r="K542" s="112" t="s">
        <v>131</v>
      </c>
      <c r="L542" s="71" t="s">
        <v>137</v>
      </c>
      <c r="M542" s="71" t="s">
        <v>735</v>
      </c>
      <c r="N542" s="80" t="s">
        <v>28</v>
      </c>
      <c r="O542" s="295">
        <v>-150</v>
      </c>
      <c r="P542" s="296"/>
      <c r="Y542" s="45"/>
      <c r="AC542" s="45"/>
    </row>
    <row r="543" spans="2:29" ht="21.75" hidden="1" customHeight="1">
      <c r="B543" s="68">
        <v>46183</v>
      </c>
      <c r="C543" s="69" t="str">
        <f t="shared" si="8"/>
        <v>Junho</v>
      </c>
      <c r="D543" s="77" t="s">
        <v>300</v>
      </c>
      <c r="E543" s="72" t="s">
        <v>475</v>
      </c>
      <c r="F543" s="70" t="s">
        <v>136</v>
      </c>
      <c r="G543" s="71" t="s">
        <v>212</v>
      </c>
      <c r="H543" s="77" t="s">
        <v>761</v>
      </c>
      <c r="I543" s="71" t="s">
        <v>131</v>
      </c>
      <c r="J543" s="367" t="s">
        <v>209</v>
      </c>
      <c r="K543" s="71" t="s">
        <v>131</v>
      </c>
      <c r="L543" s="71" t="s">
        <v>137</v>
      </c>
      <c r="M543" s="71" t="s">
        <v>735</v>
      </c>
      <c r="N543" s="80" t="s">
        <v>28</v>
      </c>
      <c r="O543" s="295">
        <v>-1000</v>
      </c>
      <c r="P543" s="75"/>
      <c r="Z543" s="16"/>
      <c r="AA543" s="16"/>
      <c r="AB543" s="16"/>
    </row>
    <row r="544" spans="2:29" ht="21.75" hidden="1" customHeight="1">
      <c r="B544" s="68">
        <v>46183</v>
      </c>
      <c r="C544" s="69" t="str">
        <f t="shared" si="8"/>
        <v>Junho</v>
      </c>
      <c r="D544" s="77" t="s">
        <v>298</v>
      </c>
      <c r="E544" s="72" t="s">
        <v>515</v>
      </c>
      <c r="F544" s="70" t="s">
        <v>138</v>
      </c>
      <c r="G544" s="71" t="s">
        <v>146</v>
      </c>
      <c r="H544" s="77" t="s">
        <v>153</v>
      </c>
      <c r="I544" s="71" t="s">
        <v>131</v>
      </c>
      <c r="J544" s="389" t="s">
        <v>797</v>
      </c>
      <c r="K544" s="71" t="s">
        <v>131</v>
      </c>
      <c r="L544" s="71" t="s">
        <v>134</v>
      </c>
      <c r="M544" s="71" t="s">
        <v>735</v>
      </c>
      <c r="N544" s="80" t="s">
        <v>28</v>
      </c>
      <c r="O544" s="295">
        <v>-1120</v>
      </c>
      <c r="P544" s="75"/>
      <c r="Z544" s="16"/>
      <c r="AA544" s="16"/>
      <c r="AB544" s="16"/>
    </row>
    <row r="545" spans="2:29" ht="21.75" hidden="1" customHeight="1">
      <c r="B545" s="376">
        <v>46183</v>
      </c>
      <c r="C545" s="377" t="str">
        <f t="shared" si="8"/>
        <v>Junho</v>
      </c>
      <c r="D545" s="378" t="s">
        <v>386</v>
      </c>
      <c r="E545" s="379" t="s">
        <v>468</v>
      </c>
      <c r="F545" s="380" t="s">
        <v>131</v>
      </c>
      <c r="G545" s="342" t="s">
        <v>480</v>
      </c>
      <c r="H545" s="378" t="s">
        <v>1008</v>
      </c>
      <c r="I545" s="342" t="s">
        <v>131</v>
      </c>
      <c r="J545" s="112" t="s">
        <v>131</v>
      </c>
      <c r="K545" s="343" t="s">
        <v>131</v>
      </c>
      <c r="L545" s="342" t="s">
        <v>131</v>
      </c>
      <c r="M545" s="342" t="s">
        <v>730</v>
      </c>
      <c r="N545" s="381" t="s">
        <v>521</v>
      </c>
      <c r="O545" s="295">
        <v>3625</v>
      </c>
      <c r="P545" s="75"/>
      <c r="Z545" s="16"/>
      <c r="AA545" s="16"/>
      <c r="AB545" s="16"/>
    </row>
    <row r="546" spans="2:29" ht="21.75" hidden="1" customHeight="1">
      <c r="B546" s="68">
        <v>46184</v>
      </c>
      <c r="C546" s="69" t="str">
        <f t="shared" si="8"/>
        <v>Junho</v>
      </c>
      <c r="D546" s="77" t="s">
        <v>508</v>
      </c>
      <c r="E546" s="72" t="s">
        <v>497</v>
      </c>
      <c r="F546" s="70" t="s">
        <v>534</v>
      </c>
      <c r="G546" s="71" t="s">
        <v>1090</v>
      </c>
      <c r="H546" s="77" t="s">
        <v>1324</v>
      </c>
      <c r="I546" s="71" t="s">
        <v>595</v>
      </c>
      <c r="J546" s="393" t="s">
        <v>1358</v>
      </c>
      <c r="K546" s="73" t="s">
        <v>765</v>
      </c>
      <c r="L546" s="71" t="s">
        <v>137</v>
      </c>
      <c r="M546" s="71" t="s">
        <v>730</v>
      </c>
      <c r="N546" s="80" t="s">
        <v>151</v>
      </c>
      <c r="O546" s="295">
        <v>-3625</v>
      </c>
      <c r="P546" s="75"/>
      <c r="Z546" s="16"/>
      <c r="AA546" s="16"/>
      <c r="AB546" s="16"/>
    </row>
    <row r="547" spans="2:29" s="465" customFormat="1" ht="21.75" hidden="1" customHeight="1">
      <c r="B547" s="68">
        <v>46184</v>
      </c>
      <c r="C547" s="69" t="str">
        <f t="shared" si="8"/>
        <v>Junho</v>
      </c>
      <c r="D547" s="77" t="s">
        <v>302</v>
      </c>
      <c r="E547" s="72" t="s">
        <v>436</v>
      </c>
      <c r="F547" s="70" t="s">
        <v>138</v>
      </c>
      <c r="G547" s="71" t="s">
        <v>480</v>
      </c>
      <c r="H547" s="379" t="s">
        <v>482</v>
      </c>
      <c r="I547" s="71" t="s">
        <v>131</v>
      </c>
      <c r="J547" s="389" t="s">
        <v>796</v>
      </c>
      <c r="K547" s="71" t="s">
        <v>131</v>
      </c>
      <c r="L547" s="71" t="s">
        <v>197</v>
      </c>
      <c r="M547" s="71" t="s">
        <v>730</v>
      </c>
      <c r="N547" s="80" t="s">
        <v>151</v>
      </c>
      <c r="O547" s="295">
        <v>-56.5</v>
      </c>
      <c r="P547" s="296"/>
      <c r="Y547" s="45"/>
      <c r="AC547" s="45"/>
    </row>
    <row r="548" spans="2:29" ht="21.75" hidden="1" customHeight="1">
      <c r="B548" s="376">
        <v>46188</v>
      </c>
      <c r="C548" s="377" t="str">
        <f t="shared" si="8"/>
        <v>Junho</v>
      </c>
      <c r="D548" s="378" t="s">
        <v>508</v>
      </c>
      <c r="E548" s="379" t="s">
        <v>497</v>
      </c>
      <c r="F548" s="380" t="s">
        <v>534</v>
      </c>
      <c r="G548" s="342" t="s">
        <v>1263</v>
      </c>
      <c r="H548" s="369" t="s">
        <v>1264</v>
      </c>
      <c r="I548" s="342" t="s">
        <v>595</v>
      </c>
      <c r="J548" s="342" t="s">
        <v>1364</v>
      </c>
      <c r="K548" s="343" t="s">
        <v>779</v>
      </c>
      <c r="L548" s="342" t="s">
        <v>1046</v>
      </c>
      <c r="M548" s="71" t="s">
        <v>730</v>
      </c>
      <c r="N548" s="381" t="s">
        <v>28</v>
      </c>
      <c r="O548" s="295">
        <v>-146.75</v>
      </c>
      <c r="P548" s="75"/>
      <c r="Z548" s="16"/>
      <c r="AA548" s="16"/>
      <c r="AB548" s="16"/>
    </row>
    <row r="549" spans="2:29" ht="21.75" hidden="1" customHeight="1">
      <c r="B549" s="68">
        <v>46188</v>
      </c>
      <c r="C549" s="69" t="str">
        <f t="shared" si="8"/>
        <v>Junho</v>
      </c>
      <c r="D549" s="77" t="s">
        <v>298</v>
      </c>
      <c r="E549" s="72" t="s">
        <v>440</v>
      </c>
      <c r="F549" s="70" t="s">
        <v>136</v>
      </c>
      <c r="G549" s="19" t="s">
        <v>425</v>
      </c>
      <c r="H549" s="369" t="s">
        <v>251</v>
      </c>
      <c r="I549" s="71" t="s">
        <v>131</v>
      </c>
      <c r="J549" s="112" t="s">
        <v>131</v>
      </c>
      <c r="K549" s="112" t="s">
        <v>279</v>
      </c>
      <c r="L549" s="71" t="s">
        <v>1046</v>
      </c>
      <c r="M549" s="71" t="s">
        <v>735</v>
      </c>
      <c r="N549" s="80" t="s">
        <v>28</v>
      </c>
      <c r="O549" s="295">
        <v>-24.16</v>
      </c>
      <c r="P549" s="75"/>
      <c r="Z549" s="16"/>
      <c r="AA549" s="16"/>
      <c r="AB549" s="16"/>
    </row>
    <row r="550" spans="2:29" ht="21.75" hidden="1" customHeight="1">
      <c r="B550" s="68">
        <v>46188</v>
      </c>
      <c r="C550" s="69" t="str">
        <f t="shared" si="8"/>
        <v>Junho</v>
      </c>
      <c r="D550" s="77" t="s">
        <v>298</v>
      </c>
      <c r="E550" s="72" t="s">
        <v>440</v>
      </c>
      <c r="F550" s="70" t="s">
        <v>136</v>
      </c>
      <c r="G550" s="19" t="s">
        <v>426</v>
      </c>
      <c r="H550" s="369" t="s">
        <v>252</v>
      </c>
      <c r="I550" s="71" t="s">
        <v>131</v>
      </c>
      <c r="J550" s="342" t="s">
        <v>1441</v>
      </c>
      <c r="K550" s="112" t="s">
        <v>275</v>
      </c>
      <c r="L550" s="71" t="s">
        <v>1046</v>
      </c>
      <c r="M550" s="71" t="s">
        <v>735</v>
      </c>
      <c r="N550" s="80" t="s">
        <v>28</v>
      </c>
      <c r="O550" s="295">
        <v>-413.38</v>
      </c>
      <c r="P550" s="75"/>
      <c r="Z550" s="16"/>
      <c r="AA550" s="16"/>
      <c r="AB550" s="16"/>
    </row>
    <row r="551" spans="2:29" ht="21.75" hidden="1" customHeight="1">
      <c r="B551" s="68">
        <v>46188</v>
      </c>
      <c r="C551" s="69" t="str">
        <f t="shared" si="8"/>
        <v>Junho</v>
      </c>
      <c r="D551" s="77" t="s">
        <v>300</v>
      </c>
      <c r="E551" s="72" t="s">
        <v>432</v>
      </c>
      <c r="F551" s="70" t="s">
        <v>136</v>
      </c>
      <c r="G551" s="19" t="s">
        <v>434</v>
      </c>
      <c r="H551" s="369" t="s">
        <v>154</v>
      </c>
      <c r="I551" s="71" t="s">
        <v>131</v>
      </c>
      <c r="J551" s="175" t="s">
        <v>209</v>
      </c>
      <c r="K551" s="112" t="s">
        <v>131</v>
      </c>
      <c r="L551" s="71" t="s">
        <v>1046</v>
      </c>
      <c r="M551" s="71" t="s">
        <v>735</v>
      </c>
      <c r="N551" s="80" t="s">
        <v>28</v>
      </c>
      <c r="O551" s="295">
        <v>-235.52</v>
      </c>
      <c r="P551" s="75"/>
      <c r="Z551" s="16"/>
      <c r="AA551" s="16"/>
      <c r="AB551" s="16"/>
    </row>
    <row r="552" spans="2:29" ht="21.75" hidden="1" customHeight="1">
      <c r="B552" s="68">
        <v>46188</v>
      </c>
      <c r="C552" s="69" t="str">
        <f t="shared" si="8"/>
        <v>Junho</v>
      </c>
      <c r="D552" s="77" t="s">
        <v>300</v>
      </c>
      <c r="E552" s="72" t="s">
        <v>433</v>
      </c>
      <c r="F552" s="70" t="s">
        <v>136</v>
      </c>
      <c r="G552" s="19" t="s">
        <v>142</v>
      </c>
      <c r="H552" s="369" t="s">
        <v>155</v>
      </c>
      <c r="I552" s="71" t="s">
        <v>131</v>
      </c>
      <c r="J552" s="367" t="s">
        <v>209</v>
      </c>
      <c r="K552" s="112" t="s">
        <v>131</v>
      </c>
      <c r="L552" s="71" t="s">
        <v>137</v>
      </c>
      <c r="M552" s="71" t="s">
        <v>735</v>
      </c>
      <c r="N552" s="80" t="s">
        <v>28</v>
      </c>
      <c r="O552" s="295">
        <v>-1165.5899999999999</v>
      </c>
      <c r="P552" s="75"/>
      <c r="Z552" s="16"/>
      <c r="AA552" s="16"/>
      <c r="AB552" s="16"/>
    </row>
    <row r="553" spans="2:29" ht="21.75" hidden="1" customHeight="1">
      <c r="B553" s="68">
        <v>46188</v>
      </c>
      <c r="C553" s="69" t="str">
        <f t="shared" si="8"/>
        <v>Junho</v>
      </c>
      <c r="D553" s="77" t="s">
        <v>508</v>
      </c>
      <c r="E553" s="72" t="s">
        <v>497</v>
      </c>
      <c r="F553" s="70" t="s">
        <v>534</v>
      </c>
      <c r="G553" s="71" t="s">
        <v>1305</v>
      </c>
      <c r="H553" s="369" t="s">
        <v>1360</v>
      </c>
      <c r="I553" s="71" t="s">
        <v>595</v>
      </c>
      <c r="J553" s="389" t="s">
        <v>1236</v>
      </c>
      <c r="K553" s="73" t="s">
        <v>1239</v>
      </c>
      <c r="L553" s="71" t="s">
        <v>1046</v>
      </c>
      <c r="M553" s="71" t="s">
        <v>730</v>
      </c>
      <c r="N553" s="80" t="s">
        <v>28</v>
      </c>
      <c r="O553" s="295">
        <v>-2288.37</v>
      </c>
      <c r="P553" s="75"/>
      <c r="Z553" s="16"/>
      <c r="AA553" s="16"/>
      <c r="AB553" s="16"/>
    </row>
    <row r="554" spans="2:29" ht="21.75" hidden="1" customHeight="1">
      <c r="B554" s="68">
        <v>46188</v>
      </c>
      <c r="C554" s="69" t="str">
        <f t="shared" si="8"/>
        <v>Junho</v>
      </c>
      <c r="D554" s="77" t="s">
        <v>302</v>
      </c>
      <c r="E554" s="72" t="s">
        <v>1408</v>
      </c>
      <c r="F554" s="70" t="s">
        <v>136</v>
      </c>
      <c r="G554" s="71" t="s">
        <v>480</v>
      </c>
      <c r="H554" s="77" t="s">
        <v>1391</v>
      </c>
      <c r="I554" s="71" t="s">
        <v>131</v>
      </c>
      <c r="J554" s="521" t="s">
        <v>786</v>
      </c>
      <c r="K554" s="73" t="s">
        <v>275</v>
      </c>
      <c r="L554" s="71" t="s">
        <v>1046</v>
      </c>
      <c r="M554" s="71" t="s">
        <v>730</v>
      </c>
      <c r="N554" s="381" t="s">
        <v>28</v>
      </c>
      <c r="O554" s="74">
        <v>-12.5</v>
      </c>
      <c r="P554" s="75"/>
      <c r="Z554" s="16"/>
      <c r="AA554" s="16"/>
      <c r="AB554" s="16"/>
    </row>
    <row r="555" spans="2:29" ht="21.75" hidden="1" customHeight="1">
      <c r="B555" s="68">
        <v>46188</v>
      </c>
      <c r="C555" s="69" t="str">
        <f t="shared" si="8"/>
        <v>Junho</v>
      </c>
      <c r="D555" s="77" t="s">
        <v>508</v>
      </c>
      <c r="E555" s="72" t="s">
        <v>497</v>
      </c>
      <c r="F555" s="70" t="s">
        <v>534</v>
      </c>
      <c r="G555" s="71" t="s">
        <v>1417</v>
      </c>
      <c r="H555" s="369" t="s">
        <v>1418</v>
      </c>
      <c r="I555" s="71" t="s">
        <v>595</v>
      </c>
      <c r="J555" s="528" t="s">
        <v>1419</v>
      </c>
      <c r="K555" s="73" t="s">
        <v>273</v>
      </c>
      <c r="L555" s="71" t="s">
        <v>1046</v>
      </c>
      <c r="M555" s="71" t="s">
        <v>730</v>
      </c>
      <c r="N555" s="80" t="s">
        <v>28</v>
      </c>
      <c r="O555" s="295">
        <v>-1050.5</v>
      </c>
      <c r="P555" s="75"/>
      <c r="Z555" s="16"/>
      <c r="AA555" s="16"/>
      <c r="AB555" s="16"/>
    </row>
    <row r="556" spans="2:29" ht="21.75" hidden="1" customHeight="1">
      <c r="B556" s="68">
        <v>46188</v>
      </c>
      <c r="C556" s="69" t="str">
        <f t="shared" si="8"/>
        <v>Junho</v>
      </c>
      <c r="D556" s="77" t="s">
        <v>508</v>
      </c>
      <c r="E556" s="72" t="s">
        <v>497</v>
      </c>
      <c r="F556" s="70" t="s">
        <v>534</v>
      </c>
      <c r="G556" s="71" t="s">
        <v>1420</v>
      </c>
      <c r="H556" s="369" t="s">
        <v>1421</v>
      </c>
      <c r="I556" s="71" t="s">
        <v>595</v>
      </c>
      <c r="J556" s="528" t="s">
        <v>1424</v>
      </c>
      <c r="K556" s="73" t="s">
        <v>273</v>
      </c>
      <c r="L556" s="71" t="s">
        <v>1046</v>
      </c>
      <c r="M556" s="71" t="s">
        <v>730</v>
      </c>
      <c r="N556" s="80" t="s">
        <v>28</v>
      </c>
      <c r="O556" s="295">
        <v>-600.99</v>
      </c>
      <c r="P556" s="75"/>
      <c r="Z556" s="16"/>
      <c r="AA556" s="16"/>
      <c r="AB556" s="16"/>
    </row>
    <row r="557" spans="2:29" ht="21.75" hidden="1" customHeight="1">
      <c r="B557" s="376">
        <v>46190</v>
      </c>
      <c r="C557" s="377" t="str">
        <f t="shared" si="8"/>
        <v>Junho</v>
      </c>
      <c r="D557" s="378" t="s">
        <v>386</v>
      </c>
      <c r="E557" s="379" t="s">
        <v>468</v>
      </c>
      <c r="F557" s="380" t="s">
        <v>131</v>
      </c>
      <c r="G557" s="342" t="s">
        <v>480</v>
      </c>
      <c r="H557" s="378" t="s">
        <v>1008</v>
      </c>
      <c r="I557" s="342" t="s">
        <v>131</v>
      </c>
      <c r="J557" s="112" t="s">
        <v>131</v>
      </c>
      <c r="K557" s="343" t="s">
        <v>131</v>
      </c>
      <c r="L557" s="342" t="s">
        <v>131</v>
      </c>
      <c r="M557" s="342" t="s">
        <v>730</v>
      </c>
      <c r="N557" s="381" t="s">
        <v>521</v>
      </c>
      <c r="O557" s="295">
        <v>2511.41</v>
      </c>
      <c r="P557" s="75"/>
      <c r="Z557" s="16"/>
      <c r="AA557" s="16"/>
      <c r="AB557" s="16"/>
    </row>
    <row r="558" spans="2:29" ht="21.75" hidden="1" customHeight="1">
      <c r="B558" s="68">
        <v>46191</v>
      </c>
      <c r="C558" s="69" t="str">
        <f t="shared" si="8"/>
        <v>Junho</v>
      </c>
      <c r="D558" s="77" t="s">
        <v>508</v>
      </c>
      <c r="E558" s="72" t="s">
        <v>497</v>
      </c>
      <c r="F558" s="70" t="s">
        <v>534</v>
      </c>
      <c r="G558" s="19" t="s">
        <v>1029</v>
      </c>
      <c r="H558" s="369" t="s">
        <v>1030</v>
      </c>
      <c r="I558" s="71" t="s">
        <v>595</v>
      </c>
      <c r="J558" s="343" t="s">
        <v>1032</v>
      </c>
      <c r="K558" s="112" t="s">
        <v>289</v>
      </c>
      <c r="L558" s="71" t="s">
        <v>137</v>
      </c>
      <c r="M558" s="71" t="s">
        <v>730</v>
      </c>
      <c r="N558" s="80" t="s">
        <v>151</v>
      </c>
      <c r="O558" s="295">
        <v>-2511.41</v>
      </c>
      <c r="P558" s="75"/>
      <c r="Z558" s="16"/>
      <c r="AA558" s="16"/>
      <c r="AB558" s="16"/>
    </row>
    <row r="559" spans="2:29" ht="21.75" hidden="1" customHeight="1">
      <c r="B559" s="376">
        <v>46192</v>
      </c>
      <c r="C559" s="377" t="str">
        <f t="shared" si="8"/>
        <v>Junho</v>
      </c>
      <c r="D559" s="378" t="s">
        <v>386</v>
      </c>
      <c r="E559" s="379" t="s">
        <v>468</v>
      </c>
      <c r="F559" s="380" t="s">
        <v>131</v>
      </c>
      <c r="G559" s="342" t="s">
        <v>480</v>
      </c>
      <c r="H559" s="378" t="s">
        <v>1008</v>
      </c>
      <c r="I559" s="342" t="s">
        <v>131</v>
      </c>
      <c r="J559" s="112" t="s">
        <v>131</v>
      </c>
      <c r="K559" s="343" t="s">
        <v>131</v>
      </c>
      <c r="L559" s="342" t="s">
        <v>131</v>
      </c>
      <c r="M559" s="342" t="s">
        <v>730</v>
      </c>
      <c r="N559" s="381" t="s">
        <v>521</v>
      </c>
      <c r="O559" s="295">
        <v>1911.52</v>
      </c>
      <c r="P559" s="75"/>
      <c r="Z559" s="16"/>
      <c r="AA559" s="16"/>
      <c r="AB559" s="16"/>
    </row>
    <row r="560" spans="2:29" ht="21.75" hidden="1" customHeight="1">
      <c r="B560" s="68">
        <v>46193</v>
      </c>
      <c r="C560" s="69" t="str">
        <f t="shared" si="8"/>
        <v>Junho</v>
      </c>
      <c r="D560" s="77" t="s">
        <v>508</v>
      </c>
      <c r="E560" s="72" t="s">
        <v>497</v>
      </c>
      <c r="F560" s="70" t="s">
        <v>534</v>
      </c>
      <c r="G560" s="71" t="s">
        <v>163</v>
      </c>
      <c r="H560" s="77" t="s">
        <v>1288</v>
      </c>
      <c r="I560" s="71" t="s">
        <v>595</v>
      </c>
      <c r="J560" s="367" t="s">
        <v>209</v>
      </c>
      <c r="K560" s="71" t="s">
        <v>131</v>
      </c>
      <c r="L560" s="71" t="s">
        <v>150</v>
      </c>
      <c r="M560" s="71" t="s">
        <v>730</v>
      </c>
      <c r="N560" s="80" t="s">
        <v>28</v>
      </c>
      <c r="O560" s="390">
        <v>-1200</v>
      </c>
      <c r="P560" s="75"/>
      <c r="Z560" s="16"/>
      <c r="AA560" s="16"/>
      <c r="AB560" s="16"/>
    </row>
    <row r="561" spans="2:28" ht="21.75" hidden="1" customHeight="1">
      <c r="B561" s="68">
        <v>46193</v>
      </c>
      <c r="C561" s="69" t="str">
        <f t="shared" si="8"/>
        <v>Junho</v>
      </c>
      <c r="D561" s="77" t="s">
        <v>299</v>
      </c>
      <c r="E561" s="72" t="s">
        <v>764</v>
      </c>
      <c r="F561" s="70" t="s">
        <v>138</v>
      </c>
      <c r="G561" s="19" t="s">
        <v>139</v>
      </c>
      <c r="H561" s="369" t="s">
        <v>49</v>
      </c>
      <c r="I561" s="71" t="s">
        <v>131</v>
      </c>
      <c r="J561" s="343" t="s">
        <v>792</v>
      </c>
      <c r="K561" s="112" t="s">
        <v>131</v>
      </c>
      <c r="L561" s="71" t="s">
        <v>150</v>
      </c>
      <c r="M561" s="71" t="s">
        <v>735</v>
      </c>
      <c r="N561" s="80" t="s">
        <v>28</v>
      </c>
      <c r="O561" s="295">
        <v>-400</v>
      </c>
      <c r="P561" s="75"/>
      <c r="Z561" s="16"/>
      <c r="AA561" s="16"/>
      <c r="AB561" s="16"/>
    </row>
    <row r="562" spans="2:28" ht="21.75" hidden="1" customHeight="1">
      <c r="B562" s="68">
        <v>46193</v>
      </c>
      <c r="C562" s="69" t="str">
        <f t="shared" si="8"/>
        <v>Junho</v>
      </c>
      <c r="D562" s="77" t="s">
        <v>299</v>
      </c>
      <c r="E562" s="72" t="s">
        <v>764</v>
      </c>
      <c r="F562" s="70" t="s">
        <v>138</v>
      </c>
      <c r="G562" s="19" t="s">
        <v>163</v>
      </c>
      <c r="H562" s="77" t="s">
        <v>50</v>
      </c>
      <c r="I562" s="71" t="s">
        <v>131</v>
      </c>
      <c r="J562" s="343" t="s">
        <v>792</v>
      </c>
      <c r="K562" s="71" t="s">
        <v>131</v>
      </c>
      <c r="L562" s="71" t="s">
        <v>150</v>
      </c>
      <c r="M562" s="71" t="s">
        <v>735</v>
      </c>
      <c r="N562" s="80" t="s">
        <v>28</v>
      </c>
      <c r="O562" s="295">
        <v>-1846.36</v>
      </c>
      <c r="P562" s="75"/>
      <c r="Z562" s="16"/>
      <c r="AA562" s="16"/>
      <c r="AB562" s="16"/>
    </row>
    <row r="563" spans="2:28" ht="21.75" hidden="1" customHeight="1">
      <c r="B563" s="68">
        <v>46193</v>
      </c>
      <c r="C563" s="69" t="str">
        <f t="shared" si="8"/>
        <v>Junho</v>
      </c>
      <c r="D563" s="77" t="s">
        <v>508</v>
      </c>
      <c r="E563" s="72" t="s">
        <v>497</v>
      </c>
      <c r="F563" s="70" t="s">
        <v>534</v>
      </c>
      <c r="G563" s="71" t="s">
        <v>163</v>
      </c>
      <c r="H563" s="77" t="s">
        <v>1288</v>
      </c>
      <c r="I563" s="71" t="s">
        <v>595</v>
      </c>
      <c r="J563" s="367" t="s">
        <v>209</v>
      </c>
      <c r="K563" s="71" t="s">
        <v>131</v>
      </c>
      <c r="L563" s="71" t="s">
        <v>150</v>
      </c>
      <c r="M563" s="71" t="s">
        <v>730</v>
      </c>
      <c r="N563" s="80" t="s">
        <v>28</v>
      </c>
      <c r="O563" s="390">
        <v>-1200</v>
      </c>
      <c r="P563" s="75"/>
      <c r="Z563" s="16"/>
      <c r="AA563" s="16"/>
      <c r="AB563" s="16"/>
    </row>
    <row r="564" spans="2:28" ht="21.75" hidden="1" customHeight="1">
      <c r="B564" s="376">
        <v>46195</v>
      </c>
      <c r="C564" s="377" t="str">
        <f t="shared" si="8"/>
        <v>Junho</v>
      </c>
      <c r="D564" s="378" t="s">
        <v>508</v>
      </c>
      <c r="E564" s="379" t="s">
        <v>497</v>
      </c>
      <c r="F564" s="380" t="s">
        <v>534</v>
      </c>
      <c r="G564" s="342" t="s">
        <v>1307</v>
      </c>
      <c r="H564" s="369" t="s">
        <v>1308</v>
      </c>
      <c r="I564" s="342" t="s">
        <v>595</v>
      </c>
      <c r="J564" s="366" t="s">
        <v>1309</v>
      </c>
      <c r="K564" s="384" t="s">
        <v>210</v>
      </c>
      <c r="L564" s="342" t="s">
        <v>137</v>
      </c>
      <c r="M564" s="71" t="s">
        <v>730</v>
      </c>
      <c r="N564" s="381" t="s">
        <v>151</v>
      </c>
      <c r="O564" s="295">
        <v>-1059.21</v>
      </c>
      <c r="P564" s="75"/>
      <c r="Z564" s="16"/>
      <c r="AA564" s="16"/>
      <c r="AB564" s="16"/>
    </row>
    <row r="565" spans="2:28" ht="21.75" hidden="1" customHeight="1">
      <c r="B565" s="376">
        <v>46195</v>
      </c>
      <c r="C565" s="377" t="str">
        <f t="shared" si="8"/>
        <v>Junho</v>
      </c>
      <c r="D565" s="378" t="s">
        <v>508</v>
      </c>
      <c r="E565" s="379" t="s">
        <v>497</v>
      </c>
      <c r="F565" s="380" t="s">
        <v>534</v>
      </c>
      <c r="G565" s="342" t="s">
        <v>1314</v>
      </c>
      <c r="H565" s="369" t="s">
        <v>1311</v>
      </c>
      <c r="I565" s="342" t="s">
        <v>595</v>
      </c>
      <c r="J565" s="366" t="s">
        <v>1310</v>
      </c>
      <c r="K565" s="384" t="s">
        <v>210</v>
      </c>
      <c r="L565" s="342" t="s">
        <v>137</v>
      </c>
      <c r="M565" s="71" t="s">
        <v>730</v>
      </c>
      <c r="N565" s="381" t="s">
        <v>151</v>
      </c>
      <c r="O565" s="295">
        <v>-852.3</v>
      </c>
      <c r="P565" s="75"/>
      <c r="Z565" s="16"/>
      <c r="AA565" s="16"/>
      <c r="AB565" s="16"/>
    </row>
    <row r="566" spans="2:28" ht="21.75" hidden="1" customHeight="1">
      <c r="B566" s="68">
        <v>46197</v>
      </c>
      <c r="C566" s="69" t="str">
        <f t="shared" si="8"/>
        <v>Junho</v>
      </c>
      <c r="D566" s="77" t="s">
        <v>509</v>
      </c>
      <c r="E566" s="72" t="s">
        <v>502</v>
      </c>
      <c r="F566" s="70" t="s">
        <v>138</v>
      </c>
      <c r="G566" s="71" t="s">
        <v>141</v>
      </c>
      <c r="H566" s="77" t="s">
        <v>187</v>
      </c>
      <c r="I566" s="71" t="s">
        <v>131</v>
      </c>
      <c r="J566" s="343" t="s">
        <v>796</v>
      </c>
      <c r="K566" s="73" t="s">
        <v>131</v>
      </c>
      <c r="L566" s="71" t="s">
        <v>134</v>
      </c>
      <c r="M566" s="71" t="s">
        <v>735</v>
      </c>
      <c r="N566" s="80" t="s">
        <v>28</v>
      </c>
      <c r="O566" s="295">
        <v>-8489.33</v>
      </c>
      <c r="P566" s="75"/>
      <c r="Z566" s="16"/>
      <c r="AA566" s="16"/>
      <c r="AB566" s="16"/>
    </row>
    <row r="567" spans="2:28" ht="21.75" hidden="1" customHeight="1">
      <c r="B567" s="68">
        <v>46203</v>
      </c>
      <c r="C567" s="69" t="str">
        <f t="shared" si="8"/>
        <v>Junho</v>
      </c>
      <c r="D567" s="77" t="s">
        <v>300</v>
      </c>
      <c r="E567" s="72" t="s">
        <v>478</v>
      </c>
      <c r="F567" s="70" t="s">
        <v>136</v>
      </c>
      <c r="G567" s="71" t="s">
        <v>136</v>
      </c>
      <c r="H567" s="77" t="s">
        <v>136</v>
      </c>
      <c r="I567" s="71" t="s">
        <v>131</v>
      </c>
      <c r="J567" s="389" t="s">
        <v>796</v>
      </c>
      <c r="K567" s="78" t="s">
        <v>131</v>
      </c>
      <c r="L567" s="71" t="s">
        <v>134</v>
      </c>
      <c r="M567" s="71" t="s">
        <v>735</v>
      </c>
      <c r="N567" s="80" t="s">
        <v>207</v>
      </c>
      <c r="O567" s="295">
        <f>-1*(SUMIFS(Aramburu_Mensal!$O$6:$O$984,Aramburu_Mensal!$C$6:$C$984,"Junho",Aramburu_Mensal!$F$6:$F$984,"Despesas Variáveis",Aramburu_Mensal!$N$6:$N$984,"A pagar")+SUMIFS(Aramburu_Mensal!$O$6:$O$984,Aramburu_Mensal!$C$6:$C$984,"Junho",Aramburu_Mensal!$F$6:$F$984,"Despesas Variáveis",Aramburu_Mensal!$N$6:$N$984,"Pago")+SUMIFS(Aramburu_Mensal!$O$6:$O$984,Aramburu_Mensal!$C$6:$C$984,"Junho",Aramburu_Mensal!$F$6:$F$984,"Despesas Variáveis",Aramburu_Mensal!$N$6:$N$984,"Provisionado"))-20000</f>
        <v>-16928.849999999999</v>
      </c>
      <c r="P567" s="75"/>
      <c r="Z567" s="16"/>
      <c r="AA567" s="16"/>
      <c r="AB567" s="16"/>
    </row>
    <row r="568" spans="2:28" ht="21.75" hidden="1" customHeight="1">
      <c r="B568" s="68">
        <v>46204</v>
      </c>
      <c r="C568" s="69" t="str">
        <f t="shared" si="8"/>
        <v>Julho</v>
      </c>
      <c r="D568" s="77" t="s">
        <v>299</v>
      </c>
      <c r="E568" s="72" t="s">
        <v>303</v>
      </c>
      <c r="F568" s="70" t="s">
        <v>138</v>
      </c>
      <c r="G568" s="71" t="s">
        <v>147</v>
      </c>
      <c r="H568" s="77" t="s">
        <v>629</v>
      </c>
      <c r="I568" s="71" t="s">
        <v>131</v>
      </c>
      <c r="J568" s="367" t="s">
        <v>209</v>
      </c>
      <c r="K568" s="71" t="s">
        <v>131</v>
      </c>
      <c r="L568" s="71" t="s">
        <v>137</v>
      </c>
      <c r="M568" s="71" t="s">
        <v>735</v>
      </c>
      <c r="N568" s="80" t="s">
        <v>28</v>
      </c>
      <c r="O568" s="295">
        <v>-700</v>
      </c>
      <c r="P568" s="75"/>
      <c r="Z568" s="16"/>
      <c r="AA568" s="16"/>
      <c r="AB568" s="16"/>
    </row>
    <row r="569" spans="2:28" ht="21.75" hidden="1" customHeight="1">
      <c r="B569" s="68">
        <v>46204</v>
      </c>
      <c r="C569" s="69" t="str">
        <f t="shared" si="8"/>
        <v>Julho</v>
      </c>
      <c r="D569" s="77" t="s">
        <v>298</v>
      </c>
      <c r="E569" s="72" t="s">
        <v>439</v>
      </c>
      <c r="F569" s="70" t="s">
        <v>136</v>
      </c>
      <c r="G569" s="19" t="s">
        <v>530</v>
      </c>
      <c r="H569" s="77" t="s">
        <v>799</v>
      </c>
      <c r="I569" s="71" t="s">
        <v>131</v>
      </c>
      <c r="J569" s="343">
        <v>2026</v>
      </c>
      <c r="K569" s="71" t="s">
        <v>131</v>
      </c>
      <c r="L569" s="71" t="s">
        <v>150</v>
      </c>
      <c r="M569" s="71" t="s">
        <v>735</v>
      </c>
      <c r="N569" s="80" t="s">
        <v>28</v>
      </c>
      <c r="O569" s="295">
        <v>-124.2</v>
      </c>
      <c r="P569" s="75"/>
      <c r="Z569" s="16"/>
      <c r="AA569" s="16"/>
      <c r="AB569" s="16"/>
    </row>
    <row r="570" spans="2:28" ht="21.75" hidden="1" customHeight="1">
      <c r="B570" s="68">
        <v>46204</v>
      </c>
      <c r="C570" s="69" t="str">
        <f t="shared" si="8"/>
        <v>Julho</v>
      </c>
      <c r="D570" s="77" t="s">
        <v>509</v>
      </c>
      <c r="E570" s="72" t="s">
        <v>500</v>
      </c>
      <c r="F570" s="70" t="s">
        <v>131</v>
      </c>
      <c r="G570" s="71" t="s">
        <v>132</v>
      </c>
      <c r="H570" s="77" t="s">
        <v>133</v>
      </c>
      <c r="I570" s="71" t="s">
        <v>131</v>
      </c>
      <c r="J570" s="343" t="s">
        <v>798</v>
      </c>
      <c r="K570" s="71" t="s">
        <v>131</v>
      </c>
      <c r="L570" s="71" t="s">
        <v>134</v>
      </c>
      <c r="M570" s="71" t="s">
        <v>735</v>
      </c>
      <c r="N570" s="80" t="s">
        <v>266</v>
      </c>
      <c r="O570" s="295">
        <f>-1*(SUMIFS('Distribuição de Lucro_Mensal'!$I$6:$I$680,'Distribuição de Lucro_Mensal'!$D$6:$D$680,"julho",'Distribuição de Lucro_Mensal'!$K$6:$K$680,"Provisionado"))</f>
        <v>-71397.739999999991</v>
      </c>
      <c r="P570" s="75"/>
      <c r="Z570" s="16"/>
      <c r="AA570" s="16"/>
      <c r="AB570" s="16"/>
    </row>
    <row r="571" spans="2:28" ht="21.75" hidden="1" customHeight="1">
      <c r="B571" s="68">
        <v>46204</v>
      </c>
      <c r="C571" s="69" t="str">
        <f t="shared" si="8"/>
        <v>Julho</v>
      </c>
      <c r="D571" s="77" t="s">
        <v>302</v>
      </c>
      <c r="E571" s="72" t="s">
        <v>436</v>
      </c>
      <c r="F571" s="70" t="s">
        <v>138</v>
      </c>
      <c r="G571" s="71" t="s">
        <v>480</v>
      </c>
      <c r="H571" s="77" t="s">
        <v>484</v>
      </c>
      <c r="I571" s="71" t="s">
        <v>131</v>
      </c>
      <c r="J571" s="389" t="s">
        <v>798</v>
      </c>
      <c r="K571" s="78" t="s">
        <v>131</v>
      </c>
      <c r="L571" s="71" t="s">
        <v>197</v>
      </c>
      <c r="M571" s="71" t="s">
        <v>730</v>
      </c>
      <c r="N571" s="80" t="s">
        <v>151</v>
      </c>
      <c r="O571" s="295">
        <v>-100</v>
      </c>
      <c r="P571" s="75"/>
      <c r="Z571" s="16"/>
      <c r="AA571" s="16"/>
      <c r="AB571" s="16"/>
    </row>
    <row r="572" spans="2:28" ht="21.75" hidden="1" customHeight="1">
      <c r="B572" s="68">
        <v>46204</v>
      </c>
      <c r="C572" s="69" t="str">
        <f t="shared" si="8"/>
        <v>Julho</v>
      </c>
      <c r="D572" s="77" t="s">
        <v>386</v>
      </c>
      <c r="E572" s="72" t="s">
        <v>468</v>
      </c>
      <c r="F572" s="70" t="s">
        <v>131</v>
      </c>
      <c r="G572" s="19" t="s">
        <v>480</v>
      </c>
      <c r="H572" s="72" t="s">
        <v>1008</v>
      </c>
      <c r="I572" s="71" t="s">
        <v>131</v>
      </c>
      <c r="J572" s="343" t="s">
        <v>131</v>
      </c>
      <c r="K572" s="71" t="s">
        <v>131</v>
      </c>
      <c r="L572" s="71" t="s">
        <v>131</v>
      </c>
      <c r="M572" s="71" t="s">
        <v>730</v>
      </c>
      <c r="N572" s="80" t="s">
        <v>161</v>
      </c>
      <c r="O572" s="295">
        <f>-1*(SUMIFS($O$6:$O$1198,$C$6:$C$1198,"Julho",$F$6:$F$1198,"Despesas Eventuais",$M$6:$M$1198,"Cooperativa Sicredi (0913)",$N$6:$N$1198,"Provisionado"))</f>
        <v>8286.61</v>
      </c>
      <c r="P572" s="75"/>
      <c r="Z572" s="16"/>
      <c r="AA572" s="16"/>
      <c r="AB572" s="16"/>
    </row>
    <row r="573" spans="2:28" ht="21.75" hidden="1" customHeight="1">
      <c r="B573" s="68">
        <v>46204</v>
      </c>
      <c r="C573" s="69" t="str">
        <f t="shared" si="8"/>
        <v>Julho</v>
      </c>
      <c r="D573" s="77" t="s">
        <v>509</v>
      </c>
      <c r="E573" s="72" t="s">
        <v>500</v>
      </c>
      <c r="F573" s="70" t="s">
        <v>131</v>
      </c>
      <c r="G573" s="71" t="s">
        <v>132</v>
      </c>
      <c r="H573" s="72" t="s">
        <v>133</v>
      </c>
      <c r="I573" s="71" t="s">
        <v>131</v>
      </c>
      <c r="J573" s="343" t="s">
        <v>798</v>
      </c>
      <c r="K573" s="73" t="s">
        <v>131</v>
      </c>
      <c r="L573" s="71" t="s">
        <v>134</v>
      </c>
      <c r="M573" s="71" t="s">
        <v>735</v>
      </c>
      <c r="N573" s="80" t="s">
        <v>266</v>
      </c>
      <c r="O573" s="295">
        <f>-1*(SUMIFS('Distribuição de Lucro_Mensal'!$I$6:$I$680,'Distribuição de Lucro_Mensal'!$D$6:$D$680,"julho",'Distribuição de Lucro_Mensal'!$K$6:$K$680,"A pagar"))</f>
        <v>0</v>
      </c>
      <c r="P573" s="75"/>
      <c r="Z573" s="16"/>
      <c r="AA573" s="16"/>
      <c r="AB573" s="16"/>
    </row>
    <row r="574" spans="2:28" ht="21.75" hidden="1" customHeight="1">
      <c r="B574" s="68">
        <v>46208</v>
      </c>
      <c r="C574" s="69" t="str">
        <f t="shared" si="8"/>
        <v>Julho</v>
      </c>
      <c r="D574" s="77" t="s">
        <v>298</v>
      </c>
      <c r="E574" s="72" t="s">
        <v>513</v>
      </c>
      <c r="F574" s="70" t="s">
        <v>138</v>
      </c>
      <c r="G574" s="71" t="s">
        <v>140</v>
      </c>
      <c r="H574" s="77" t="s">
        <v>152</v>
      </c>
      <c r="I574" s="71" t="s">
        <v>131</v>
      </c>
      <c r="J574" s="367" t="s">
        <v>209</v>
      </c>
      <c r="K574" s="78" t="s">
        <v>131</v>
      </c>
      <c r="L574" s="71" t="s">
        <v>137</v>
      </c>
      <c r="M574" s="71" t="s">
        <v>735</v>
      </c>
      <c r="N574" s="80" t="s">
        <v>28</v>
      </c>
      <c r="O574" s="295">
        <v>-4885</v>
      </c>
      <c r="P574" s="75"/>
      <c r="Z574" s="16"/>
      <c r="AA574" s="16"/>
      <c r="AB574" s="16"/>
    </row>
    <row r="575" spans="2:28" ht="21.75" hidden="1" customHeight="1">
      <c r="B575" s="68">
        <v>46208</v>
      </c>
      <c r="C575" s="69" t="str">
        <f t="shared" si="8"/>
        <v>Julho</v>
      </c>
      <c r="D575" s="77" t="s">
        <v>301</v>
      </c>
      <c r="E575" s="72" t="s">
        <v>526</v>
      </c>
      <c r="F575" s="70" t="s">
        <v>136</v>
      </c>
      <c r="G575" s="71" t="s">
        <v>548</v>
      </c>
      <c r="H575" s="77" t="s">
        <v>549</v>
      </c>
      <c r="I575" s="71" t="s">
        <v>131</v>
      </c>
      <c r="J575" s="367" t="s">
        <v>209</v>
      </c>
      <c r="K575" s="71" t="s">
        <v>131</v>
      </c>
      <c r="L575" s="71" t="s">
        <v>134</v>
      </c>
      <c r="M575" s="71" t="s">
        <v>735</v>
      </c>
      <c r="N575" s="80" t="s">
        <v>28</v>
      </c>
      <c r="O575" s="295">
        <v>-70</v>
      </c>
      <c r="P575" s="75"/>
      <c r="Z575" s="16"/>
      <c r="AA575" s="16"/>
      <c r="AB575" s="16"/>
    </row>
    <row r="576" spans="2:28" ht="21.75" hidden="1" customHeight="1">
      <c r="B576" s="68">
        <v>46208</v>
      </c>
      <c r="C576" s="69" t="str">
        <f t="shared" si="8"/>
        <v>Julho</v>
      </c>
      <c r="D576" s="77" t="s">
        <v>299</v>
      </c>
      <c r="E576" s="72" t="s">
        <v>757</v>
      </c>
      <c r="F576" s="70" t="s">
        <v>138</v>
      </c>
      <c r="G576" s="71" t="s">
        <v>148</v>
      </c>
      <c r="H576" s="72" t="s">
        <v>177</v>
      </c>
      <c r="I576" s="71" t="s">
        <v>131</v>
      </c>
      <c r="J576" s="389" t="s">
        <v>796</v>
      </c>
      <c r="K576" s="73" t="s">
        <v>131</v>
      </c>
      <c r="L576" s="71" t="s">
        <v>134</v>
      </c>
      <c r="M576" s="71" t="s">
        <v>735</v>
      </c>
      <c r="N576" s="80" t="s">
        <v>28</v>
      </c>
      <c r="O576" s="295">
        <v>-4498.5</v>
      </c>
      <c r="P576" s="75"/>
      <c r="Z576" s="16"/>
      <c r="AA576" s="16"/>
      <c r="AB576" s="16"/>
    </row>
    <row r="577" spans="2:29" ht="21.75" hidden="1" customHeight="1">
      <c r="B577" s="376">
        <v>46209</v>
      </c>
      <c r="C577" s="377" t="str">
        <f t="shared" si="8"/>
        <v>Julho</v>
      </c>
      <c r="D577" s="378" t="s">
        <v>386</v>
      </c>
      <c r="E577" s="379" t="s">
        <v>468</v>
      </c>
      <c r="F577" s="380" t="s">
        <v>131</v>
      </c>
      <c r="G577" s="342" t="s">
        <v>480</v>
      </c>
      <c r="H577" s="378" t="s">
        <v>1008</v>
      </c>
      <c r="I577" s="342" t="s">
        <v>131</v>
      </c>
      <c r="J577" s="112" t="s">
        <v>131</v>
      </c>
      <c r="K577" s="343" t="s">
        <v>131</v>
      </c>
      <c r="L577" s="342" t="s">
        <v>131</v>
      </c>
      <c r="M577" s="342" t="s">
        <v>730</v>
      </c>
      <c r="N577" s="381" t="s">
        <v>521</v>
      </c>
      <c r="O577" s="295">
        <v>3187.33</v>
      </c>
      <c r="P577" s="75"/>
      <c r="Z577" s="16"/>
      <c r="AA577" s="16"/>
      <c r="AB577" s="16"/>
    </row>
    <row r="578" spans="2:29" ht="21.75" hidden="1" customHeight="1">
      <c r="B578" s="68">
        <v>46210</v>
      </c>
      <c r="C578" s="69" t="str">
        <f t="shared" si="8"/>
        <v>Julho</v>
      </c>
      <c r="D578" s="77" t="s">
        <v>508</v>
      </c>
      <c r="E578" s="72" t="s">
        <v>497</v>
      </c>
      <c r="F578" s="70" t="s">
        <v>534</v>
      </c>
      <c r="G578" s="71" t="s">
        <v>628</v>
      </c>
      <c r="H578" s="77" t="s">
        <v>663</v>
      </c>
      <c r="I578" s="71" t="s">
        <v>595</v>
      </c>
      <c r="J578" s="393" t="s">
        <v>1370</v>
      </c>
      <c r="K578" s="78" t="s">
        <v>274</v>
      </c>
      <c r="L578" s="71" t="s">
        <v>137</v>
      </c>
      <c r="M578" s="71" t="s">
        <v>730</v>
      </c>
      <c r="N578" s="80" t="s">
        <v>151</v>
      </c>
      <c r="O578" s="295">
        <v>-3187.33</v>
      </c>
      <c r="P578" s="75"/>
      <c r="Z578" s="16"/>
      <c r="AA578" s="16"/>
      <c r="AB578" s="16"/>
    </row>
    <row r="579" spans="2:29" s="465" customFormat="1" ht="21.75" hidden="1" customHeight="1">
      <c r="B579" s="68">
        <v>46210</v>
      </c>
      <c r="C579" s="69" t="str">
        <f t="shared" si="8"/>
        <v>Julho</v>
      </c>
      <c r="D579" s="77" t="s">
        <v>299</v>
      </c>
      <c r="E579" s="72" t="s">
        <v>303</v>
      </c>
      <c r="F579" s="70" t="s">
        <v>136</v>
      </c>
      <c r="G579" s="19" t="s">
        <v>1157</v>
      </c>
      <c r="H579" s="369" t="s">
        <v>1158</v>
      </c>
      <c r="I579" s="71" t="s">
        <v>131</v>
      </c>
      <c r="J579" s="175" t="s">
        <v>209</v>
      </c>
      <c r="K579" s="112" t="s">
        <v>131</v>
      </c>
      <c r="L579" s="71" t="s">
        <v>137</v>
      </c>
      <c r="M579" s="71" t="s">
        <v>735</v>
      </c>
      <c r="N579" s="80" t="s">
        <v>28</v>
      </c>
      <c r="O579" s="295">
        <v>-150</v>
      </c>
      <c r="P579" s="296"/>
      <c r="Y579" s="45"/>
      <c r="AC579" s="45"/>
    </row>
    <row r="580" spans="2:29" ht="21.75" hidden="1" customHeight="1">
      <c r="B580" s="68">
        <v>46213</v>
      </c>
      <c r="C580" s="69" t="str">
        <f t="shared" si="8"/>
        <v>Julho</v>
      </c>
      <c r="D580" s="77" t="s">
        <v>298</v>
      </c>
      <c r="E580" s="72" t="s">
        <v>440</v>
      </c>
      <c r="F580" s="70" t="s">
        <v>637</v>
      </c>
      <c r="G580" s="71" t="s">
        <v>535</v>
      </c>
      <c r="H580" s="77" t="s">
        <v>536</v>
      </c>
      <c r="I580" s="71" t="s">
        <v>131</v>
      </c>
      <c r="J580" s="367" t="s">
        <v>209</v>
      </c>
      <c r="K580" s="71" t="s">
        <v>131</v>
      </c>
      <c r="L580" s="71" t="s">
        <v>137</v>
      </c>
      <c r="M580" s="71" t="s">
        <v>735</v>
      </c>
      <c r="N580" s="80" t="s">
        <v>28</v>
      </c>
      <c r="O580" s="295">
        <v>-1420.02</v>
      </c>
      <c r="P580" s="75"/>
      <c r="Z580" s="16"/>
      <c r="AA580" s="16"/>
      <c r="AB580" s="16"/>
    </row>
    <row r="581" spans="2:29" ht="21.75" hidden="1" customHeight="1">
      <c r="B581" s="68">
        <v>46213</v>
      </c>
      <c r="C581" s="69" t="str">
        <f t="shared" si="8"/>
        <v>Julho</v>
      </c>
      <c r="D581" s="77" t="s">
        <v>300</v>
      </c>
      <c r="E581" s="72" t="s">
        <v>475</v>
      </c>
      <c r="F581" s="70" t="s">
        <v>136</v>
      </c>
      <c r="G581" s="71" t="s">
        <v>212</v>
      </c>
      <c r="H581" s="77" t="s">
        <v>761</v>
      </c>
      <c r="I581" s="71" t="s">
        <v>131</v>
      </c>
      <c r="J581" s="367" t="s">
        <v>209</v>
      </c>
      <c r="K581" s="78" t="s">
        <v>131</v>
      </c>
      <c r="L581" s="71" t="s">
        <v>137</v>
      </c>
      <c r="M581" s="71" t="s">
        <v>735</v>
      </c>
      <c r="N581" s="80" t="s">
        <v>28</v>
      </c>
      <c r="O581" s="295">
        <v>-1000</v>
      </c>
      <c r="P581" s="75"/>
      <c r="Z581" s="16"/>
      <c r="AA581" s="16"/>
      <c r="AB581" s="16"/>
    </row>
    <row r="582" spans="2:29" ht="21.75" hidden="1" customHeight="1">
      <c r="B582" s="68">
        <v>46213</v>
      </c>
      <c r="C582" s="69" t="str">
        <f t="shared" si="8"/>
        <v>Julho</v>
      </c>
      <c r="D582" s="77" t="s">
        <v>298</v>
      </c>
      <c r="E582" s="72" t="s">
        <v>515</v>
      </c>
      <c r="F582" s="70" t="s">
        <v>138</v>
      </c>
      <c r="G582" s="71" t="s">
        <v>146</v>
      </c>
      <c r="H582" s="77" t="s">
        <v>153</v>
      </c>
      <c r="I582" s="71" t="s">
        <v>131</v>
      </c>
      <c r="J582" s="389" t="s">
        <v>800</v>
      </c>
      <c r="K582" s="78" t="s">
        <v>131</v>
      </c>
      <c r="L582" s="71" t="s">
        <v>134</v>
      </c>
      <c r="M582" s="71" t="s">
        <v>735</v>
      </c>
      <c r="N582" s="80" t="s">
        <v>28</v>
      </c>
      <c r="O582" s="295">
        <v>-1120</v>
      </c>
      <c r="P582" s="75"/>
      <c r="Z582" s="16"/>
      <c r="AA582" s="16"/>
      <c r="AB582" s="16"/>
    </row>
    <row r="583" spans="2:29" ht="21.75" hidden="1" customHeight="1">
      <c r="B583" s="376">
        <v>46213</v>
      </c>
      <c r="C583" s="377" t="str">
        <f t="shared" ref="C583:C646" si="9">PROPER(TEXT(B583,"MMMM"))</f>
        <v>Julho</v>
      </c>
      <c r="D583" s="378" t="s">
        <v>386</v>
      </c>
      <c r="E583" s="379" t="s">
        <v>468</v>
      </c>
      <c r="F583" s="380" t="s">
        <v>131</v>
      </c>
      <c r="G583" s="342" t="s">
        <v>480</v>
      </c>
      <c r="H583" s="378" t="s">
        <v>1008</v>
      </c>
      <c r="I583" s="342" t="s">
        <v>131</v>
      </c>
      <c r="J583" s="112" t="s">
        <v>131</v>
      </c>
      <c r="K583" s="343" t="s">
        <v>131</v>
      </c>
      <c r="L583" s="342" t="s">
        <v>131</v>
      </c>
      <c r="M583" s="342" t="s">
        <v>730</v>
      </c>
      <c r="N583" s="381" t="s">
        <v>521</v>
      </c>
      <c r="O583" s="295">
        <v>3625</v>
      </c>
      <c r="P583" s="75"/>
      <c r="Z583" s="16"/>
      <c r="AA583" s="16"/>
      <c r="AB583" s="16"/>
    </row>
    <row r="584" spans="2:29" ht="21.75" hidden="1" customHeight="1">
      <c r="B584" s="68">
        <v>46214</v>
      </c>
      <c r="C584" s="69" t="str">
        <f t="shared" si="9"/>
        <v>Julho</v>
      </c>
      <c r="D584" s="77" t="s">
        <v>508</v>
      </c>
      <c r="E584" s="72" t="s">
        <v>497</v>
      </c>
      <c r="F584" s="70" t="s">
        <v>534</v>
      </c>
      <c r="G584" s="71" t="s">
        <v>1090</v>
      </c>
      <c r="H584" s="77" t="s">
        <v>1324</v>
      </c>
      <c r="I584" s="71" t="s">
        <v>595</v>
      </c>
      <c r="J584" s="393" t="s">
        <v>1358</v>
      </c>
      <c r="K584" s="78" t="s">
        <v>779</v>
      </c>
      <c r="L584" s="71" t="s">
        <v>137</v>
      </c>
      <c r="M584" s="71" t="s">
        <v>730</v>
      </c>
      <c r="N584" s="80" t="s">
        <v>151</v>
      </c>
      <c r="O584" s="295">
        <v>-3625</v>
      </c>
      <c r="P584" s="75"/>
      <c r="Z584" s="16"/>
      <c r="AA584" s="16"/>
      <c r="AB584" s="16"/>
    </row>
    <row r="585" spans="2:29" s="465" customFormat="1" ht="21.75" hidden="1" customHeight="1">
      <c r="B585" s="68">
        <v>46214</v>
      </c>
      <c r="C585" s="69" t="str">
        <f t="shared" si="9"/>
        <v>Julho</v>
      </c>
      <c r="D585" s="77" t="s">
        <v>302</v>
      </c>
      <c r="E585" s="72" t="s">
        <v>436</v>
      </c>
      <c r="F585" s="70" t="s">
        <v>138</v>
      </c>
      <c r="G585" s="71" t="s">
        <v>480</v>
      </c>
      <c r="H585" s="379" t="s">
        <v>482</v>
      </c>
      <c r="I585" s="71" t="s">
        <v>131</v>
      </c>
      <c r="J585" s="389" t="s">
        <v>798</v>
      </c>
      <c r="K585" s="73" t="s">
        <v>131</v>
      </c>
      <c r="L585" s="71" t="s">
        <v>197</v>
      </c>
      <c r="M585" s="71" t="s">
        <v>730</v>
      </c>
      <c r="N585" s="80" t="s">
        <v>151</v>
      </c>
      <c r="O585" s="295">
        <v>-56.5</v>
      </c>
      <c r="P585" s="296"/>
      <c r="Y585" s="45"/>
      <c r="AC585" s="45"/>
    </row>
    <row r="586" spans="2:29" ht="21.75" hidden="1" customHeight="1">
      <c r="B586" s="376">
        <v>46218</v>
      </c>
      <c r="C586" s="377" t="str">
        <f t="shared" si="9"/>
        <v>Julho</v>
      </c>
      <c r="D586" s="378" t="s">
        <v>508</v>
      </c>
      <c r="E586" s="379" t="s">
        <v>497</v>
      </c>
      <c r="F586" s="380" t="s">
        <v>534</v>
      </c>
      <c r="G586" s="342" t="s">
        <v>1263</v>
      </c>
      <c r="H586" s="369" t="s">
        <v>1264</v>
      </c>
      <c r="I586" s="342" t="s">
        <v>595</v>
      </c>
      <c r="J586" s="342" t="s">
        <v>1364</v>
      </c>
      <c r="K586" s="343" t="s">
        <v>783</v>
      </c>
      <c r="L586" s="342" t="s">
        <v>1046</v>
      </c>
      <c r="M586" s="71" t="s">
        <v>730</v>
      </c>
      <c r="N586" s="381" t="s">
        <v>28</v>
      </c>
      <c r="O586" s="295">
        <v>-146.75</v>
      </c>
      <c r="P586" s="75"/>
      <c r="Z586" s="16"/>
      <c r="AA586" s="16"/>
      <c r="AB586" s="16"/>
    </row>
    <row r="587" spans="2:29" ht="21.75" hidden="1" customHeight="1">
      <c r="B587" s="68">
        <v>46218</v>
      </c>
      <c r="C587" s="69" t="str">
        <f t="shared" si="9"/>
        <v>Julho</v>
      </c>
      <c r="D587" s="77" t="s">
        <v>298</v>
      </c>
      <c r="E587" s="72" t="s">
        <v>440</v>
      </c>
      <c r="F587" s="70" t="s">
        <v>136</v>
      </c>
      <c r="G587" s="71" t="s">
        <v>425</v>
      </c>
      <c r="H587" s="72" t="s">
        <v>251</v>
      </c>
      <c r="I587" s="71" t="s">
        <v>131</v>
      </c>
      <c r="J587" s="112" t="s">
        <v>131</v>
      </c>
      <c r="K587" s="73" t="s">
        <v>281</v>
      </c>
      <c r="L587" s="71" t="s">
        <v>1046</v>
      </c>
      <c r="M587" s="71" t="s">
        <v>735</v>
      </c>
      <c r="N587" s="80" t="s">
        <v>28</v>
      </c>
      <c r="O587" s="295">
        <v>-24.16</v>
      </c>
      <c r="P587" s="75"/>
      <c r="Z587" s="16"/>
      <c r="AA587" s="16"/>
      <c r="AB587" s="16"/>
    </row>
    <row r="588" spans="2:29" ht="21.75" hidden="1" customHeight="1">
      <c r="B588" s="68">
        <v>46218</v>
      </c>
      <c r="C588" s="69" t="str">
        <f t="shared" si="9"/>
        <v>Julho</v>
      </c>
      <c r="D588" s="77" t="s">
        <v>298</v>
      </c>
      <c r="E588" s="72" t="s">
        <v>440</v>
      </c>
      <c r="F588" s="70" t="s">
        <v>136</v>
      </c>
      <c r="G588" s="71" t="s">
        <v>426</v>
      </c>
      <c r="H588" s="77" t="s">
        <v>252</v>
      </c>
      <c r="I588" s="71" t="s">
        <v>131</v>
      </c>
      <c r="J588" s="342" t="s">
        <v>1441</v>
      </c>
      <c r="K588" s="71" t="s">
        <v>276</v>
      </c>
      <c r="L588" s="71" t="s">
        <v>1046</v>
      </c>
      <c r="M588" s="71" t="s">
        <v>735</v>
      </c>
      <c r="N588" s="80" t="s">
        <v>28</v>
      </c>
      <c r="O588" s="295">
        <v>-413.38</v>
      </c>
      <c r="P588" s="75"/>
      <c r="Z588" s="16"/>
      <c r="AA588" s="16"/>
      <c r="AB588" s="16"/>
    </row>
    <row r="589" spans="2:29" ht="21.75" hidden="1" customHeight="1">
      <c r="B589" s="68">
        <v>46218</v>
      </c>
      <c r="C589" s="69" t="str">
        <f t="shared" si="9"/>
        <v>Julho</v>
      </c>
      <c r="D589" s="77" t="s">
        <v>300</v>
      </c>
      <c r="E589" s="72" t="s">
        <v>433</v>
      </c>
      <c r="F589" s="70" t="s">
        <v>136</v>
      </c>
      <c r="G589" s="71" t="s">
        <v>142</v>
      </c>
      <c r="H589" s="72" t="s">
        <v>155</v>
      </c>
      <c r="I589" s="71" t="s">
        <v>131</v>
      </c>
      <c r="J589" s="367" t="s">
        <v>209</v>
      </c>
      <c r="K589" s="73" t="s">
        <v>131</v>
      </c>
      <c r="L589" s="71" t="s">
        <v>137</v>
      </c>
      <c r="M589" s="71" t="s">
        <v>735</v>
      </c>
      <c r="N589" s="80" t="s">
        <v>28</v>
      </c>
      <c r="O589" s="295">
        <v>-1165.5899999999999</v>
      </c>
      <c r="P589" s="75"/>
      <c r="Z589" s="16"/>
      <c r="AA589" s="16"/>
      <c r="AB589" s="16"/>
    </row>
    <row r="590" spans="2:29" ht="21.75" hidden="1" customHeight="1">
      <c r="B590" s="68">
        <v>46218</v>
      </c>
      <c r="C590" s="69" t="str">
        <f t="shared" si="9"/>
        <v>Julho</v>
      </c>
      <c r="D590" s="77" t="s">
        <v>300</v>
      </c>
      <c r="E590" s="72" t="s">
        <v>432</v>
      </c>
      <c r="F590" s="70" t="s">
        <v>136</v>
      </c>
      <c r="G590" s="71" t="s">
        <v>434</v>
      </c>
      <c r="H590" s="72" t="s">
        <v>154</v>
      </c>
      <c r="I590" s="71" t="s">
        <v>131</v>
      </c>
      <c r="J590" s="175" t="s">
        <v>209</v>
      </c>
      <c r="K590" s="73" t="s">
        <v>131</v>
      </c>
      <c r="L590" s="71" t="s">
        <v>1046</v>
      </c>
      <c r="M590" s="71" t="s">
        <v>735</v>
      </c>
      <c r="N590" s="80" t="s">
        <v>28</v>
      </c>
      <c r="O590" s="295">
        <v>-235.52</v>
      </c>
      <c r="P590" s="75"/>
      <c r="Z590" s="16"/>
      <c r="AA590" s="16"/>
      <c r="AB590" s="16"/>
    </row>
    <row r="591" spans="2:29" ht="21.75" hidden="1" customHeight="1">
      <c r="B591" s="68">
        <v>46218</v>
      </c>
      <c r="C591" s="69" t="str">
        <f t="shared" si="9"/>
        <v>Julho</v>
      </c>
      <c r="D591" s="77" t="s">
        <v>508</v>
      </c>
      <c r="E591" s="72" t="s">
        <v>497</v>
      </c>
      <c r="F591" s="70" t="s">
        <v>534</v>
      </c>
      <c r="G591" s="71" t="s">
        <v>1305</v>
      </c>
      <c r="H591" s="369" t="s">
        <v>1360</v>
      </c>
      <c r="I591" s="71" t="s">
        <v>595</v>
      </c>
      <c r="J591" s="389" t="s">
        <v>1236</v>
      </c>
      <c r="K591" s="73" t="s">
        <v>1240</v>
      </c>
      <c r="L591" s="71" t="s">
        <v>1046</v>
      </c>
      <c r="M591" s="71" t="s">
        <v>730</v>
      </c>
      <c r="N591" s="80" t="s">
        <v>28</v>
      </c>
      <c r="O591" s="295">
        <v>-2288.37</v>
      </c>
      <c r="P591" s="75"/>
      <c r="Z591" s="16"/>
      <c r="AA591" s="16"/>
      <c r="AB591" s="16"/>
    </row>
    <row r="592" spans="2:29" ht="21.75" hidden="1" customHeight="1">
      <c r="B592" s="68">
        <v>46218</v>
      </c>
      <c r="C592" s="69" t="str">
        <f t="shared" si="9"/>
        <v>Julho</v>
      </c>
      <c r="D592" s="77" t="s">
        <v>302</v>
      </c>
      <c r="E592" s="72" t="s">
        <v>1408</v>
      </c>
      <c r="F592" s="70" t="s">
        <v>136</v>
      </c>
      <c r="G592" s="71" t="s">
        <v>480</v>
      </c>
      <c r="H592" s="77" t="s">
        <v>1391</v>
      </c>
      <c r="I592" s="71" t="s">
        <v>131</v>
      </c>
      <c r="J592" s="521" t="s">
        <v>786</v>
      </c>
      <c r="K592" s="73" t="s">
        <v>276</v>
      </c>
      <c r="L592" s="71" t="s">
        <v>1046</v>
      </c>
      <c r="M592" s="71" t="s">
        <v>730</v>
      </c>
      <c r="N592" s="381" t="s">
        <v>28</v>
      </c>
      <c r="O592" s="74">
        <v>-12.5</v>
      </c>
      <c r="P592" s="75"/>
      <c r="Z592" s="16"/>
      <c r="AA592" s="16"/>
      <c r="AB592" s="16"/>
    </row>
    <row r="593" spans="1:28" ht="21.75" hidden="1" customHeight="1">
      <c r="B593" s="68">
        <v>46218</v>
      </c>
      <c r="C593" s="69" t="str">
        <f t="shared" si="9"/>
        <v>Julho</v>
      </c>
      <c r="D593" s="77" t="s">
        <v>508</v>
      </c>
      <c r="E593" s="72" t="s">
        <v>497</v>
      </c>
      <c r="F593" s="70" t="s">
        <v>534</v>
      </c>
      <c r="G593" s="71" t="s">
        <v>1417</v>
      </c>
      <c r="H593" s="369" t="s">
        <v>1418</v>
      </c>
      <c r="I593" s="71" t="s">
        <v>595</v>
      </c>
      <c r="J593" s="528" t="s">
        <v>1419</v>
      </c>
      <c r="K593" s="73" t="s">
        <v>274</v>
      </c>
      <c r="L593" s="71" t="s">
        <v>1046</v>
      </c>
      <c r="M593" s="71" t="s">
        <v>730</v>
      </c>
      <c r="N593" s="80" t="s">
        <v>28</v>
      </c>
      <c r="O593" s="295">
        <v>-1050.5</v>
      </c>
      <c r="P593" s="75"/>
      <c r="Z593" s="16"/>
      <c r="AA593" s="16"/>
      <c r="AB593" s="16"/>
    </row>
    <row r="594" spans="1:28" ht="21.75" hidden="1" customHeight="1">
      <c r="B594" s="68">
        <v>46218</v>
      </c>
      <c r="C594" s="69" t="str">
        <f t="shared" si="9"/>
        <v>Julho</v>
      </c>
      <c r="D594" s="77" t="s">
        <v>508</v>
      </c>
      <c r="E594" s="72" t="s">
        <v>497</v>
      </c>
      <c r="F594" s="70" t="s">
        <v>534</v>
      </c>
      <c r="G594" s="71" t="s">
        <v>1420</v>
      </c>
      <c r="H594" s="369" t="s">
        <v>1421</v>
      </c>
      <c r="I594" s="71" t="s">
        <v>595</v>
      </c>
      <c r="J594" s="528" t="s">
        <v>1424</v>
      </c>
      <c r="K594" s="73" t="s">
        <v>274</v>
      </c>
      <c r="L594" s="71" t="s">
        <v>1046</v>
      </c>
      <c r="M594" s="71" t="s">
        <v>730</v>
      </c>
      <c r="N594" s="80" t="s">
        <v>28</v>
      </c>
      <c r="O594" s="295">
        <v>-600.99</v>
      </c>
      <c r="P594" s="75"/>
      <c r="Z594" s="16"/>
      <c r="AA594" s="16"/>
      <c r="AB594" s="16"/>
    </row>
    <row r="595" spans="1:28" ht="21.75" hidden="1" customHeight="1">
      <c r="B595" s="68">
        <v>46223</v>
      </c>
      <c r="C595" s="69" t="str">
        <f t="shared" si="9"/>
        <v>Julho</v>
      </c>
      <c r="D595" s="77" t="s">
        <v>299</v>
      </c>
      <c r="E595" s="72" t="s">
        <v>764</v>
      </c>
      <c r="F595" s="70" t="s">
        <v>138</v>
      </c>
      <c r="G595" s="71" t="s">
        <v>139</v>
      </c>
      <c r="H595" s="72" t="s">
        <v>49</v>
      </c>
      <c r="I595" s="71" t="s">
        <v>131</v>
      </c>
      <c r="J595" s="343" t="s">
        <v>796</v>
      </c>
      <c r="K595" s="73" t="s">
        <v>131</v>
      </c>
      <c r="L595" s="71" t="s">
        <v>150</v>
      </c>
      <c r="M595" s="71" t="s">
        <v>735</v>
      </c>
      <c r="N595" s="80" t="s">
        <v>28</v>
      </c>
      <c r="O595" s="295">
        <v>-400</v>
      </c>
      <c r="P595" s="75"/>
      <c r="Z595" s="16"/>
      <c r="AA595" s="16"/>
      <c r="AB595" s="16"/>
    </row>
    <row r="596" spans="1:28" ht="21.75" hidden="1" customHeight="1">
      <c r="B596" s="68">
        <v>46223</v>
      </c>
      <c r="C596" s="69" t="str">
        <f t="shared" si="9"/>
        <v>Julho</v>
      </c>
      <c r="D596" s="77" t="s">
        <v>299</v>
      </c>
      <c r="E596" s="72" t="s">
        <v>764</v>
      </c>
      <c r="F596" s="70" t="s">
        <v>138</v>
      </c>
      <c r="G596" s="71" t="s">
        <v>163</v>
      </c>
      <c r="H596" s="77" t="s">
        <v>50</v>
      </c>
      <c r="I596" s="71" t="s">
        <v>131</v>
      </c>
      <c r="J596" s="343" t="s">
        <v>796</v>
      </c>
      <c r="K596" s="71" t="s">
        <v>131</v>
      </c>
      <c r="L596" s="71" t="s">
        <v>150</v>
      </c>
      <c r="M596" s="71" t="s">
        <v>735</v>
      </c>
      <c r="N596" s="80" t="s">
        <v>28</v>
      </c>
      <c r="O596" s="295">
        <v>-1846.36</v>
      </c>
      <c r="P596" s="75"/>
      <c r="Z596" s="16"/>
      <c r="AA596" s="16"/>
      <c r="AB596" s="16"/>
    </row>
    <row r="597" spans="1:28" ht="21.75" hidden="1" customHeight="1">
      <c r="B597" s="68">
        <v>46223</v>
      </c>
      <c r="C597" s="69" t="str">
        <f t="shared" si="9"/>
        <v>Julho</v>
      </c>
      <c r="D597" s="77" t="s">
        <v>508</v>
      </c>
      <c r="E597" s="72" t="s">
        <v>497</v>
      </c>
      <c r="F597" s="70" t="s">
        <v>534</v>
      </c>
      <c r="G597" s="71" t="s">
        <v>163</v>
      </c>
      <c r="H597" s="77" t="s">
        <v>1288</v>
      </c>
      <c r="I597" s="71" t="s">
        <v>595</v>
      </c>
      <c r="J597" s="367" t="s">
        <v>209</v>
      </c>
      <c r="K597" s="71" t="s">
        <v>131</v>
      </c>
      <c r="L597" s="71" t="s">
        <v>150</v>
      </c>
      <c r="M597" s="71" t="s">
        <v>730</v>
      </c>
      <c r="N597" s="80" t="s">
        <v>28</v>
      </c>
      <c r="O597" s="390">
        <v>-4200</v>
      </c>
      <c r="P597" s="75"/>
      <c r="Z597" s="16"/>
      <c r="AA597" s="16"/>
      <c r="AB597" s="16"/>
    </row>
    <row r="598" spans="1:28" ht="21.75" hidden="1" customHeight="1">
      <c r="B598" s="68">
        <v>46227</v>
      </c>
      <c r="C598" s="69" t="str">
        <f t="shared" si="9"/>
        <v>Julho</v>
      </c>
      <c r="D598" s="77" t="s">
        <v>509</v>
      </c>
      <c r="E598" s="72" t="s">
        <v>502</v>
      </c>
      <c r="F598" s="70" t="s">
        <v>138</v>
      </c>
      <c r="G598" s="71" t="s">
        <v>141</v>
      </c>
      <c r="H598" s="77" t="s">
        <v>187</v>
      </c>
      <c r="I598" s="71" t="s">
        <v>131</v>
      </c>
      <c r="J598" s="343" t="s">
        <v>798</v>
      </c>
      <c r="K598" s="71" t="s">
        <v>131</v>
      </c>
      <c r="L598" s="71" t="s">
        <v>134</v>
      </c>
      <c r="M598" s="71" t="s">
        <v>735</v>
      </c>
      <c r="N598" s="80" t="s">
        <v>28</v>
      </c>
      <c r="O598" s="295">
        <v>-8489.33</v>
      </c>
      <c r="P598" s="75"/>
      <c r="Z598" s="16"/>
      <c r="AA598" s="16"/>
      <c r="AB598" s="16"/>
    </row>
    <row r="599" spans="1:28" ht="21.75" hidden="1" customHeight="1">
      <c r="B599" s="68">
        <v>46228</v>
      </c>
      <c r="C599" s="69" t="str">
        <f t="shared" si="9"/>
        <v>Julho</v>
      </c>
      <c r="D599" s="77" t="s">
        <v>299</v>
      </c>
      <c r="E599" s="72" t="s">
        <v>303</v>
      </c>
      <c r="F599" s="70" t="s">
        <v>136</v>
      </c>
      <c r="G599" s="71" t="s">
        <v>897</v>
      </c>
      <c r="H599" s="77" t="s">
        <v>766</v>
      </c>
      <c r="I599" s="71" t="s">
        <v>131</v>
      </c>
      <c r="J599" s="392" t="s">
        <v>209</v>
      </c>
      <c r="K599" s="78" t="s">
        <v>131</v>
      </c>
      <c r="L599" s="71" t="s">
        <v>137</v>
      </c>
      <c r="M599" s="71" t="s">
        <v>735</v>
      </c>
      <c r="N599" s="80" t="s">
        <v>28</v>
      </c>
      <c r="O599" s="295">
        <v>-180</v>
      </c>
      <c r="P599" s="75"/>
      <c r="Z599" s="16"/>
      <c r="AA599" s="16"/>
      <c r="AB599" s="16"/>
    </row>
    <row r="600" spans="1:28" ht="21.75" hidden="1" customHeight="1">
      <c r="B600" s="68">
        <v>46228</v>
      </c>
      <c r="C600" s="69" t="str">
        <f t="shared" si="9"/>
        <v>Julho</v>
      </c>
      <c r="D600" s="77" t="s">
        <v>299</v>
      </c>
      <c r="E600" s="72" t="s">
        <v>303</v>
      </c>
      <c r="F600" s="70" t="s">
        <v>136</v>
      </c>
      <c r="G600" s="71" t="s">
        <v>897</v>
      </c>
      <c r="H600" s="77" t="s">
        <v>767</v>
      </c>
      <c r="I600" s="71" t="s">
        <v>131</v>
      </c>
      <c r="J600" s="392" t="s">
        <v>209</v>
      </c>
      <c r="K600" s="73" t="s">
        <v>131</v>
      </c>
      <c r="L600" s="71" t="s">
        <v>137</v>
      </c>
      <c r="M600" s="71" t="s">
        <v>735</v>
      </c>
      <c r="N600" s="80" t="s">
        <v>28</v>
      </c>
      <c r="O600" s="295">
        <v>-310</v>
      </c>
      <c r="P600" s="75"/>
      <c r="Z600" s="16"/>
      <c r="AA600" s="16"/>
      <c r="AB600" s="16"/>
    </row>
    <row r="601" spans="1:28" ht="21.75" hidden="1" customHeight="1">
      <c r="B601" s="68">
        <v>46233</v>
      </c>
      <c r="C601" s="69" t="str">
        <f t="shared" si="9"/>
        <v>Julho</v>
      </c>
      <c r="D601" s="77" t="s">
        <v>298</v>
      </c>
      <c r="E601" s="72" t="s">
        <v>439</v>
      </c>
      <c r="F601" s="70" t="s">
        <v>138</v>
      </c>
      <c r="G601" s="71" t="s">
        <v>164</v>
      </c>
      <c r="H601" s="72" t="s">
        <v>801</v>
      </c>
      <c r="I601" s="71" t="s">
        <v>131</v>
      </c>
      <c r="J601" s="19">
        <v>2026</v>
      </c>
      <c r="K601" s="73" t="s">
        <v>131</v>
      </c>
      <c r="L601" s="71" t="s">
        <v>150</v>
      </c>
      <c r="M601" s="71" t="s">
        <v>735</v>
      </c>
      <c r="N601" s="80" t="s">
        <v>28</v>
      </c>
      <c r="O601" s="295">
        <v>-20000</v>
      </c>
      <c r="P601" s="75"/>
      <c r="Z601" s="16"/>
      <c r="AA601" s="16"/>
      <c r="AB601" s="16"/>
    </row>
    <row r="602" spans="1:28" ht="21.75" hidden="1" customHeight="1">
      <c r="B602" s="68">
        <v>46233</v>
      </c>
      <c r="C602" s="69" t="str">
        <f t="shared" si="9"/>
        <v>Julho</v>
      </c>
      <c r="D602" s="77" t="s">
        <v>298</v>
      </c>
      <c r="E602" s="72" t="s">
        <v>439</v>
      </c>
      <c r="F602" s="70" t="s">
        <v>138</v>
      </c>
      <c r="G602" s="71" t="s">
        <v>163</v>
      </c>
      <c r="H602" s="77" t="s">
        <v>802</v>
      </c>
      <c r="I602" s="71" t="s">
        <v>131</v>
      </c>
      <c r="J602" s="19">
        <v>2026</v>
      </c>
      <c r="K602" s="71" t="s">
        <v>131</v>
      </c>
      <c r="L602" s="71" t="s">
        <v>150</v>
      </c>
      <c r="M602" s="71" t="s">
        <v>735</v>
      </c>
      <c r="N602" s="80" t="s">
        <v>28</v>
      </c>
      <c r="O602" s="295">
        <v>-25000</v>
      </c>
      <c r="P602" s="75"/>
      <c r="Z602" s="16"/>
      <c r="AA602" s="16"/>
      <c r="AB602" s="16"/>
    </row>
    <row r="603" spans="1:28" ht="21.75" hidden="1" customHeight="1">
      <c r="B603" s="68">
        <v>46233</v>
      </c>
      <c r="C603" s="69" t="str">
        <f t="shared" si="9"/>
        <v>Julho</v>
      </c>
      <c r="D603" s="77" t="s">
        <v>300</v>
      </c>
      <c r="E603" s="72" t="s">
        <v>478</v>
      </c>
      <c r="F603" s="70" t="s">
        <v>136</v>
      </c>
      <c r="G603" s="71" t="s">
        <v>136</v>
      </c>
      <c r="H603" s="77" t="s">
        <v>136</v>
      </c>
      <c r="I603" s="71" t="s">
        <v>131</v>
      </c>
      <c r="J603" s="389" t="s">
        <v>798</v>
      </c>
      <c r="K603" s="71" t="s">
        <v>131</v>
      </c>
      <c r="L603" s="71" t="s">
        <v>134</v>
      </c>
      <c r="M603" s="71" t="s">
        <v>735</v>
      </c>
      <c r="N603" s="80" t="s">
        <v>207</v>
      </c>
      <c r="O603" s="295">
        <f>-1*(SUMIFS(Aramburu_Mensal!$O$6:$O$984,Aramburu_Mensal!$C$6:$C$984,"Julho",Aramburu_Mensal!$F$6:$F$984,"Despesas Variáveis",Aramburu_Mensal!$N$6:$N$984,"A pagar")+SUMIFS(Aramburu_Mensal!$O$6:$O$984,Aramburu_Mensal!$C$6:$C$984,"Julho",Aramburu_Mensal!$F$6:$F$984,"Despesas Variáveis",Aramburu_Mensal!$N$6:$N$984,"Pago")+SUMIFS(Aramburu_Mensal!$O$6:$O$984,Aramburu_Mensal!$C$6:$C$984,"Julho",Aramburu_Mensal!$F$6:$F$984,"Despesas Variáveis",Aramburu_Mensal!$N$6:$N$984,"Provisionado"))-20000</f>
        <v>-16314.65</v>
      </c>
      <c r="P603" s="75"/>
      <c r="Z603" s="16"/>
      <c r="AA603" s="16"/>
      <c r="AB603" s="16"/>
    </row>
    <row r="604" spans="1:28" ht="21.75" hidden="1" customHeight="1">
      <c r="B604" s="68">
        <v>46233</v>
      </c>
      <c r="C604" s="69" t="str">
        <f t="shared" si="9"/>
        <v>Julho</v>
      </c>
      <c r="D604" s="77" t="s">
        <v>397</v>
      </c>
      <c r="E604" s="72" t="s">
        <v>445</v>
      </c>
      <c r="F604" s="70" t="s">
        <v>131</v>
      </c>
      <c r="G604" s="71" t="s">
        <v>143</v>
      </c>
      <c r="H604" s="77" t="s">
        <v>772</v>
      </c>
      <c r="I604" s="71" t="s">
        <v>131</v>
      </c>
      <c r="J604" s="342" t="s">
        <v>803</v>
      </c>
      <c r="K604" s="71" t="s">
        <v>131</v>
      </c>
      <c r="L604" s="71" t="s">
        <v>134</v>
      </c>
      <c r="M604" s="71" t="s">
        <v>735</v>
      </c>
      <c r="N604" s="80" t="s">
        <v>158</v>
      </c>
      <c r="O604" s="295">
        <v>760234.22160000005</v>
      </c>
      <c r="P604" s="75"/>
      <c r="Z604" s="16"/>
      <c r="AA604" s="16"/>
      <c r="AB604" s="16"/>
    </row>
    <row r="605" spans="1:28" ht="21.75" hidden="1" customHeight="1">
      <c r="B605" s="68">
        <v>46235</v>
      </c>
      <c r="C605" s="69" t="str">
        <f t="shared" si="9"/>
        <v>Agosto</v>
      </c>
      <c r="D605" s="77" t="s">
        <v>298</v>
      </c>
      <c r="E605" s="72" t="s">
        <v>439</v>
      </c>
      <c r="F605" s="70" t="s">
        <v>136</v>
      </c>
      <c r="G605" s="71" t="s">
        <v>805</v>
      </c>
      <c r="H605" s="77" t="s">
        <v>806</v>
      </c>
      <c r="I605" s="71" t="s">
        <v>131</v>
      </c>
      <c r="J605" s="19">
        <v>2026</v>
      </c>
      <c r="K605" s="71" t="s">
        <v>131</v>
      </c>
      <c r="L605" s="71" t="s">
        <v>150</v>
      </c>
      <c r="M605" s="71" t="s">
        <v>735</v>
      </c>
      <c r="N605" s="80" t="s">
        <v>28</v>
      </c>
      <c r="O605" s="295">
        <v>-278</v>
      </c>
      <c r="P605" s="75"/>
      <c r="Z605" s="16"/>
      <c r="AA605" s="16"/>
      <c r="AB605" s="16"/>
    </row>
    <row r="606" spans="1:28" ht="21.75" hidden="1" customHeight="1">
      <c r="B606" s="68">
        <v>46235</v>
      </c>
      <c r="C606" s="69" t="str">
        <f t="shared" si="9"/>
        <v>Agosto</v>
      </c>
      <c r="D606" s="77" t="s">
        <v>300</v>
      </c>
      <c r="E606" s="72" t="s">
        <v>477</v>
      </c>
      <c r="F606" s="70" t="s">
        <v>637</v>
      </c>
      <c r="G606" s="71" t="s">
        <v>149</v>
      </c>
      <c r="H606" s="77" t="s">
        <v>162</v>
      </c>
      <c r="I606" s="71" t="s">
        <v>131</v>
      </c>
      <c r="J606" s="392" t="s">
        <v>209</v>
      </c>
      <c r="K606" s="71" t="s">
        <v>131</v>
      </c>
      <c r="L606" s="71" t="s">
        <v>134</v>
      </c>
      <c r="M606" s="71" t="s">
        <v>735</v>
      </c>
      <c r="N606" s="80" t="s">
        <v>28</v>
      </c>
      <c r="O606" s="295">
        <v>-300000</v>
      </c>
      <c r="P606" s="75"/>
      <c r="Z606" s="16"/>
      <c r="AA606" s="16"/>
      <c r="AB606" s="16"/>
    </row>
    <row r="607" spans="1:28" ht="21.75" hidden="1" customHeight="1">
      <c r="A607" s="274" t="s">
        <v>213</v>
      </c>
      <c r="B607" s="68">
        <v>46235</v>
      </c>
      <c r="C607" s="69" t="str">
        <f t="shared" si="9"/>
        <v>Agosto</v>
      </c>
      <c r="D607" s="77" t="s">
        <v>509</v>
      </c>
      <c r="E607" s="72" t="s">
        <v>500</v>
      </c>
      <c r="F607" s="70" t="s">
        <v>131</v>
      </c>
      <c r="G607" s="71" t="s">
        <v>132</v>
      </c>
      <c r="H607" s="72" t="s">
        <v>133</v>
      </c>
      <c r="I607" s="71" t="s">
        <v>131</v>
      </c>
      <c r="J607" s="343" t="s">
        <v>804</v>
      </c>
      <c r="K607" s="73" t="s">
        <v>131</v>
      </c>
      <c r="L607" s="71" t="s">
        <v>134</v>
      </c>
      <c r="M607" s="71" t="s">
        <v>735</v>
      </c>
      <c r="N607" s="80" t="s">
        <v>266</v>
      </c>
      <c r="O607" s="295">
        <f>-1*(SUMIFS('Distribuição de Lucro_Mensal'!$I$6:$I$680,'Distribuição de Lucro_Mensal'!$D$6:$D$680,"Agosto",'Distribuição de Lucro_Mensal'!$K$6:$K$680,"Provisionado"))</f>
        <v>-177534.13999999998</v>
      </c>
      <c r="P607" s="75"/>
      <c r="Z607" s="16"/>
      <c r="AA607" s="16"/>
      <c r="AB607" s="16"/>
    </row>
    <row r="608" spans="1:28" ht="21.75" hidden="1" customHeight="1">
      <c r="B608" s="68">
        <v>46235</v>
      </c>
      <c r="C608" s="69" t="str">
        <f t="shared" si="9"/>
        <v>Agosto</v>
      </c>
      <c r="D608" s="77" t="s">
        <v>302</v>
      </c>
      <c r="E608" s="72" t="s">
        <v>436</v>
      </c>
      <c r="F608" s="70" t="s">
        <v>138</v>
      </c>
      <c r="G608" s="19" t="s">
        <v>480</v>
      </c>
      <c r="H608" s="77" t="s">
        <v>484</v>
      </c>
      <c r="I608" s="71" t="s">
        <v>131</v>
      </c>
      <c r="J608" s="389" t="s">
        <v>804</v>
      </c>
      <c r="K608" s="112" t="s">
        <v>131</v>
      </c>
      <c r="L608" s="71" t="s">
        <v>197</v>
      </c>
      <c r="M608" s="71" t="s">
        <v>730</v>
      </c>
      <c r="N608" s="80" t="s">
        <v>151</v>
      </c>
      <c r="O608" s="295">
        <v>-100</v>
      </c>
      <c r="P608" s="75"/>
      <c r="Z608" s="16"/>
      <c r="AA608" s="16"/>
      <c r="AB608" s="16"/>
    </row>
    <row r="609" spans="2:29" ht="21.75" hidden="1" customHeight="1">
      <c r="B609" s="68">
        <v>46235</v>
      </c>
      <c r="C609" s="69" t="str">
        <f t="shared" si="9"/>
        <v>Agosto</v>
      </c>
      <c r="D609" s="77" t="s">
        <v>386</v>
      </c>
      <c r="E609" s="72" t="s">
        <v>468</v>
      </c>
      <c r="F609" s="70" t="s">
        <v>131</v>
      </c>
      <c r="G609" s="71" t="s">
        <v>480</v>
      </c>
      <c r="H609" s="72" t="s">
        <v>1008</v>
      </c>
      <c r="I609" s="71" t="s">
        <v>131</v>
      </c>
      <c r="J609" s="343" t="s">
        <v>131</v>
      </c>
      <c r="K609" s="71" t="s">
        <v>131</v>
      </c>
      <c r="L609" s="71" t="s">
        <v>131</v>
      </c>
      <c r="M609" s="71" t="s">
        <v>730</v>
      </c>
      <c r="N609" s="80" t="s">
        <v>161</v>
      </c>
      <c r="O609" s="295">
        <f>-1*(SUMIFS($O$6:$O$1198,$C$6:$C$1198,"Agosto",$F$6:$F$1198,"Despesas Eventuais",$M$6:$M$1198,"Cooperativa Sicredi (0913)",$N$6:$N$1198,"Provisionado"))</f>
        <v>2435.12</v>
      </c>
      <c r="P609" s="75"/>
      <c r="Z609" s="16"/>
      <c r="AA609" s="16"/>
      <c r="AB609" s="16"/>
    </row>
    <row r="610" spans="2:29" ht="21.75" hidden="1" customHeight="1">
      <c r="B610" s="68">
        <v>46235</v>
      </c>
      <c r="C610" s="69" t="str">
        <f t="shared" si="9"/>
        <v>Agosto</v>
      </c>
      <c r="D610" s="77" t="s">
        <v>509</v>
      </c>
      <c r="E610" s="72" t="s">
        <v>500</v>
      </c>
      <c r="F610" s="70" t="s">
        <v>131</v>
      </c>
      <c r="G610" s="71" t="s">
        <v>132</v>
      </c>
      <c r="H610" s="72" t="s">
        <v>133</v>
      </c>
      <c r="I610" s="71" t="s">
        <v>131</v>
      </c>
      <c r="J610" s="343" t="s">
        <v>804</v>
      </c>
      <c r="K610" s="73" t="s">
        <v>131</v>
      </c>
      <c r="L610" s="71" t="s">
        <v>134</v>
      </c>
      <c r="M610" s="71" t="s">
        <v>735</v>
      </c>
      <c r="N610" s="80" t="s">
        <v>266</v>
      </c>
      <c r="O610" s="295">
        <f>-1*(SUMIFS('Distribuição de Lucro_Mensal'!$I$6:$I$680,'Distribuição de Lucro_Mensal'!$D$6:$D$680,"Agosto",'Distribuição de Lucro_Mensal'!$K$6:$K$680,"A pagar"))</f>
        <v>0</v>
      </c>
      <c r="P610" s="75"/>
      <c r="Z610" s="16"/>
      <c r="AA610" s="16"/>
      <c r="AB610" s="16"/>
    </row>
    <row r="611" spans="2:29" ht="21.75" hidden="1" customHeight="1">
      <c r="B611" s="68">
        <v>46236</v>
      </c>
      <c r="C611" s="69" t="str">
        <f t="shared" si="9"/>
        <v>Agosto</v>
      </c>
      <c r="D611" s="77" t="s">
        <v>299</v>
      </c>
      <c r="E611" s="72" t="s">
        <v>303</v>
      </c>
      <c r="F611" s="70" t="s">
        <v>138</v>
      </c>
      <c r="G611" s="71" t="s">
        <v>147</v>
      </c>
      <c r="H611" s="77" t="s">
        <v>629</v>
      </c>
      <c r="I611" s="71" t="s">
        <v>131</v>
      </c>
      <c r="J611" s="367" t="s">
        <v>209</v>
      </c>
      <c r="K611" s="71" t="s">
        <v>131</v>
      </c>
      <c r="L611" s="71" t="s">
        <v>137</v>
      </c>
      <c r="M611" s="71" t="s">
        <v>735</v>
      </c>
      <c r="N611" s="80" t="s">
        <v>28</v>
      </c>
      <c r="O611" s="295">
        <v>-700</v>
      </c>
      <c r="P611" s="75"/>
      <c r="Z611" s="16"/>
      <c r="AA611" s="16"/>
      <c r="AB611" s="16"/>
    </row>
    <row r="612" spans="2:29" ht="21.75" hidden="1" customHeight="1">
      <c r="B612" s="68">
        <v>46239</v>
      </c>
      <c r="C612" s="69" t="str">
        <f t="shared" si="9"/>
        <v>Agosto</v>
      </c>
      <c r="D612" s="77" t="s">
        <v>298</v>
      </c>
      <c r="E612" s="72" t="s">
        <v>513</v>
      </c>
      <c r="F612" s="70" t="s">
        <v>138</v>
      </c>
      <c r="G612" s="71" t="s">
        <v>140</v>
      </c>
      <c r="H612" s="77" t="s">
        <v>152</v>
      </c>
      <c r="I612" s="71" t="s">
        <v>131</v>
      </c>
      <c r="J612" s="367" t="s">
        <v>209</v>
      </c>
      <c r="K612" s="78" t="s">
        <v>131</v>
      </c>
      <c r="L612" s="71" t="s">
        <v>137</v>
      </c>
      <c r="M612" s="71" t="s">
        <v>735</v>
      </c>
      <c r="N612" s="80" t="s">
        <v>28</v>
      </c>
      <c r="O612" s="295">
        <v>-4885</v>
      </c>
      <c r="P612" s="75"/>
      <c r="Z612" s="16"/>
      <c r="AA612" s="16"/>
      <c r="AB612" s="16"/>
    </row>
    <row r="613" spans="2:29" ht="21.75" hidden="1" customHeight="1">
      <c r="B613" s="68">
        <v>46239</v>
      </c>
      <c r="C613" s="69" t="str">
        <f t="shared" si="9"/>
        <v>Agosto</v>
      </c>
      <c r="D613" s="77" t="s">
        <v>301</v>
      </c>
      <c r="E613" s="72" t="s">
        <v>526</v>
      </c>
      <c r="F613" s="70" t="s">
        <v>136</v>
      </c>
      <c r="G613" s="71" t="s">
        <v>548</v>
      </c>
      <c r="H613" s="77" t="s">
        <v>549</v>
      </c>
      <c r="I613" s="71" t="s">
        <v>131</v>
      </c>
      <c r="J613" s="367" t="s">
        <v>209</v>
      </c>
      <c r="K613" s="78" t="s">
        <v>131</v>
      </c>
      <c r="L613" s="71" t="s">
        <v>134</v>
      </c>
      <c r="M613" s="71" t="s">
        <v>735</v>
      </c>
      <c r="N613" s="80" t="s">
        <v>28</v>
      </c>
      <c r="O613" s="295">
        <v>-70</v>
      </c>
      <c r="P613" s="75"/>
      <c r="Z613" s="16"/>
      <c r="AA613" s="16"/>
      <c r="AB613" s="16"/>
    </row>
    <row r="614" spans="2:29" ht="21.75" hidden="1" customHeight="1">
      <c r="B614" s="68">
        <v>46239</v>
      </c>
      <c r="C614" s="69" t="str">
        <f t="shared" si="9"/>
        <v>Agosto</v>
      </c>
      <c r="D614" s="77" t="s">
        <v>299</v>
      </c>
      <c r="E614" s="72" t="s">
        <v>757</v>
      </c>
      <c r="F614" s="70" t="s">
        <v>138</v>
      </c>
      <c r="G614" s="71" t="s">
        <v>148</v>
      </c>
      <c r="H614" s="77" t="s">
        <v>177</v>
      </c>
      <c r="I614" s="71" t="s">
        <v>131</v>
      </c>
      <c r="J614" s="389" t="s">
        <v>798</v>
      </c>
      <c r="K614" s="78" t="s">
        <v>131</v>
      </c>
      <c r="L614" s="71" t="s">
        <v>134</v>
      </c>
      <c r="M614" s="71" t="s">
        <v>735</v>
      </c>
      <c r="N614" s="80" t="s">
        <v>28</v>
      </c>
      <c r="O614" s="295">
        <v>-4498.5</v>
      </c>
      <c r="P614" s="75"/>
      <c r="Z614" s="16"/>
      <c r="AA614" s="16"/>
      <c r="AB614" s="16"/>
    </row>
    <row r="615" spans="2:29" ht="21.75" hidden="1" customHeight="1">
      <c r="B615" s="68">
        <v>46241</v>
      </c>
      <c r="C615" s="69" t="str">
        <f t="shared" si="9"/>
        <v>Agosto</v>
      </c>
      <c r="D615" s="77" t="s">
        <v>299</v>
      </c>
      <c r="E615" s="72" t="s">
        <v>303</v>
      </c>
      <c r="F615" s="70" t="s">
        <v>136</v>
      </c>
      <c r="G615" s="19" t="s">
        <v>1157</v>
      </c>
      <c r="H615" s="369" t="s">
        <v>1158</v>
      </c>
      <c r="I615" s="71" t="s">
        <v>131</v>
      </c>
      <c r="J615" s="175" t="s">
        <v>209</v>
      </c>
      <c r="K615" s="112" t="s">
        <v>131</v>
      </c>
      <c r="L615" s="71" t="s">
        <v>137</v>
      </c>
      <c r="M615" s="71" t="s">
        <v>735</v>
      </c>
      <c r="N615" s="80" t="s">
        <v>28</v>
      </c>
      <c r="O615" s="295">
        <v>-150</v>
      </c>
      <c r="P615" s="75"/>
      <c r="Z615" s="16"/>
      <c r="AA615" s="16"/>
      <c r="AB615" s="16"/>
    </row>
    <row r="616" spans="2:29" ht="21.75" hidden="1" customHeight="1">
      <c r="B616" s="68">
        <v>46244</v>
      </c>
      <c r="C616" s="69" t="str">
        <f t="shared" si="9"/>
        <v>Agosto</v>
      </c>
      <c r="D616" s="77" t="s">
        <v>300</v>
      </c>
      <c r="E616" s="72" t="s">
        <v>475</v>
      </c>
      <c r="F616" s="70" t="s">
        <v>136</v>
      </c>
      <c r="G616" s="71" t="s">
        <v>212</v>
      </c>
      <c r="H616" s="77" t="s">
        <v>761</v>
      </c>
      <c r="I616" s="71" t="s">
        <v>131</v>
      </c>
      <c r="J616" s="367" t="s">
        <v>209</v>
      </c>
      <c r="K616" s="78" t="s">
        <v>131</v>
      </c>
      <c r="L616" s="71" t="s">
        <v>137</v>
      </c>
      <c r="M616" s="71" t="s">
        <v>735</v>
      </c>
      <c r="N616" s="80" t="s">
        <v>28</v>
      </c>
      <c r="O616" s="295">
        <v>-1000</v>
      </c>
      <c r="P616" s="75"/>
      <c r="Z616" s="16"/>
      <c r="AA616" s="16"/>
      <c r="AB616" s="16"/>
    </row>
    <row r="617" spans="2:29" ht="21.75" hidden="1" customHeight="1">
      <c r="B617" s="68">
        <v>46244</v>
      </c>
      <c r="C617" s="69" t="str">
        <f t="shared" si="9"/>
        <v>Agosto</v>
      </c>
      <c r="D617" s="77" t="s">
        <v>298</v>
      </c>
      <c r="E617" s="72" t="s">
        <v>515</v>
      </c>
      <c r="F617" s="70" t="s">
        <v>138</v>
      </c>
      <c r="G617" s="71" t="s">
        <v>146</v>
      </c>
      <c r="H617" s="77" t="s">
        <v>153</v>
      </c>
      <c r="I617" s="71" t="s">
        <v>131</v>
      </c>
      <c r="J617" s="389" t="s">
        <v>807</v>
      </c>
      <c r="K617" s="71" t="s">
        <v>131</v>
      </c>
      <c r="L617" s="71" t="s">
        <v>134</v>
      </c>
      <c r="M617" s="71" t="s">
        <v>735</v>
      </c>
      <c r="N617" s="80" t="s">
        <v>28</v>
      </c>
      <c r="O617" s="295">
        <v>-1120</v>
      </c>
      <c r="P617" s="75"/>
      <c r="Z617" s="16"/>
      <c r="AA617" s="16"/>
      <c r="AB617" s="16"/>
    </row>
    <row r="618" spans="2:29" ht="21.75" hidden="1" customHeight="1">
      <c r="B618" s="376">
        <v>46244</v>
      </c>
      <c r="C618" s="377" t="str">
        <f t="shared" si="9"/>
        <v>Agosto</v>
      </c>
      <c r="D618" s="378" t="s">
        <v>386</v>
      </c>
      <c r="E618" s="379" t="s">
        <v>468</v>
      </c>
      <c r="F618" s="380" t="s">
        <v>131</v>
      </c>
      <c r="G618" s="342" t="s">
        <v>480</v>
      </c>
      <c r="H618" s="378" t="s">
        <v>1008</v>
      </c>
      <c r="I618" s="342" t="s">
        <v>131</v>
      </c>
      <c r="J618" s="112" t="s">
        <v>131</v>
      </c>
      <c r="K618" s="343" t="s">
        <v>131</v>
      </c>
      <c r="L618" s="342" t="s">
        <v>131</v>
      </c>
      <c r="M618" s="342" t="s">
        <v>730</v>
      </c>
      <c r="N618" s="381" t="s">
        <v>521</v>
      </c>
      <c r="O618" s="295">
        <v>3625</v>
      </c>
      <c r="P618" s="75"/>
      <c r="Z618" s="16"/>
      <c r="AA618" s="16"/>
      <c r="AB618" s="16"/>
    </row>
    <row r="619" spans="2:29" ht="21.75" hidden="1" customHeight="1">
      <c r="B619" s="68">
        <v>46245</v>
      </c>
      <c r="C619" s="69" t="str">
        <f t="shared" si="9"/>
        <v>Agosto</v>
      </c>
      <c r="D619" s="77" t="s">
        <v>508</v>
      </c>
      <c r="E619" s="72" t="s">
        <v>497</v>
      </c>
      <c r="F619" s="70" t="s">
        <v>534</v>
      </c>
      <c r="G619" s="71" t="s">
        <v>1090</v>
      </c>
      <c r="H619" s="77" t="s">
        <v>1324</v>
      </c>
      <c r="I619" s="71" t="s">
        <v>595</v>
      </c>
      <c r="J619" s="393" t="s">
        <v>1358</v>
      </c>
      <c r="K619" s="78" t="s">
        <v>783</v>
      </c>
      <c r="L619" s="71" t="s">
        <v>137</v>
      </c>
      <c r="M619" s="71" t="s">
        <v>730</v>
      </c>
      <c r="N619" s="80" t="s">
        <v>151</v>
      </c>
      <c r="O619" s="295">
        <v>-3625</v>
      </c>
      <c r="P619" s="75"/>
      <c r="Z619" s="16"/>
      <c r="AA619" s="16"/>
      <c r="AB619" s="16"/>
    </row>
    <row r="620" spans="2:29" s="465" customFormat="1" ht="21.75" hidden="1" customHeight="1">
      <c r="B620" s="68">
        <v>46245</v>
      </c>
      <c r="C620" s="69" t="str">
        <f t="shared" si="9"/>
        <v>Agosto</v>
      </c>
      <c r="D620" s="77" t="s">
        <v>302</v>
      </c>
      <c r="E620" s="72" t="s">
        <v>436</v>
      </c>
      <c r="F620" s="70" t="s">
        <v>138</v>
      </c>
      <c r="G620" s="71" t="s">
        <v>480</v>
      </c>
      <c r="H620" s="379" t="s">
        <v>482</v>
      </c>
      <c r="I620" s="71" t="s">
        <v>131</v>
      </c>
      <c r="J620" s="389" t="s">
        <v>804</v>
      </c>
      <c r="K620" s="76" t="s">
        <v>131</v>
      </c>
      <c r="L620" s="71" t="s">
        <v>197</v>
      </c>
      <c r="M620" s="71" t="s">
        <v>730</v>
      </c>
      <c r="N620" s="80" t="s">
        <v>151</v>
      </c>
      <c r="O620" s="295">
        <v>-56.5</v>
      </c>
      <c r="P620" s="296"/>
      <c r="Y620" s="45"/>
      <c r="AC620" s="45"/>
    </row>
    <row r="621" spans="2:29" ht="21.75" hidden="1" customHeight="1">
      <c r="B621" s="376">
        <v>46249</v>
      </c>
      <c r="C621" s="377" t="str">
        <f t="shared" si="9"/>
        <v>Agosto</v>
      </c>
      <c r="D621" s="378" t="s">
        <v>508</v>
      </c>
      <c r="E621" s="379" t="s">
        <v>497</v>
      </c>
      <c r="F621" s="380" t="s">
        <v>534</v>
      </c>
      <c r="G621" s="342" t="s">
        <v>1263</v>
      </c>
      <c r="H621" s="369" t="s">
        <v>1264</v>
      </c>
      <c r="I621" s="342" t="s">
        <v>595</v>
      </c>
      <c r="J621" s="342" t="s">
        <v>1364</v>
      </c>
      <c r="K621" s="343" t="s">
        <v>789</v>
      </c>
      <c r="L621" s="342" t="s">
        <v>1046</v>
      </c>
      <c r="M621" s="71" t="s">
        <v>730</v>
      </c>
      <c r="N621" s="381" t="s">
        <v>28</v>
      </c>
      <c r="O621" s="295">
        <v>-146.75</v>
      </c>
      <c r="P621" s="75"/>
      <c r="Z621" s="16"/>
      <c r="AA621" s="16"/>
      <c r="AB621" s="16"/>
    </row>
    <row r="622" spans="2:29" ht="21.75" hidden="1" customHeight="1">
      <c r="B622" s="68">
        <v>46249</v>
      </c>
      <c r="C622" s="69" t="str">
        <f t="shared" si="9"/>
        <v>Agosto</v>
      </c>
      <c r="D622" s="77" t="s">
        <v>298</v>
      </c>
      <c r="E622" s="72" t="s">
        <v>440</v>
      </c>
      <c r="F622" s="70" t="s">
        <v>136</v>
      </c>
      <c r="G622" s="71" t="s">
        <v>425</v>
      </c>
      <c r="H622" s="77" t="s">
        <v>251</v>
      </c>
      <c r="I622" s="71" t="s">
        <v>131</v>
      </c>
      <c r="J622" s="112" t="s">
        <v>131</v>
      </c>
      <c r="K622" s="78" t="s">
        <v>282</v>
      </c>
      <c r="L622" s="71" t="s">
        <v>1046</v>
      </c>
      <c r="M622" s="71" t="s">
        <v>735</v>
      </c>
      <c r="N622" s="80" t="s">
        <v>28</v>
      </c>
      <c r="O622" s="295">
        <v>-24.16</v>
      </c>
      <c r="P622" s="75"/>
      <c r="Z622" s="16"/>
      <c r="AA622" s="16"/>
      <c r="AB622" s="16"/>
    </row>
    <row r="623" spans="2:29" ht="21.75" hidden="1" customHeight="1">
      <c r="B623" s="68">
        <v>46249</v>
      </c>
      <c r="C623" s="69" t="str">
        <f t="shared" si="9"/>
        <v>Agosto</v>
      </c>
      <c r="D623" s="77" t="s">
        <v>300</v>
      </c>
      <c r="E623" s="72" t="s">
        <v>433</v>
      </c>
      <c r="F623" s="70" t="s">
        <v>136</v>
      </c>
      <c r="G623" s="71" t="s">
        <v>142</v>
      </c>
      <c r="H623" s="77" t="s">
        <v>155</v>
      </c>
      <c r="I623" s="71" t="s">
        <v>131</v>
      </c>
      <c r="J623" s="367" t="s">
        <v>209</v>
      </c>
      <c r="K623" s="78" t="s">
        <v>131</v>
      </c>
      <c r="L623" s="71" t="s">
        <v>137</v>
      </c>
      <c r="M623" s="71" t="s">
        <v>735</v>
      </c>
      <c r="N623" s="80" t="s">
        <v>28</v>
      </c>
      <c r="O623" s="295">
        <v>-1165.5899999999999</v>
      </c>
      <c r="P623" s="75"/>
      <c r="Z623" s="16"/>
      <c r="AA623" s="16"/>
      <c r="AB623" s="16"/>
    </row>
    <row r="624" spans="2:29" ht="21.75" hidden="1" customHeight="1">
      <c r="B624" s="68">
        <v>46249</v>
      </c>
      <c r="C624" s="69" t="str">
        <f t="shared" si="9"/>
        <v>Agosto</v>
      </c>
      <c r="D624" s="77" t="s">
        <v>298</v>
      </c>
      <c r="E624" s="72" t="s">
        <v>440</v>
      </c>
      <c r="F624" s="70" t="s">
        <v>136</v>
      </c>
      <c r="G624" s="19" t="s">
        <v>426</v>
      </c>
      <c r="H624" s="369" t="s">
        <v>252</v>
      </c>
      <c r="I624" s="71" t="s">
        <v>131</v>
      </c>
      <c r="J624" s="342" t="s">
        <v>1441</v>
      </c>
      <c r="K624" s="112" t="s">
        <v>278</v>
      </c>
      <c r="L624" s="71" t="s">
        <v>1046</v>
      </c>
      <c r="M624" s="71" t="s">
        <v>735</v>
      </c>
      <c r="N624" s="80" t="s">
        <v>28</v>
      </c>
      <c r="O624" s="295">
        <v>-413.38</v>
      </c>
      <c r="P624" s="75"/>
      <c r="Z624" s="16"/>
      <c r="AA624" s="16"/>
      <c r="AB624" s="16"/>
    </row>
    <row r="625" spans="2:28" ht="21.75" hidden="1" customHeight="1">
      <c r="B625" s="68">
        <v>46249</v>
      </c>
      <c r="C625" s="69" t="str">
        <f t="shared" si="9"/>
        <v>Agosto</v>
      </c>
      <c r="D625" s="77" t="s">
        <v>300</v>
      </c>
      <c r="E625" s="72" t="s">
        <v>432</v>
      </c>
      <c r="F625" s="70" t="s">
        <v>136</v>
      </c>
      <c r="G625" s="19" t="s">
        <v>434</v>
      </c>
      <c r="H625" s="369" t="s">
        <v>154</v>
      </c>
      <c r="I625" s="71" t="s">
        <v>131</v>
      </c>
      <c r="J625" s="175" t="s">
        <v>209</v>
      </c>
      <c r="K625" s="112" t="s">
        <v>131</v>
      </c>
      <c r="L625" s="71" t="s">
        <v>1046</v>
      </c>
      <c r="M625" s="71" t="s">
        <v>735</v>
      </c>
      <c r="N625" s="80" t="s">
        <v>28</v>
      </c>
      <c r="O625" s="295">
        <v>-235.52</v>
      </c>
      <c r="P625" s="75"/>
      <c r="Z625" s="16"/>
      <c r="AA625" s="16"/>
      <c r="AB625" s="16"/>
    </row>
    <row r="626" spans="2:28" ht="21.75" hidden="1" customHeight="1">
      <c r="B626" s="68">
        <v>46249</v>
      </c>
      <c r="C626" s="69" t="str">
        <f t="shared" si="9"/>
        <v>Agosto</v>
      </c>
      <c r="D626" s="77" t="s">
        <v>508</v>
      </c>
      <c r="E626" s="72" t="s">
        <v>497</v>
      </c>
      <c r="F626" s="70" t="s">
        <v>534</v>
      </c>
      <c r="G626" s="71" t="s">
        <v>1305</v>
      </c>
      <c r="H626" s="369" t="s">
        <v>1360</v>
      </c>
      <c r="I626" s="71" t="s">
        <v>595</v>
      </c>
      <c r="J626" s="389" t="s">
        <v>1236</v>
      </c>
      <c r="K626" s="73" t="s">
        <v>1241</v>
      </c>
      <c r="L626" s="71" t="s">
        <v>1046</v>
      </c>
      <c r="M626" s="71" t="s">
        <v>730</v>
      </c>
      <c r="N626" s="80" t="s">
        <v>28</v>
      </c>
      <c r="O626" s="295">
        <v>-2288.37</v>
      </c>
      <c r="P626" s="75"/>
      <c r="Q626" s="88"/>
      <c r="Z626" s="16"/>
      <c r="AA626" s="16"/>
      <c r="AB626" s="16"/>
    </row>
    <row r="627" spans="2:28" ht="21.75" hidden="1" customHeight="1">
      <c r="B627" s="68">
        <v>46249</v>
      </c>
      <c r="C627" s="69" t="str">
        <f t="shared" si="9"/>
        <v>Agosto</v>
      </c>
      <c r="D627" s="77" t="s">
        <v>302</v>
      </c>
      <c r="E627" s="72" t="s">
        <v>1408</v>
      </c>
      <c r="F627" s="70" t="s">
        <v>136</v>
      </c>
      <c r="G627" s="71" t="s">
        <v>480</v>
      </c>
      <c r="H627" s="77" t="s">
        <v>1391</v>
      </c>
      <c r="I627" s="71" t="s">
        <v>131</v>
      </c>
      <c r="J627" s="521" t="s">
        <v>786</v>
      </c>
      <c r="K627" s="73" t="s">
        <v>278</v>
      </c>
      <c r="L627" s="71" t="s">
        <v>1046</v>
      </c>
      <c r="M627" s="71" t="s">
        <v>730</v>
      </c>
      <c r="N627" s="381" t="s">
        <v>28</v>
      </c>
      <c r="O627" s="74">
        <v>-12.5</v>
      </c>
      <c r="P627" s="75"/>
      <c r="Q627" s="88"/>
      <c r="Z627" s="16"/>
      <c r="AA627" s="16"/>
      <c r="AB627" s="16"/>
    </row>
    <row r="628" spans="2:28" ht="21.75" hidden="1" customHeight="1">
      <c r="B628" s="68">
        <v>46254</v>
      </c>
      <c r="C628" s="69" t="str">
        <f t="shared" si="9"/>
        <v>Agosto</v>
      </c>
      <c r="D628" s="77" t="s">
        <v>299</v>
      </c>
      <c r="E628" s="72" t="s">
        <v>764</v>
      </c>
      <c r="F628" s="70" t="s">
        <v>138</v>
      </c>
      <c r="G628" s="19" t="s">
        <v>139</v>
      </c>
      <c r="H628" s="369" t="s">
        <v>49</v>
      </c>
      <c r="I628" s="71" t="s">
        <v>131</v>
      </c>
      <c r="J628" s="343" t="s">
        <v>798</v>
      </c>
      <c r="K628" s="112" t="s">
        <v>131</v>
      </c>
      <c r="L628" s="71" t="s">
        <v>150</v>
      </c>
      <c r="M628" s="71" t="s">
        <v>735</v>
      </c>
      <c r="N628" s="80" t="s">
        <v>28</v>
      </c>
      <c r="O628" s="295">
        <v>-400</v>
      </c>
      <c r="P628" s="75"/>
      <c r="Z628" s="16"/>
      <c r="AA628" s="16"/>
      <c r="AB628" s="16"/>
    </row>
    <row r="629" spans="2:28" ht="21.75" hidden="1" customHeight="1">
      <c r="B629" s="68">
        <v>46254</v>
      </c>
      <c r="C629" s="69" t="str">
        <f t="shared" si="9"/>
        <v>Agosto</v>
      </c>
      <c r="D629" s="77" t="s">
        <v>299</v>
      </c>
      <c r="E629" s="72" t="s">
        <v>764</v>
      </c>
      <c r="F629" s="70" t="s">
        <v>138</v>
      </c>
      <c r="G629" s="19" t="s">
        <v>163</v>
      </c>
      <c r="H629" s="77" t="s">
        <v>50</v>
      </c>
      <c r="I629" s="71" t="s">
        <v>131</v>
      </c>
      <c r="J629" s="343" t="s">
        <v>798</v>
      </c>
      <c r="K629" s="71" t="s">
        <v>131</v>
      </c>
      <c r="L629" s="71" t="s">
        <v>150</v>
      </c>
      <c r="M629" s="71" t="s">
        <v>735</v>
      </c>
      <c r="N629" s="80" t="s">
        <v>28</v>
      </c>
      <c r="O629" s="295">
        <v>-1846.36</v>
      </c>
      <c r="P629" s="75"/>
      <c r="Z629" s="16"/>
      <c r="AA629" s="16"/>
      <c r="AB629" s="16"/>
    </row>
    <row r="630" spans="2:28" ht="21.75" hidden="1" customHeight="1">
      <c r="B630" s="68">
        <v>46258</v>
      </c>
      <c r="C630" s="69" t="str">
        <f t="shared" si="9"/>
        <v>Agosto</v>
      </c>
      <c r="D630" s="77" t="s">
        <v>509</v>
      </c>
      <c r="E630" s="72" t="s">
        <v>502</v>
      </c>
      <c r="F630" s="70" t="s">
        <v>138</v>
      </c>
      <c r="G630" s="19" t="s">
        <v>141</v>
      </c>
      <c r="H630" s="77" t="s">
        <v>187</v>
      </c>
      <c r="I630" s="71" t="s">
        <v>131</v>
      </c>
      <c r="J630" s="343" t="s">
        <v>804</v>
      </c>
      <c r="K630" s="71" t="s">
        <v>131</v>
      </c>
      <c r="L630" s="71" t="s">
        <v>134</v>
      </c>
      <c r="M630" s="71" t="s">
        <v>735</v>
      </c>
      <c r="N630" s="80" t="s">
        <v>28</v>
      </c>
      <c r="O630" s="295">
        <v>-9772.07</v>
      </c>
      <c r="P630" s="75"/>
      <c r="Z630" s="16"/>
      <c r="AA630" s="16"/>
      <c r="AB630" s="16"/>
    </row>
    <row r="631" spans="2:28" ht="21.75" hidden="1" customHeight="1">
      <c r="B631" s="68">
        <v>46259</v>
      </c>
      <c r="C631" s="69" t="str">
        <f t="shared" si="9"/>
        <v>Agosto</v>
      </c>
      <c r="D631" s="77" t="s">
        <v>299</v>
      </c>
      <c r="E631" s="72" t="s">
        <v>303</v>
      </c>
      <c r="F631" s="70" t="s">
        <v>136</v>
      </c>
      <c r="G631" s="71" t="s">
        <v>897</v>
      </c>
      <c r="H631" s="77" t="s">
        <v>766</v>
      </c>
      <c r="I631" s="71" t="s">
        <v>131</v>
      </c>
      <c r="J631" s="392" t="s">
        <v>209</v>
      </c>
      <c r="K631" s="78" t="s">
        <v>131</v>
      </c>
      <c r="L631" s="71" t="s">
        <v>137</v>
      </c>
      <c r="M631" s="71" t="s">
        <v>735</v>
      </c>
      <c r="N631" s="80" t="s">
        <v>28</v>
      </c>
      <c r="O631" s="295">
        <v>-180</v>
      </c>
      <c r="P631" s="75"/>
      <c r="Z631" s="16"/>
      <c r="AA631" s="16"/>
      <c r="AB631" s="16"/>
    </row>
    <row r="632" spans="2:28" ht="21.75" hidden="1" customHeight="1">
      <c r="B632" s="68">
        <v>46259</v>
      </c>
      <c r="C632" s="69" t="str">
        <f t="shared" si="9"/>
        <v>Agosto</v>
      </c>
      <c r="D632" s="77" t="s">
        <v>299</v>
      </c>
      <c r="E632" s="72" t="s">
        <v>303</v>
      </c>
      <c r="F632" s="70" t="s">
        <v>136</v>
      </c>
      <c r="G632" s="71" t="s">
        <v>897</v>
      </c>
      <c r="H632" s="72" t="s">
        <v>767</v>
      </c>
      <c r="I632" s="71" t="s">
        <v>131</v>
      </c>
      <c r="J632" s="392" t="s">
        <v>209</v>
      </c>
      <c r="K632" s="73" t="s">
        <v>131</v>
      </c>
      <c r="L632" s="71" t="s">
        <v>137</v>
      </c>
      <c r="M632" s="71" t="s">
        <v>735</v>
      </c>
      <c r="N632" s="80" t="s">
        <v>28</v>
      </c>
      <c r="O632" s="295">
        <v>-310</v>
      </c>
      <c r="P632" s="75"/>
      <c r="Z632" s="16"/>
      <c r="AA632" s="16"/>
      <c r="AB632" s="16"/>
    </row>
    <row r="633" spans="2:28" ht="21.75" hidden="1" customHeight="1">
      <c r="B633" s="68">
        <v>46264</v>
      </c>
      <c r="C633" s="69" t="str">
        <f t="shared" si="9"/>
        <v>Agosto</v>
      </c>
      <c r="D633" s="77" t="s">
        <v>300</v>
      </c>
      <c r="E633" s="72" t="s">
        <v>478</v>
      </c>
      <c r="F633" s="70" t="s">
        <v>136</v>
      </c>
      <c r="G633" s="71" t="s">
        <v>136</v>
      </c>
      <c r="H633" s="72" t="s">
        <v>136</v>
      </c>
      <c r="I633" s="71" t="s">
        <v>131</v>
      </c>
      <c r="J633" s="389" t="s">
        <v>804</v>
      </c>
      <c r="K633" s="73" t="s">
        <v>131</v>
      </c>
      <c r="L633" s="71" t="s">
        <v>134</v>
      </c>
      <c r="M633" s="71" t="s">
        <v>735</v>
      </c>
      <c r="N633" s="80" t="s">
        <v>207</v>
      </c>
      <c r="O633" s="295">
        <f>-1*(SUMIFS(Aramburu_Mensal!$O$6:$O$984,Aramburu_Mensal!$C$6:$C$984,"Agosto",Aramburu_Mensal!$F$6:$F$984,"Despesas Variáveis",Aramburu_Mensal!$N$6:$N$984,"A pagar")+SUMIFS(Aramburu_Mensal!$O$6:$O$984,Aramburu_Mensal!$C$6:$C$984,"Agosto",Aramburu_Mensal!$F$6:$F$984,"Despesas Variáveis",Aramburu_Mensal!$N$6:$N$984,"Pago")+SUMIFS(Aramburu_Mensal!$O$6:$O$984,Aramburu_Mensal!$C$6:$C$984,"Agosto",Aramburu_Mensal!$F$6:$F$984,"Despesas Variáveis",Aramburu_Mensal!$N$6:$N$984,"Provisionado"))-20000</f>
        <v>-16160.85</v>
      </c>
      <c r="P633" s="75"/>
      <c r="Z633" s="16"/>
      <c r="AA633" s="16"/>
      <c r="AB633" s="16"/>
    </row>
    <row r="634" spans="2:28" ht="21.75" hidden="1" customHeight="1">
      <c r="B634" s="68">
        <v>46266</v>
      </c>
      <c r="C634" s="69" t="str">
        <f t="shared" si="9"/>
        <v>Setembro</v>
      </c>
      <c r="D634" s="77" t="s">
        <v>299</v>
      </c>
      <c r="E634" s="72" t="s">
        <v>757</v>
      </c>
      <c r="F634" s="70" t="s">
        <v>138</v>
      </c>
      <c r="G634" s="71" t="s">
        <v>148</v>
      </c>
      <c r="H634" s="72" t="s">
        <v>269</v>
      </c>
      <c r="I634" s="71" t="s">
        <v>131</v>
      </c>
      <c r="J634" s="389" t="s">
        <v>808</v>
      </c>
      <c r="K634" s="73" t="s">
        <v>131</v>
      </c>
      <c r="L634" s="71" t="s">
        <v>134</v>
      </c>
      <c r="M634" s="71" t="s">
        <v>735</v>
      </c>
      <c r="N634" s="80" t="s">
        <v>28</v>
      </c>
      <c r="O634" s="295">
        <v>-4498.5</v>
      </c>
      <c r="P634" s="75"/>
      <c r="Z634" s="16"/>
      <c r="AA634" s="16"/>
      <c r="AB634" s="16"/>
    </row>
    <row r="635" spans="2:28" ht="21.75" hidden="1" customHeight="1">
      <c r="B635" s="68">
        <v>46266</v>
      </c>
      <c r="C635" s="69" t="str">
        <f t="shared" si="9"/>
        <v>Setembro</v>
      </c>
      <c r="D635" s="77" t="s">
        <v>509</v>
      </c>
      <c r="E635" s="72" t="s">
        <v>500</v>
      </c>
      <c r="F635" s="70" t="s">
        <v>131</v>
      </c>
      <c r="G635" s="71" t="s">
        <v>132</v>
      </c>
      <c r="H635" s="72" t="s">
        <v>133</v>
      </c>
      <c r="I635" s="71" t="s">
        <v>131</v>
      </c>
      <c r="J635" s="343" t="s">
        <v>808</v>
      </c>
      <c r="K635" s="73" t="s">
        <v>131</v>
      </c>
      <c r="L635" s="71" t="s">
        <v>134</v>
      </c>
      <c r="M635" s="71" t="s">
        <v>735</v>
      </c>
      <c r="N635" s="80" t="s">
        <v>266</v>
      </c>
      <c r="O635" s="295">
        <f>-1*(SUMIFS('Distribuição de Lucro_Mensal'!$I$6:$I$680,'Distribuição de Lucro_Mensal'!$D$6:$D$680,"Setembro",'Distribuição de Lucro_Mensal'!$K$6:$K$680,"Provisionado"))</f>
        <v>-121071.13</v>
      </c>
      <c r="P635" s="75"/>
      <c r="Z635" s="16"/>
      <c r="AA635" s="16"/>
      <c r="AB635" s="16"/>
    </row>
    <row r="636" spans="2:28" ht="21.75" hidden="1" customHeight="1">
      <c r="B636" s="68">
        <v>46266</v>
      </c>
      <c r="C636" s="69" t="str">
        <f t="shared" si="9"/>
        <v>Setembro</v>
      </c>
      <c r="D636" s="77" t="s">
        <v>302</v>
      </c>
      <c r="E636" s="72" t="s">
        <v>436</v>
      </c>
      <c r="F636" s="70" t="s">
        <v>138</v>
      </c>
      <c r="G636" s="71" t="s">
        <v>480</v>
      </c>
      <c r="H636" s="77" t="s">
        <v>484</v>
      </c>
      <c r="I636" s="71" t="s">
        <v>131</v>
      </c>
      <c r="J636" s="389" t="s">
        <v>808</v>
      </c>
      <c r="K636" s="71" t="s">
        <v>131</v>
      </c>
      <c r="L636" s="71" t="s">
        <v>197</v>
      </c>
      <c r="M636" s="71" t="s">
        <v>730</v>
      </c>
      <c r="N636" s="80" t="s">
        <v>151</v>
      </c>
      <c r="O636" s="295">
        <v>-100</v>
      </c>
      <c r="P636" s="75"/>
      <c r="Z636" s="16"/>
      <c r="AA636" s="16"/>
      <c r="AB636" s="16"/>
    </row>
    <row r="637" spans="2:28" ht="21.75" hidden="1" customHeight="1">
      <c r="B637" s="68">
        <v>46266</v>
      </c>
      <c r="C637" s="69" t="str">
        <f t="shared" si="9"/>
        <v>Setembro</v>
      </c>
      <c r="D637" s="77" t="s">
        <v>386</v>
      </c>
      <c r="E637" s="72" t="s">
        <v>468</v>
      </c>
      <c r="F637" s="70" t="s">
        <v>131</v>
      </c>
      <c r="G637" s="71" t="s">
        <v>480</v>
      </c>
      <c r="H637" s="72" t="s">
        <v>1008</v>
      </c>
      <c r="I637" s="71" t="s">
        <v>131</v>
      </c>
      <c r="J637" s="343" t="s">
        <v>131</v>
      </c>
      <c r="K637" s="73" t="s">
        <v>131</v>
      </c>
      <c r="L637" s="71" t="s">
        <v>131</v>
      </c>
      <c r="M637" s="71" t="s">
        <v>730</v>
      </c>
      <c r="N637" s="80" t="s">
        <v>161</v>
      </c>
      <c r="O637" s="295">
        <f>-1*(SUMIFS($O$6:$O$1198,$C$6:$C$1198,"Setembro",$F$6:$F$1198,"Despesas Eventuais",$M$6:$M$1198,"Cooperativa Sicredi (0913)",$N$6:$N$1198,"Provisionado"))</f>
        <v>2435.12</v>
      </c>
      <c r="P637" s="75"/>
      <c r="Z637" s="16"/>
      <c r="AA637" s="16"/>
      <c r="AB637" s="16"/>
    </row>
    <row r="638" spans="2:28" ht="21.75" hidden="1" customHeight="1">
      <c r="B638" s="68">
        <v>46266</v>
      </c>
      <c r="C638" s="69" t="str">
        <f t="shared" si="9"/>
        <v>Setembro</v>
      </c>
      <c r="D638" s="77" t="s">
        <v>509</v>
      </c>
      <c r="E638" s="72" t="s">
        <v>500</v>
      </c>
      <c r="F638" s="70" t="s">
        <v>131</v>
      </c>
      <c r="G638" s="71" t="s">
        <v>132</v>
      </c>
      <c r="H638" s="72" t="s">
        <v>133</v>
      </c>
      <c r="I638" s="71" t="s">
        <v>131</v>
      </c>
      <c r="J638" s="343" t="s">
        <v>808</v>
      </c>
      <c r="K638" s="73" t="s">
        <v>131</v>
      </c>
      <c r="L638" s="71" t="s">
        <v>134</v>
      </c>
      <c r="M638" s="71" t="s">
        <v>735</v>
      </c>
      <c r="N638" s="80" t="s">
        <v>266</v>
      </c>
      <c r="O638" s="295">
        <f>-1*(SUMIFS('Distribuição de Lucro_Mensal'!$I$6:$I$680,'Distribuição de Lucro_Mensal'!$D$6:$D$680,"Setembro",'Distribuição de Lucro_Mensal'!$K$6:$K$680,"A pagar"))</f>
        <v>0</v>
      </c>
      <c r="P638" s="75"/>
      <c r="Z638" s="16"/>
      <c r="AA638" s="16"/>
      <c r="AB638" s="16"/>
    </row>
    <row r="639" spans="2:28" ht="21.75" hidden="1" customHeight="1">
      <c r="B639" s="68">
        <v>46267</v>
      </c>
      <c r="C639" s="69" t="str">
        <f t="shared" si="9"/>
        <v>Setembro</v>
      </c>
      <c r="D639" s="77" t="s">
        <v>299</v>
      </c>
      <c r="E639" s="72" t="s">
        <v>303</v>
      </c>
      <c r="F639" s="70" t="s">
        <v>138</v>
      </c>
      <c r="G639" s="71" t="s">
        <v>147</v>
      </c>
      <c r="H639" s="77" t="s">
        <v>629</v>
      </c>
      <c r="I639" s="71" t="s">
        <v>131</v>
      </c>
      <c r="J639" s="367" t="s">
        <v>209</v>
      </c>
      <c r="K639" s="71" t="s">
        <v>131</v>
      </c>
      <c r="L639" s="71" t="s">
        <v>137</v>
      </c>
      <c r="M639" s="71" t="s">
        <v>735</v>
      </c>
      <c r="N639" s="80" t="s">
        <v>28</v>
      </c>
      <c r="O639" s="295">
        <v>-700</v>
      </c>
      <c r="P639" s="75"/>
      <c r="Z639" s="16"/>
      <c r="AA639" s="16"/>
      <c r="AB639" s="16"/>
    </row>
    <row r="640" spans="2:28" ht="21.75" hidden="1" customHeight="1">
      <c r="B640" s="68">
        <v>46270</v>
      </c>
      <c r="C640" s="69" t="str">
        <f t="shared" si="9"/>
        <v>Setembro</v>
      </c>
      <c r="D640" s="77" t="s">
        <v>298</v>
      </c>
      <c r="E640" s="72" t="s">
        <v>513</v>
      </c>
      <c r="F640" s="70" t="s">
        <v>138</v>
      </c>
      <c r="G640" s="71" t="s">
        <v>140</v>
      </c>
      <c r="H640" s="72" t="s">
        <v>152</v>
      </c>
      <c r="I640" s="71" t="s">
        <v>131</v>
      </c>
      <c r="J640" s="367" t="s">
        <v>209</v>
      </c>
      <c r="K640" s="73" t="s">
        <v>131</v>
      </c>
      <c r="L640" s="71" t="s">
        <v>137</v>
      </c>
      <c r="M640" s="71" t="s">
        <v>735</v>
      </c>
      <c r="N640" s="80" t="s">
        <v>28</v>
      </c>
      <c r="O640" s="295">
        <v>-4885</v>
      </c>
      <c r="P640" s="75"/>
      <c r="Z640" s="16"/>
      <c r="AA640" s="16"/>
      <c r="AB640" s="16"/>
    </row>
    <row r="641" spans="2:30" ht="21.75" hidden="1" customHeight="1">
      <c r="B641" s="68">
        <v>46270</v>
      </c>
      <c r="C641" s="69" t="str">
        <f t="shared" si="9"/>
        <v>Setembro</v>
      </c>
      <c r="D641" s="77" t="s">
        <v>301</v>
      </c>
      <c r="E641" s="72" t="s">
        <v>526</v>
      </c>
      <c r="F641" s="70" t="s">
        <v>136</v>
      </c>
      <c r="G641" s="71" t="s">
        <v>548</v>
      </c>
      <c r="H641" s="77" t="s">
        <v>549</v>
      </c>
      <c r="I641" s="71" t="s">
        <v>131</v>
      </c>
      <c r="J641" s="367" t="s">
        <v>209</v>
      </c>
      <c r="K641" s="71" t="s">
        <v>131</v>
      </c>
      <c r="L641" s="71" t="s">
        <v>134</v>
      </c>
      <c r="M641" s="71" t="s">
        <v>735</v>
      </c>
      <c r="N641" s="80" t="s">
        <v>28</v>
      </c>
      <c r="O641" s="295">
        <v>-70</v>
      </c>
      <c r="P641" s="75"/>
      <c r="Z641" s="16"/>
      <c r="AA641" s="16"/>
      <c r="AB641" s="16"/>
    </row>
    <row r="642" spans="2:30" s="341" customFormat="1" ht="21.75" hidden="1" customHeight="1">
      <c r="B642" s="68">
        <v>46270</v>
      </c>
      <c r="C642" s="69" t="str">
        <f t="shared" si="9"/>
        <v>Setembro</v>
      </c>
      <c r="D642" s="77" t="s">
        <v>299</v>
      </c>
      <c r="E642" s="72" t="s">
        <v>757</v>
      </c>
      <c r="F642" s="70" t="s">
        <v>138</v>
      </c>
      <c r="G642" s="71" t="s">
        <v>148</v>
      </c>
      <c r="H642" s="77" t="s">
        <v>177</v>
      </c>
      <c r="I642" s="71" t="s">
        <v>131</v>
      </c>
      <c r="J642" s="389" t="s">
        <v>804</v>
      </c>
      <c r="K642" s="73" t="s">
        <v>131</v>
      </c>
      <c r="L642" s="71" t="s">
        <v>134</v>
      </c>
      <c r="M642" s="71" t="s">
        <v>735</v>
      </c>
      <c r="N642" s="80" t="s">
        <v>28</v>
      </c>
      <c r="O642" s="295">
        <v>-4498.5</v>
      </c>
      <c r="P642" s="296"/>
      <c r="Q642"/>
      <c r="R642"/>
      <c r="S642"/>
      <c r="T642"/>
      <c r="U642"/>
      <c r="V642"/>
      <c r="W642"/>
      <c r="X642"/>
      <c r="Y642" s="45"/>
      <c r="AC642" s="45"/>
    </row>
    <row r="643" spans="2:30" s="341" customFormat="1" ht="21.75" hidden="1" customHeight="1">
      <c r="B643" s="68">
        <v>46272</v>
      </c>
      <c r="C643" s="69" t="str">
        <f t="shared" si="9"/>
        <v>Setembro</v>
      </c>
      <c r="D643" s="77" t="s">
        <v>299</v>
      </c>
      <c r="E643" s="72" t="s">
        <v>303</v>
      </c>
      <c r="F643" s="70" t="s">
        <v>136</v>
      </c>
      <c r="G643" s="19" t="s">
        <v>1157</v>
      </c>
      <c r="H643" s="369" t="s">
        <v>1158</v>
      </c>
      <c r="I643" s="71" t="s">
        <v>131</v>
      </c>
      <c r="J643" s="175" t="s">
        <v>209</v>
      </c>
      <c r="K643" s="112" t="s">
        <v>131</v>
      </c>
      <c r="L643" s="71" t="s">
        <v>137</v>
      </c>
      <c r="M643" s="71" t="s">
        <v>735</v>
      </c>
      <c r="N643" s="80" t="s">
        <v>28</v>
      </c>
      <c r="O643" s="295">
        <v>-150</v>
      </c>
      <c r="P643" s="296"/>
      <c r="Q643"/>
      <c r="R643"/>
      <c r="S643"/>
      <c r="T643"/>
      <c r="U643"/>
      <c r="V643"/>
      <c r="W643"/>
      <c r="X643"/>
      <c r="Y643" s="45"/>
      <c r="AC643" s="45"/>
    </row>
    <row r="644" spans="2:30" s="341" customFormat="1" ht="21.75" hidden="1" customHeight="1">
      <c r="B644" s="68">
        <v>46275</v>
      </c>
      <c r="C644" s="69" t="str">
        <f t="shared" si="9"/>
        <v>Setembro</v>
      </c>
      <c r="D644" s="77" t="s">
        <v>300</v>
      </c>
      <c r="E644" s="72" t="s">
        <v>475</v>
      </c>
      <c r="F644" s="70" t="s">
        <v>136</v>
      </c>
      <c r="G644" s="71" t="s">
        <v>212</v>
      </c>
      <c r="H644" s="72" t="s">
        <v>761</v>
      </c>
      <c r="I644" s="71" t="s">
        <v>131</v>
      </c>
      <c r="J644" s="367" t="s">
        <v>209</v>
      </c>
      <c r="K644" s="73" t="s">
        <v>131</v>
      </c>
      <c r="L644" s="71" t="s">
        <v>137</v>
      </c>
      <c r="M644" s="71" t="s">
        <v>735</v>
      </c>
      <c r="N644" s="80" t="s">
        <v>28</v>
      </c>
      <c r="O644" s="295">
        <v>-1000</v>
      </c>
      <c r="P644" s="296"/>
      <c r="Q644"/>
      <c r="R644"/>
      <c r="S644"/>
      <c r="T644"/>
      <c r="U644"/>
      <c r="V644"/>
      <c r="W644"/>
      <c r="X644"/>
      <c r="Y644" s="45"/>
      <c r="AC644" s="45"/>
    </row>
    <row r="645" spans="2:30" s="341" customFormat="1" ht="21" hidden="1" customHeight="1">
      <c r="B645" s="68">
        <v>46275</v>
      </c>
      <c r="C645" s="69" t="str">
        <f t="shared" si="9"/>
        <v>Setembro</v>
      </c>
      <c r="D645" s="77" t="s">
        <v>298</v>
      </c>
      <c r="E645" s="72" t="s">
        <v>515</v>
      </c>
      <c r="F645" s="70" t="s">
        <v>138</v>
      </c>
      <c r="G645" s="71" t="s">
        <v>146</v>
      </c>
      <c r="H645" s="77" t="s">
        <v>153</v>
      </c>
      <c r="I645" s="71" t="s">
        <v>131</v>
      </c>
      <c r="J645" s="389" t="s">
        <v>809</v>
      </c>
      <c r="K645" s="71" t="s">
        <v>131</v>
      </c>
      <c r="L645" s="71" t="s">
        <v>134</v>
      </c>
      <c r="M645" s="71" t="s">
        <v>735</v>
      </c>
      <c r="N645" s="80" t="s">
        <v>28</v>
      </c>
      <c r="O645" s="295">
        <v>-1120</v>
      </c>
      <c r="P645" s="296"/>
      <c r="Q645"/>
      <c r="R645"/>
      <c r="S645"/>
      <c r="T645"/>
      <c r="U645"/>
      <c r="V645"/>
      <c r="W645"/>
      <c r="X645"/>
      <c r="Y645" s="45"/>
      <c r="AC645" s="45"/>
    </row>
    <row r="646" spans="2:30" s="341" customFormat="1" ht="21.75" hidden="1" customHeight="1">
      <c r="B646" s="376">
        <v>46275</v>
      </c>
      <c r="C646" s="377" t="str">
        <f t="shared" si="9"/>
        <v>Setembro</v>
      </c>
      <c r="D646" s="378" t="s">
        <v>386</v>
      </c>
      <c r="E646" s="379" t="s">
        <v>468</v>
      </c>
      <c r="F646" s="380" t="s">
        <v>131</v>
      </c>
      <c r="G646" s="342" t="s">
        <v>480</v>
      </c>
      <c r="H646" s="378" t="s">
        <v>1008</v>
      </c>
      <c r="I646" s="342" t="s">
        <v>131</v>
      </c>
      <c r="J646" s="112" t="s">
        <v>131</v>
      </c>
      <c r="K646" s="343" t="s">
        <v>131</v>
      </c>
      <c r="L646" s="342" t="s">
        <v>131</v>
      </c>
      <c r="M646" s="342" t="s">
        <v>730</v>
      </c>
      <c r="N646" s="381" t="s">
        <v>521</v>
      </c>
      <c r="O646" s="295">
        <v>3625</v>
      </c>
      <c r="P646" s="296"/>
      <c r="Q646"/>
      <c r="R646"/>
      <c r="S646"/>
      <c r="T646"/>
      <c r="U646"/>
      <c r="V646"/>
      <c r="W646"/>
      <c r="X646"/>
      <c r="Y646" s="45"/>
      <c r="AC646" s="45"/>
    </row>
    <row r="647" spans="2:30" s="341" customFormat="1" ht="21.75" hidden="1" customHeight="1">
      <c r="B647" s="68">
        <v>46276</v>
      </c>
      <c r="C647" s="69" t="str">
        <f t="shared" ref="C647:C710" si="10">PROPER(TEXT(B647,"MMMM"))</f>
        <v>Setembro</v>
      </c>
      <c r="D647" s="77" t="s">
        <v>508</v>
      </c>
      <c r="E647" s="72" t="s">
        <v>497</v>
      </c>
      <c r="F647" s="70" t="s">
        <v>534</v>
      </c>
      <c r="G647" s="71" t="s">
        <v>1090</v>
      </c>
      <c r="H647" s="77" t="s">
        <v>1324</v>
      </c>
      <c r="I647" s="71" t="s">
        <v>595</v>
      </c>
      <c r="J647" s="393" t="s">
        <v>1358</v>
      </c>
      <c r="K647" s="78" t="s">
        <v>789</v>
      </c>
      <c r="L647" s="71" t="s">
        <v>137</v>
      </c>
      <c r="M647" s="71" t="s">
        <v>730</v>
      </c>
      <c r="N647" s="80" t="s">
        <v>151</v>
      </c>
      <c r="O647" s="295">
        <v>-3625</v>
      </c>
      <c r="P647" s="296"/>
      <c r="Q647"/>
      <c r="R647"/>
      <c r="S647"/>
      <c r="T647"/>
      <c r="U647"/>
      <c r="V647"/>
      <c r="W647"/>
      <c r="X647"/>
      <c r="Y647" s="45"/>
      <c r="AC647" s="45"/>
    </row>
    <row r="648" spans="2:30" s="465" customFormat="1" ht="21.75" hidden="1" customHeight="1">
      <c r="B648" s="68">
        <v>46276</v>
      </c>
      <c r="C648" s="69" t="str">
        <f t="shared" si="10"/>
        <v>Setembro</v>
      </c>
      <c r="D648" s="77" t="s">
        <v>302</v>
      </c>
      <c r="E648" s="72" t="s">
        <v>436</v>
      </c>
      <c r="F648" s="70" t="s">
        <v>138</v>
      </c>
      <c r="G648" s="71" t="s">
        <v>480</v>
      </c>
      <c r="H648" s="379" t="s">
        <v>482</v>
      </c>
      <c r="I648" s="71" t="s">
        <v>131</v>
      </c>
      <c r="J648" s="389" t="s">
        <v>808</v>
      </c>
      <c r="K648" s="73" t="s">
        <v>131</v>
      </c>
      <c r="L648" s="71" t="s">
        <v>197</v>
      </c>
      <c r="M648" s="71" t="s">
        <v>730</v>
      </c>
      <c r="N648" s="80" t="s">
        <v>151</v>
      </c>
      <c r="O648" s="295">
        <v>-56.5</v>
      </c>
      <c r="P648" s="296"/>
      <c r="Y648" s="45"/>
      <c r="AC648" s="45"/>
    </row>
    <row r="649" spans="2:30" s="79" customFormat="1" ht="21.75" hidden="1" customHeight="1">
      <c r="B649" s="376">
        <v>46280</v>
      </c>
      <c r="C649" s="377" t="str">
        <f t="shared" si="10"/>
        <v>Setembro</v>
      </c>
      <c r="D649" s="378" t="s">
        <v>508</v>
      </c>
      <c r="E649" s="379" t="s">
        <v>497</v>
      </c>
      <c r="F649" s="380" t="s">
        <v>534</v>
      </c>
      <c r="G649" s="342" t="s">
        <v>1263</v>
      </c>
      <c r="H649" s="369" t="s">
        <v>1264</v>
      </c>
      <c r="I649" s="342" t="s">
        <v>595</v>
      </c>
      <c r="J649" s="342" t="s">
        <v>1364</v>
      </c>
      <c r="K649" s="343" t="s">
        <v>794</v>
      </c>
      <c r="L649" s="342" t="s">
        <v>1046</v>
      </c>
      <c r="M649" s="71" t="s">
        <v>730</v>
      </c>
      <c r="N649" s="381" t="s">
        <v>28</v>
      </c>
      <c r="O649" s="295">
        <v>-146.75</v>
      </c>
      <c r="P649" s="75"/>
      <c r="Y649" s="45"/>
      <c r="AC649" s="45"/>
    </row>
    <row r="650" spans="2:30" ht="21.75" hidden="1" customHeight="1">
      <c r="B650" s="68">
        <v>46280</v>
      </c>
      <c r="C650" s="69" t="str">
        <f t="shared" si="10"/>
        <v>Setembro</v>
      </c>
      <c r="D650" s="77" t="s">
        <v>300</v>
      </c>
      <c r="E650" s="72" t="s">
        <v>433</v>
      </c>
      <c r="F650" s="70" t="s">
        <v>136</v>
      </c>
      <c r="G650" s="71" t="s">
        <v>142</v>
      </c>
      <c r="H650" s="77" t="s">
        <v>155</v>
      </c>
      <c r="I650" s="71" t="s">
        <v>131</v>
      </c>
      <c r="J650" s="367" t="s">
        <v>209</v>
      </c>
      <c r="K650" s="73" t="s">
        <v>131</v>
      </c>
      <c r="L650" s="71" t="s">
        <v>137</v>
      </c>
      <c r="M650" s="71" t="s">
        <v>735</v>
      </c>
      <c r="N650" s="80" t="s">
        <v>28</v>
      </c>
      <c r="O650" s="295">
        <v>-1165.5899999999999</v>
      </c>
      <c r="P650" s="75"/>
      <c r="Z650" s="16"/>
      <c r="AA650" s="16"/>
      <c r="AB650" s="16"/>
    </row>
    <row r="651" spans="2:30" ht="21.75" hidden="1" customHeight="1">
      <c r="B651" s="68">
        <v>46280</v>
      </c>
      <c r="C651" s="69" t="str">
        <f t="shared" si="10"/>
        <v>Setembro</v>
      </c>
      <c r="D651" s="77" t="s">
        <v>298</v>
      </c>
      <c r="E651" s="72" t="s">
        <v>440</v>
      </c>
      <c r="F651" s="70" t="s">
        <v>136</v>
      </c>
      <c r="G651" s="71" t="s">
        <v>425</v>
      </c>
      <c r="H651" s="77" t="s">
        <v>251</v>
      </c>
      <c r="I651" s="71" t="s">
        <v>131</v>
      </c>
      <c r="J651" s="112" t="s">
        <v>131</v>
      </c>
      <c r="K651" s="71" t="s">
        <v>283</v>
      </c>
      <c r="L651" s="71" t="s">
        <v>1046</v>
      </c>
      <c r="M651" s="71" t="s">
        <v>735</v>
      </c>
      <c r="N651" s="80" t="s">
        <v>28</v>
      </c>
      <c r="O651" s="295">
        <v>-24.16</v>
      </c>
      <c r="P651"/>
      <c r="Y651"/>
      <c r="Z651"/>
      <c r="AA651"/>
      <c r="AB651"/>
      <c r="AC651"/>
      <c r="AD651"/>
    </row>
    <row r="652" spans="2:30" s="79" customFormat="1" ht="21.75" hidden="1" customHeight="1">
      <c r="B652" s="68">
        <v>46280</v>
      </c>
      <c r="C652" s="69" t="str">
        <f t="shared" si="10"/>
        <v>Setembro</v>
      </c>
      <c r="D652" s="77" t="s">
        <v>298</v>
      </c>
      <c r="E652" s="72" t="s">
        <v>440</v>
      </c>
      <c r="F652" s="70" t="s">
        <v>136</v>
      </c>
      <c r="G652" s="71" t="s">
        <v>426</v>
      </c>
      <c r="H652" s="72" t="s">
        <v>252</v>
      </c>
      <c r="I652" s="71" t="s">
        <v>131</v>
      </c>
      <c r="J652" s="342" t="s">
        <v>1441</v>
      </c>
      <c r="K652" s="73" t="s">
        <v>279</v>
      </c>
      <c r="L652" s="71" t="s">
        <v>1046</v>
      </c>
      <c r="M652" s="71" t="s">
        <v>735</v>
      </c>
      <c r="N652" s="80" t="s">
        <v>28</v>
      </c>
      <c r="O652" s="295">
        <v>-413.38</v>
      </c>
      <c r="P652" s="75"/>
      <c r="Y652" s="45"/>
      <c r="AC652" s="45"/>
    </row>
    <row r="653" spans="2:30" s="79" customFormat="1" ht="21.75" hidden="1" customHeight="1">
      <c r="B653" s="68">
        <v>46280</v>
      </c>
      <c r="C653" s="69" t="str">
        <f t="shared" si="10"/>
        <v>Setembro</v>
      </c>
      <c r="D653" s="77" t="s">
        <v>300</v>
      </c>
      <c r="E653" s="72" t="s">
        <v>432</v>
      </c>
      <c r="F653" s="70" t="s">
        <v>136</v>
      </c>
      <c r="G653" s="71" t="s">
        <v>434</v>
      </c>
      <c r="H653" s="77" t="s">
        <v>154</v>
      </c>
      <c r="I653" s="71" t="s">
        <v>131</v>
      </c>
      <c r="J653" s="175" t="s">
        <v>209</v>
      </c>
      <c r="K653" s="78" t="s">
        <v>131</v>
      </c>
      <c r="L653" s="71" t="s">
        <v>1046</v>
      </c>
      <c r="M653" s="71" t="s">
        <v>735</v>
      </c>
      <c r="N653" s="80" t="s">
        <v>28</v>
      </c>
      <c r="O653" s="295">
        <v>-235.52</v>
      </c>
      <c r="P653" s="75"/>
      <c r="Y653" s="45"/>
      <c r="AC653" s="45"/>
    </row>
    <row r="654" spans="2:30" s="341" customFormat="1" ht="21.75" hidden="1" customHeight="1">
      <c r="B654" s="68">
        <v>46280</v>
      </c>
      <c r="C654" s="69" t="str">
        <f t="shared" si="10"/>
        <v>Setembro</v>
      </c>
      <c r="D654" s="77" t="s">
        <v>508</v>
      </c>
      <c r="E654" s="72" t="s">
        <v>497</v>
      </c>
      <c r="F654" s="70" t="s">
        <v>534</v>
      </c>
      <c r="G654" s="71" t="s">
        <v>1305</v>
      </c>
      <c r="H654" s="369" t="s">
        <v>1360</v>
      </c>
      <c r="I654" s="71" t="s">
        <v>595</v>
      </c>
      <c r="J654" s="389" t="s">
        <v>1236</v>
      </c>
      <c r="K654" s="73" t="s">
        <v>1242</v>
      </c>
      <c r="L654" s="71" t="s">
        <v>1046</v>
      </c>
      <c r="M654" s="71" t="s">
        <v>730</v>
      </c>
      <c r="N654" s="80" t="s">
        <v>28</v>
      </c>
      <c r="O654" s="295">
        <v>-2288.37</v>
      </c>
      <c r="P654" s="296"/>
      <c r="Q654"/>
      <c r="R654"/>
      <c r="S654"/>
      <c r="T654"/>
      <c r="U654"/>
      <c r="V654"/>
      <c r="W654"/>
      <c r="X654"/>
      <c r="Y654" s="45"/>
      <c r="AC654" s="45"/>
    </row>
    <row r="655" spans="2:30" s="341" customFormat="1" ht="21.75" hidden="1" customHeight="1">
      <c r="B655" s="68">
        <v>46280</v>
      </c>
      <c r="C655" s="69" t="str">
        <f t="shared" si="10"/>
        <v>Setembro</v>
      </c>
      <c r="D655" s="77" t="s">
        <v>302</v>
      </c>
      <c r="E655" s="72" t="s">
        <v>1408</v>
      </c>
      <c r="F655" s="70" t="s">
        <v>136</v>
      </c>
      <c r="G655" s="71" t="s">
        <v>480</v>
      </c>
      <c r="H655" s="77" t="s">
        <v>1391</v>
      </c>
      <c r="I655" s="71" t="s">
        <v>131</v>
      </c>
      <c r="J655" s="521" t="s">
        <v>786</v>
      </c>
      <c r="K655" s="73" t="s">
        <v>279</v>
      </c>
      <c r="L655" s="71" t="s">
        <v>1046</v>
      </c>
      <c r="M655" s="71" t="s">
        <v>730</v>
      </c>
      <c r="N655" s="381" t="s">
        <v>28</v>
      </c>
      <c r="O655" s="74">
        <v>-12.5</v>
      </c>
      <c r="P655" s="296"/>
      <c r="Q655"/>
      <c r="R655"/>
      <c r="S655"/>
      <c r="T655"/>
      <c r="U655"/>
      <c r="V655"/>
      <c r="W655"/>
      <c r="X655"/>
      <c r="Y655" s="45"/>
      <c r="AC655" s="45"/>
    </row>
    <row r="656" spans="2:30" ht="21.75" hidden="1" customHeight="1">
      <c r="B656" s="68">
        <v>46285</v>
      </c>
      <c r="C656" s="69" t="str">
        <f t="shared" si="10"/>
        <v>Setembro</v>
      </c>
      <c r="D656" s="77" t="s">
        <v>299</v>
      </c>
      <c r="E656" s="72" t="s">
        <v>764</v>
      </c>
      <c r="F656" s="70" t="s">
        <v>138</v>
      </c>
      <c r="G656" s="71" t="s">
        <v>139</v>
      </c>
      <c r="H656" s="77" t="s">
        <v>49</v>
      </c>
      <c r="I656" s="71" t="s">
        <v>131</v>
      </c>
      <c r="J656" s="343" t="s">
        <v>804</v>
      </c>
      <c r="K656" s="78" t="s">
        <v>131</v>
      </c>
      <c r="L656" s="71" t="s">
        <v>150</v>
      </c>
      <c r="M656" s="71" t="s">
        <v>735</v>
      </c>
      <c r="N656" s="80" t="s">
        <v>28</v>
      </c>
      <c r="O656" s="295">
        <v>-400</v>
      </c>
      <c r="P656" s="75"/>
      <c r="Z656" s="16"/>
      <c r="AA656" s="16"/>
      <c r="AB656" s="16"/>
    </row>
    <row r="657" spans="2:29" s="341" customFormat="1" ht="21.75" hidden="1" customHeight="1">
      <c r="B657" s="68">
        <v>46285</v>
      </c>
      <c r="C657" s="69" t="str">
        <f t="shared" si="10"/>
        <v>Setembro</v>
      </c>
      <c r="D657" s="77" t="s">
        <v>299</v>
      </c>
      <c r="E657" s="72" t="s">
        <v>764</v>
      </c>
      <c r="F657" s="70" t="s">
        <v>138</v>
      </c>
      <c r="G657" s="71" t="s">
        <v>163</v>
      </c>
      <c r="H657" s="72" t="s">
        <v>50</v>
      </c>
      <c r="I657" s="71" t="s">
        <v>131</v>
      </c>
      <c r="J657" s="343" t="s">
        <v>804</v>
      </c>
      <c r="K657" s="73" t="s">
        <v>131</v>
      </c>
      <c r="L657" s="71" t="s">
        <v>150</v>
      </c>
      <c r="M657" s="71" t="s">
        <v>735</v>
      </c>
      <c r="N657" s="80" t="s">
        <v>28</v>
      </c>
      <c r="O657" s="295">
        <v>-1846.36</v>
      </c>
      <c r="P657" s="296"/>
      <c r="Q657"/>
      <c r="R657"/>
      <c r="S657"/>
      <c r="T657"/>
      <c r="U657"/>
      <c r="V657"/>
      <c r="W657"/>
      <c r="X657"/>
      <c r="Y657" s="45"/>
      <c r="AC657" s="45"/>
    </row>
    <row r="658" spans="2:29" s="465" customFormat="1" ht="21.75" hidden="1" customHeight="1">
      <c r="B658" s="68">
        <v>46289</v>
      </c>
      <c r="C658" s="69" t="str">
        <f t="shared" si="10"/>
        <v>Setembro</v>
      </c>
      <c r="D658" s="77" t="s">
        <v>509</v>
      </c>
      <c r="E658" s="72" t="s">
        <v>502</v>
      </c>
      <c r="F658" s="70" t="s">
        <v>138</v>
      </c>
      <c r="G658" s="71" t="s">
        <v>141</v>
      </c>
      <c r="H658" s="77" t="s">
        <v>187</v>
      </c>
      <c r="I658" s="71" t="s">
        <v>131</v>
      </c>
      <c r="J658" s="343" t="s">
        <v>808</v>
      </c>
      <c r="K658" s="71" t="s">
        <v>131</v>
      </c>
      <c r="L658" s="71" t="s">
        <v>134</v>
      </c>
      <c r="M658" s="71" t="s">
        <v>735</v>
      </c>
      <c r="N658" s="80" t="s">
        <v>28</v>
      </c>
      <c r="O658" s="295">
        <v>-9772.07</v>
      </c>
      <c r="P658" s="296"/>
      <c r="Y658" s="45"/>
      <c r="AC658" s="45"/>
    </row>
    <row r="659" spans="2:29" ht="21.75" hidden="1" customHeight="1">
      <c r="B659" s="68">
        <v>46290</v>
      </c>
      <c r="C659" s="69" t="str">
        <f t="shared" si="10"/>
        <v>Setembro</v>
      </c>
      <c r="D659" s="77" t="s">
        <v>299</v>
      </c>
      <c r="E659" s="72" t="s">
        <v>303</v>
      </c>
      <c r="F659" s="70" t="s">
        <v>136</v>
      </c>
      <c r="G659" s="71" t="s">
        <v>897</v>
      </c>
      <c r="H659" s="77" t="s">
        <v>766</v>
      </c>
      <c r="I659" s="71" t="s">
        <v>131</v>
      </c>
      <c r="J659" s="392" t="s">
        <v>209</v>
      </c>
      <c r="K659" s="78" t="s">
        <v>131</v>
      </c>
      <c r="L659" s="71" t="s">
        <v>137</v>
      </c>
      <c r="M659" s="71" t="s">
        <v>735</v>
      </c>
      <c r="N659" s="80" t="s">
        <v>28</v>
      </c>
      <c r="O659" s="295">
        <v>-180</v>
      </c>
      <c r="P659" s="75"/>
      <c r="Z659" s="16"/>
      <c r="AA659" s="16"/>
      <c r="AB659" s="16"/>
    </row>
    <row r="660" spans="2:29" ht="21.75" hidden="1" customHeight="1">
      <c r="B660" s="68">
        <v>46290</v>
      </c>
      <c r="C660" s="69" t="str">
        <f t="shared" si="10"/>
        <v>Setembro</v>
      </c>
      <c r="D660" s="77" t="s">
        <v>299</v>
      </c>
      <c r="E660" s="72" t="s">
        <v>303</v>
      </c>
      <c r="F660" s="70" t="s">
        <v>136</v>
      </c>
      <c r="G660" s="71" t="s">
        <v>897</v>
      </c>
      <c r="H660" s="77" t="s">
        <v>767</v>
      </c>
      <c r="I660" s="71" t="s">
        <v>131</v>
      </c>
      <c r="J660" s="392" t="s">
        <v>209</v>
      </c>
      <c r="K660" s="78" t="s">
        <v>131</v>
      </c>
      <c r="L660" s="71" t="s">
        <v>137</v>
      </c>
      <c r="M660" s="71" t="s">
        <v>735</v>
      </c>
      <c r="N660" s="80" t="s">
        <v>28</v>
      </c>
      <c r="O660" s="295">
        <v>-310</v>
      </c>
      <c r="P660" s="75"/>
      <c r="Z660" s="16"/>
      <c r="AA660" s="16"/>
      <c r="AB660" s="16"/>
    </row>
    <row r="661" spans="2:29" s="79" customFormat="1" ht="21.75" hidden="1" customHeight="1">
      <c r="B661" s="68">
        <v>46295</v>
      </c>
      <c r="C661" s="69" t="str">
        <f t="shared" si="10"/>
        <v>Setembro</v>
      </c>
      <c r="D661" s="77" t="s">
        <v>300</v>
      </c>
      <c r="E661" s="72" t="s">
        <v>478</v>
      </c>
      <c r="F661" s="70" t="s">
        <v>136</v>
      </c>
      <c r="G661" s="71" t="s">
        <v>136</v>
      </c>
      <c r="H661" s="72" t="s">
        <v>136</v>
      </c>
      <c r="I661" s="71" t="s">
        <v>131</v>
      </c>
      <c r="J661" s="389" t="s">
        <v>808</v>
      </c>
      <c r="K661" s="73" t="s">
        <v>131</v>
      </c>
      <c r="L661" s="71" t="s">
        <v>134</v>
      </c>
      <c r="M661" s="71" t="s">
        <v>735</v>
      </c>
      <c r="N661" s="80" t="s">
        <v>207</v>
      </c>
      <c r="O661" s="295">
        <f>-1*(SUMIFS(Aramburu_Mensal!$O$6:$O$984,Aramburu_Mensal!$C$6:$C$984,"Setembro",Aramburu_Mensal!$F$6:$F$984,"Despesas Variáveis",Aramburu_Mensal!$N$6:$N$984,"A pagar")+SUMIFS(Aramburu_Mensal!$O$6:$O$984,Aramburu_Mensal!$C$6:$C$984,"Setembro",Aramburu_Mensal!$F$6:$F$984,"Despesas Variáveis",Aramburu_Mensal!$N$6:$N$984,"Pago")+SUMIFS(Aramburu_Mensal!$O$6:$O$984,Aramburu_Mensal!$C$6:$C$984,"Setembro",Aramburu_Mensal!$F$6:$F$984,"Despesas Variáveis",Aramburu_Mensal!$N$6:$N$984,"Provisionado"))-20000</f>
        <v>-16438.849999999999</v>
      </c>
      <c r="P661" s="75"/>
      <c r="Y661" s="45"/>
      <c r="AC661" s="45"/>
    </row>
    <row r="662" spans="2:29" s="79" customFormat="1" ht="21.75" hidden="1" customHeight="1">
      <c r="B662" s="68">
        <v>46295</v>
      </c>
      <c r="C662" s="69" t="str">
        <f t="shared" si="10"/>
        <v>Setembro</v>
      </c>
      <c r="D662" s="77" t="s">
        <v>298</v>
      </c>
      <c r="E662" s="72" t="s">
        <v>439</v>
      </c>
      <c r="F662" s="70" t="s">
        <v>138</v>
      </c>
      <c r="G662" s="71" t="s">
        <v>186</v>
      </c>
      <c r="H662" s="77" t="s">
        <v>810</v>
      </c>
      <c r="I662" s="71" t="s">
        <v>131</v>
      </c>
      <c r="J662" s="19">
        <v>2026</v>
      </c>
      <c r="K662" s="78" t="s">
        <v>131</v>
      </c>
      <c r="L662" s="71" t="s">
        <v>134</v>
      </c>
      <c r="M662" s="71" t="s">
        <v>735</v>
      </c>
      <c r="N662" s="80" t="s">
        <v>28</v>
      </c>
      <c r="O662" s="295">
        <v>-120000</v>
      </c>
      <c r="P662" s="75"/>
      <c r="Y662" s="45"/>
      <c r="AC662" s="45"/>
    </row>
    <row r="663" spans="2:29" ht="21.75" hidden="1" customHeight="1">
      <c r="B663" s="68">
        <v>46296</v>
      </c>
      <c r="C663" s="69" t="str">
        <f t="shared" si="10"/>
        <v>Outubro</v>
      </c>
      <c r="D663" s="77" t="s">
        <v>509</v>
      </c>
      <c r="E663" s="72" t="s">
        <v>500</v>
      </c>
      <c r="F663" s="70" t="s">
        <v>131</v>
      </c>
      <c r="G663" s="71" t="s">
        <v>132</v>
      </c>
      <c r="H663" s="72" t="s">
        <v>133</v>
      </c>
      <c r="I663" s="71" t="s">
        <v>131</v>
      </c>
      <c r="J663" s="343" t="s">
        <v>811</v>
      </c>
      <c r="K663" s="73" t="s">
        <v>131</v>
      </c>
      <c r="L663" s="71" t="s">
        <v>134</v>
      </c>
      <c r="M663" s="71" t="s">
        <v>735</v>
      </c>
      <c r="N663" s="80" t="s">
        <v>266</v>
      </c>
      <c r="O663" s="295">
        <f>-1*(SUMIFS('Distribuição de Lucro_Mensal'!$I$6:$I$680,'Distribuição de Lucro_Mensal'!$D$6:$D$680,"Outubro",'Distribuição de Lucro_Mensal'!$K$6:$K$680,"Provisionado"))</f>
        <v>-145533.26999999999</v>
      </c>
      <c r="P663" s="75"/>
      <c r="Z663" s="16"/>
      <c r="AA663" s="16"/>
      <c r="AB663" s="16"/>
    </row>
    <row r="664" spans="2:29" ht="21.75" hidden="1" customHeight="1">
      <c r="B664" s="68">
        <v>46296</v>
      </c>
      <c r="C664" s="69" t="str">
        <f t="shared" si="10"/>
        <v>Outubro</v>
      </c>
      <c r="D664" s="77" t="s">
        <v>302</v>
      </c>
      <c r="E664" s="72" t="s">
        <v>436</v>
      </c>
      <c r="F664" s="70" t="s">
        <v>138</v>
      </c>
      <c r="G664" s="71" t="s">
        <v>480</v>
      </c>
      <c r="H664" s="77" t="s">
        <v>484</v>
      </c>
      <c r="I664" s="71" t="s">
        <v>131</v>
      </c>
      <c r="J664" s="389" t="s">
        <v>811</v>
      </c>
      <c r="K664" s="78" t="s">
        <v>131</v>
      </c>
      <c r="L664" s="71" t="s">
        <v>197</v>
      </c>
      <c r="M664" s="71" t="s">
        <v>730</v>
      </c>
      <c r="N664" s="80" t="s">
        <v>151</v>
      </c>
      <c r="O664" s="295">
        <v>-100</v>
      </c>
      <c r="P664" s="75"/>
      <c r="Z664" s="16"/>
      <c r="AA664" s="16"/>
      <c r="AB664" s="16"/>
    </row>
    <row r="665" spans="2:29" s="79" customFormat="1" ht="21.75" hidden="1" customHeight="1">
      <c r="B665" s="68">
        <v>46296</v>
      </c>
      <c r="C665" s="69" t="str">
        <f t="shared" si="10"/>
        <v>Outubro</v>
      </c>
      <c r="D665" s="77" t="s">
        <v>386</v>
      </c>
      <c r="E665" s="72" t="s">
        <v>468</v>
      </c>
      <c r="F665" s="70" t="s">
        <v>131</v>
      </c>
      <c r="G665" s="71" t="s">
        <v>480</v>
      </c>
      <c r="H665" s="72" t="s">
        <v>1008</v>
      </c>
      <c r="I665" s="71" t="s">
        <v>131</v>
      </c>
      <c r="J665" s="343" t="s">
        <v>131</v>
      </c>
      <c r="K665" s="78" t="s">
        <v>131</v>
      </c>
      <c r="L665" s="71" t="s">
        <v>131</v>
      </c>
      <c r="M665" s="71" t="s">
        <v>730</v>
      </c>
      <c r="N665" s="80" t="s">
        <v>161</v>
      </c>
      <c r="O665" s="295">
        <f>-1*(SUMIFS($O$6:$O$1198,$C$6:$C$1198,"Outubro",$F$6:$F$1198,"Despesas Eventuais",$M$6:$M$1198,"Cooperativa Sicredi (0913)",$N$6:$N$1198,"Provisionado"))</f>
        <v>2288.37</v>
      </c>
      <c r="P665" s="75"/>
      <c r="Y665" s="45"/>
      <c r="AC665" s="45"/>
    </row>
    <row r="666" spans="2:29" s="465" customFormat="1" ht="21.75" hidden="1" customHeight="1">
      <c r="B666" s="68">
        <v>46296</v>
      </c>
      <c r="C666" s="69" t="str">
        <f t="shared" si="10"/>
        <v>Outubro</v>
      </c>
      <c r="D666" s="77" t="s">
        <v>509</v>
      </c>
      <c r="E666" s="72" t="s">
        <v>500</v>
      </c>
      <c r="F666" s="70" t="s">
        <v>131</v>
      </c>
      <c r="G666" s="71" t="s">
        <v>132</v>
      </c>
      <c r="H666" s="77" t="s">
        <v>133</v>
      </c>
      <c r="I666" s="71" t="s">
        <v>131</v>
      </c>
      <c r="J666" s="343" t="s">
        <v>811</v>
      </c>
      <c r="K666" s="71" t="s">
        <v>131</v>
      </c>
      <c r="L666" s="71" t="s">
        <v>134</v>
      </c>
      <c r="M666" s="71" t="s">
        <v>735</v>
      </c>
      <c r="N666" s="80" t="s">
        <v>266</v>
      </c>
      <c r="O666" s="295">
        <f>-1*(SUMIFS('Distribuição de Lucro_Mensal'!$I$6:$I$680,'Distribuição de Lucro_Mensal'!$D$6:$D$680,"Outubro",'Distribuição de Lucro_Mensal'!$K$6:$K$680,"A pagar"))</f>
        <v>0</v>
      </c>
      <c r="P666" s="296"/>
      <c r="Y666" s="45"/>
      <c r="AC666" s="45"/>
    </row>
    <row r="667" spans="2:29" ht="21.75" hidden="1" customHeight="1">
      <c r="B667" s="68">
        <v>46297</v>
      </c>
      <c r="C667" s="69" t="str">
        <f t="shared" si="10"/>
        <v>Outubro</v>
      </c>
      <c r="D667" s="77" t="s">
        <v>299</v>
      </c>
      <c r="E667" s="72" t="s">
        <v>303</v>
      </c>
      <c r="F667" s="70" t="s">
        <v>138</v>
      </c>
      <c r="G667" s="71" t="s">
        <v>147</v>
      </c>
      <c r="H667" s="77" t="s">
        <v>629</v>
      </c>
      <c r="I667" s="71" t="s">
        <v>131</v>
      </c>
      <c r="J667" s="367" t="s">
        <v>209</v>
      </c>
      <c r="K667" s="78" t="s">
        <v>131</v>
      </c>
      <c r="L667" s="71" t="s">
        <v>137</v>
      </c>
      <c r="M667" s="71" t="s">
        <v>735</v>
      </c>
      <c r="N667" s="80" t="s">
        <v>28</v>
      </c>
      <c r="O667" s="295">
        <v>-700</v>
      </c>
      <c r="P667" s="75"/>
      <c r="Z667" s="16"/>
      <c r="AA667" s="16"/>
      <c r="AB667" s="16"/>
    </row>
    <row r="668" spans="2:29" ht="21.75" hidden="1" customHeight="1">
      <c r="B668" s="68">
        <v>46300</v>
      </c>
      <c r="C668" s="69" t="str">
        <f t="shared" si="10"/>
        <v>Outubro</v>
      </c>
      <c r="D668" s="77" t="s">
        <v>298</v>
      </c>
      <c r="E668" s="72" t="s">
        <v>513</v>
      </c>
      <c r="F668" s="70" t="s">
        <v>138</v>
      </c>
      <c r="G668" s="19" t="s">
        <v>140</v>
      </c>
      <c r="H668" s="77" t="s">
        <v>152</v>
      </c>
      <c r="I668" s="71" t="s">
        <v>131</v>
      </c>
      <c r="J668" s="367" t="s">
        <v>209</v>
      </c>
      <c r="K668" s="71" t="s">
        <v>131</v>
      </c>
      <c r="L668" s="71" t="s">
        <v>137</v>
      </c>
      <c r="M668" s="71" t="s">
        <v>735</v>
      </c>
      <c r="N668" s="80" t="s">
        <v>28</v>
      </c>
      <c r="O668" s="295">
        <v>-4885</v>
      </c>
      <c r="P668" s="75"/>
      <c r="Z668" s="16"/>
      <c r="AA668" s="16"/>
      <c r="AB668" s="16"/>
    </row>
    <row r="669" spans="2:29" s="79" customFormat="1" ht="21.75" hidden="1" customHeight="1">
      <c r="B669" s="68">
        <v>46300</v>
      </c>
      <c r="C669" s="69" t="str">
        <f t="shared" si="10"/>
        <v>Outubro</v>
      </c>
      <c r="D669" s="77" t="s">
        <v>301</v>
      </c>
      <c r="E669" s="72" t="s">
        <v>526</v>
      </c>
      <c r="F669" s="70" t="s">
        <v>136</v>
      </c>
      <c r="G669" s="19" t="s">
        <v>548</v>
      </c>
      <c r="H669" s="369" t="s">
        <v>549</v>
      </c>
      <c r="I669" s="71" t="s">
        <v>131</v>
      </c>
      <c r="J669" s="367" t="s">
        <v>209</v>
      </c>
      <c r="K669" s="112" t="s">
        <v>131</v>
      </c>
      <c r="L669" s="71" t="s">
        <v>134</v>
      </c>
      <c r="M669" s="71" t="s">
        <v>735</v>
      </c>
      <c r="N669" s="80" t="s">
        <v>28</v>
      </c>
      <c r="O669" s="295">
        <v>-70</v>
      </c>
      <c r="P669" s="75"/>
      <c r="Y669" s="45"/>
      <c r="AC669" s="45"/>
    </row>
    <row r="670" spans="2:29" s="79" customFormat="1" ht="21.75" hidden="1" customHeight="1">
      <c r="B670" s="68">
        <v>46302</v>
      </c>
      <c r="C670" s="69" t="str">
        <f t="shared" si="10"/>
        <v>Outubro</v>
      </c>
      <c r="D670" s="77" t="s">
        <v>299</v>
      </c>
      <c r="E670" s="72" t="s">
        <v>303</v>
      </c>
      <c r="F670" s="70" t="s">
        <v>136</v>
      </c>
      <c r="G670" s="19" t="s">
        <v>1157</v>
      </c>
      <c r="H670" s="369" t="s">
        <v>1158</v>
      </c>
      <c r="I670" s="71" t="s">
        <v>131</v>
      </c>
      <c r="J670" s="175" t="s">
        <v>209</v>
      </c>
      <c r="K670" s="112" t="s">
        <v>131</v>
      </c>
      <c r="L670" s="71" t="s">
        <v>137</v>
      </c>
      <c r="M670" s="71" t="s">
        <v>735</v>
      </c>
      <c r="N670" s="80" t="s">
        <v>28</v>
      </c>
      <c r="O670" s="295">
        <v>-150</v>
      </c>
      <c r="P670" s="75"/>
      <c r="Y670" s="45"/>
      <c r="AC670" s="45"/>
    </row>
    <row r="671" spans="2:29" s="465" customFormat="1" ht="21.75" hidden="1" customHeight="1">
      <c r="B671" s="376">
        <v>46304</v>
      </c>
      <c r="C671" s="377" t="str">
        <f t="shared" si="10"/>
        <v>Outubro</v>
      </c>
      <c r="D671" s="378" t="s">
        <v>386</v>
      </c>
      <c r="E671" s="379" t="s">
        <v>468</v>
      </c>
      <c r="F671" s="380" t="s">
        <v>131</v>
      </c>
      <c r="G671" s="342" t="s">
        <v>480</v>
      </c>
      <c r="H671" s="378" t="s">
        <v>1008</v>
      </c>
      <c r="I671" s="342" t="s">
        <v>131</v>
      </c>
      <c r="J671" s="112" t="s">
        <v>131</v>
      </c>
      <c r="K671" s="343" t="s">
        <v>131</v>
      </c>
      <c r="L671" s="342" t="s">
        <v>131</v>
      </c>
      <c r="M671" s="342" t="s">
        <v>730</v>
      </c>
      <c r="N671" s="381" t="s">
        <v>521</v>
      </c>
      <c r="O671" s="295">
        <v>3625</v>
      </c>
      <c r="P671" s="296"/>
      <c r="Y671" s="45"/>
      <c r="AC671" s="45"/>
    </row>
    <row r="672" spans="2:29" s="465" customFormat="1" ht="21.75" hidden="1" customHeight="1">
      <c r="B672" s="68">
        <v>46305</v>
      </c>
      <c r="C672" s="69" t="str">
        <f t="shared" si="10"/>
        <v>Outubro</v>
      </c>
      <c r="D672" s="77" t="s">
        <v>300</v>
      </c>
      <c r="E672" s="72" t="s">
        <v>475</v>
      </c>
      <c r="F672" s="70" t="s">
        <v>136</v>
      </c>
      <c r="G672" s="19" t="s">
        <v>212</v>
      </c>
      <c r="H672" s="77" t="s">
        <v>761</v>
      </c>
      <c r="I672" s="71" t="s">
        <v>131</v>
      </c>
      <c r="J672" s="367" t="s">
        <v>209</v>
      </c>
      <c r="K672" s="71" t="s">
        <v>131</v>
      </c>
      <c r="L672" s="71" t="s">
        <v>137</v>
      </c>
      <c r="M672" s="71" t="s">
        <v>735</v>
      </c>
      <c r="N672" s="80" t="s">
        <v>28</v>
      </c>
      <c r="O672" s="295">
        <v>-1000</v>
      </c>
      <c r="P672" s="296"/>
      <c r="Y672" s="45"/>
      <c r="AC672" s="45"/>
    </row>
    <row r="673" spans="2:29" ht="21.75" hidden="1" customHeight="1">
      <c r="B673" s="68">
        <v>46305</v>
      </c>
      <c r="C673" s="69" t="str">
        <f t="shared" si="10"/>
        <v>Outubro</v>
      </c>
      <c r="D673" s="77" t="s">
        <v>298</v>
      </c>
      <c r="E673" s="72" t="s">
        <v>515</v>
      </c>
      <c r="F673" s="70" t="s">
        <v>138</v>
      </c>
      <c r="G673" s="19" t="s">
        <v>146</v>
      </c>
      <c r="H673" s="369" t="s">
        <v>153</v>
      </c>
      <c r="I673" s="71" t="s">
        <v>131</v>
      </c>
      <c r="J673" s="389" t="s">
        <v>812</v>
      </c>
      <c r="K673" s="112" t="s">
        <v>131</v>
      </c>
      <c r="L673" s="71" t="s">
        <v>134</v>
      </c>
      <c r="M673" s="71" t="s">
        <v>735</v>
      </c>
      <c r="N673" s="80" t="s">
        <v>28</v>
      </c>
      <c r="O673" s="295">
        <v>-1120</v>
      </c>
      <c r="P673" s="75"/>
      <c r="Z673" s="16"/>
      <c r="AA673" s="16"/>
      <c r="AB673" s="16"/>
    </row>
    <row r="674" spans="2:29" s="79" customFormat="1" ht="21.75" hidden="1" customHeight="1">
      <c r="B674" s="68">
        <v>46306</v>
      </c>
      <c r="C674" s="69" t="str">
        <f t="shared" si="10"/>
        <v>Outubro</v>
      </c>
      <c r="D674" s="77" t="s">
        <v>508</v>
      </c>
      <c r="E674" s="72" t="s">
        <v>497</v>
      </c>
      <c r="F674" s="70" t="s">
        <v>534</v>
      </c>
      <c r="G674" s="71" t="s">
        <v>1090</v>
      </c>
      <c r="H674" s="77" t="s">
        <v>1324</v>
      </c>
      <c r="I674" s="71" t="s">
        <v>595</v>
      </c>
      <c r="J674" s="393" t="s">
        <v>1358</v>
      </c>
      <c r="K674" s="78" t="s">
        <v>794</v>
      </c>
      <c r="L674" s="71" t="s">
        <v>137</v>
      </c>
      <c r="M674" s="71" t="s">
        <v>730</v>
      </c>
      <c r="N674" s="80" t="s">
        <v>151</v>
      </c>
      <c r="O674" s="295">
        <v>-3625</v>
      </c>
      <c r="P674" s="75"/>
      <c r="Y674" s="45"/>
      <c r="AC674" s="45"/>
    </row>
    <row r="675" spans="2:29" s="465" customFormat="1" ht="21.75" hidden="1" customHeight="1">
      <c r="B675" s="68">
        <v>46306</v>
      </c>
      <c r="C675" s="69" t="str">
        <f t="shared" si="10"/>
        <v>Outubro</v>
      </c>
      <c r="D675" s="77" t="s">
        <v>302</v>
      </c>
      <c r="E675" s="72" t="s">
        <v>436</v>
      </c>
      <c r="F675" s="70" t="s">
        <v>138</v>
      </c>
      <c r="G675" s="71" t="s">
        <v>480</v>
      </c>
      <c r="H675" s="379" t="s">
        <v>482</v>
      </c>
      <c r="I675" s="71" t="s">
        <v>131</v>
      </c>
      <c r="J675" s="389" t="s">
        <v>811</v>
      </c>
      <c r="K675" s="78" t="s">
        <v>131</v>
      </c>
      <c r="L675" s="71" t="s">
        <v>197</v>
      </c>
      <c r="M675" s="71" t="s">
        <v>730</v>
      </c>
      <c r="N675" s="80" t="s">
        <v>151</v>
      </c>
      <c r="O675" s="295">
        <v>-56.5</v>
      </c>
      <c r="P675" s="296"/>
      <c r="Y675" s="45"/>
      <c r="AC675" s="45"/>
    </row>
    <row r="676" spans="2:29" s="79" customFormat="1" ht="21.75" hidden="1" customHeight="1">
      <c r="B676" s="68">
        <v>46310</v>
      </c>
      <c r="C676" s="69" t="str">
        <f t="shared" si="10"/>
        <v>Outubro</v>
      </c>
      <c r="D676" s="77" t="s">
        <v>300</v>
      </c>
      <c r="E676" s="72" t="s">
        <v>433</v>
      </c>
      <c r="F676" s="70" t="s">
        <v>136</v>
      </c>
      <c r="G676" s="71" t="s">
        <v>142</v>
      </c>
      <c r="H676" s="72" t="s">
        <v>155</v>
      </c>
      <c r="I676" s="71" t="s">
        <v>131</v>
      </c>
      <c r="J676" s="367" t="s">
        <v>209</v>
      </c>
      <c r="K676" s="73" t="s">
        <v>131</v>
      </c>
      <c r="L676" s="71" t="s">
        <v>137</v>
      </c>
      <c r="M676" s="71" t="s">
        <v>735</v>
      </c>
      <c r="N676" s="80" t="s">
        <v>28</v>
      </c>
      <c r="O676" s="295">
        <v>-1165.5899999999999</v>
      </c>
      <c r="P676" s="75"/>
      <c r="Y676" s="45"/>
      <c r="AC676" s="45"/>
    </row>
    <row r="677" spans="2:29" s="79" customFormat="1" ht="21.75" hidden="1" customHeight="1">
      <c r="B677" s="68">
        <v>46310</v>
      </c>
      <c r="C677" s="69" t="str">
        <f t="shared" si="10"/>
        <v>Outubro</v>
      </c>
      <c r="D677" s="77" t="s">
        <v>298</v>
      </c>
      <c r="E677" s="72" t="s">
        <v>440</v>
      </c>
      <c r="F677" s="70" t="s">
        <v>136</v>
      </c>
      <c r="G677" s="71" t="s">
        <v>425</v>
      </c>
      <c r="H677" s="77" t="s">
        <v>251</v>
      </c>
      <c r="I677" s="71" t="s">
        <v>131</v>
      </c>
      <c r="J677" s="112" t="s">
        <v>131</v>
      </c>
      <c r="K677" s="78" t="s">
        <v>253</v>
      </c>
      <c r="L677" s="71" t="s">
        <v>1046</v>
      </c>
      <c r="M677" s="71" t="s">
        <v>735</v>
      </c>
      <c r="N677" s="80" t="s">
        <v>28</v>
      </c>
      <c r="O677" s="295">
        <v>-24.16</v>
      </c>
      <c r="P677" s="75"/>
      <c r="Y677" s="45"/>
      <c r="AC677" s="45"/>
    </row>
    <row r="678" spans="2:29" s="79" customFormat="1" ht="21.75" hidden="1" customHeight="1">
      <c r="B678" s="68">
        <v>46310</v>
      </c>
      <c r="C678" s="69" t="str">
        <f t="shared" si="10"/>
        <v>Outubro</v>
      </c>
      <c r="D678" s="77" t="s">
        <v>298</v>
      </c>
      <c r="E678" s="72" t="s">
        <v>440</v>
      </c>
      <c r="F678" s="70" t="s">
        <v>136</v>
      </c>
      <c r="G678" s="71" t="s">
        <v>426</v>
      </c>
      <c r="H678" s="77" t="s">
        <v>252</v>
      </c>
      <c r="I678" s="71" t="s">
        <v>131</v>
      </c>
      <c r="J678" s="342" t="s">
        <v>1441</v>
      </c>
      <c r="K678" s="73" t="s">
        <v>281</v>
      </c>
      <c r="L678" s="71" t="s">
        <v>1046</v>
      </c>
      <c r="M678" s="71" t="s">
        <v>735</v>
      </c>
      <c r="N678" s="80" t="s">
        <v>28</v>
      </c>
      <c r="O678" s="295">
        <v>-413.38</v>
      </c>
      <c r="P678" s="75"/>
      <c r="Y678" s="45"/>
      <c r="AC678" s="45"/>
    </row>
    <row r="679" spans="2:29" s="79" customFormat="1" ht="21.75" hidden="1" customHeight="1">
      <c r="B679" s="68">
        <v>46310</v>
      </c>
      <c r="C679" s="69" t="str">
        <f t="shared" si="10"/>
        <v>Outubro</v>
      </c>
      <c r="D679" s="77" t="s">
        <v>300</v>
      </c>
      <c r="E679" s="72" t="s">
        <v>432</v>
      </c>
      <c r="F679" s="70" t="s">
        <v>136</v>
      </c>
      <c r="G679" s="71" t="s">
        <v>434</v>
      </c>
      <c r="H679" s="77" t="s">
        <v>154</v>
      </c>
      <c r="I679" s="71" t="s">
        <v>131</v>
      </c>
      <c r="J679" s="175" t="s">
        <v>209</v>
      </c>
      <c r="K679" s="73" t="s">
        <v>131</v>
      </c>
      <c r="L679" s="71" t="s">
        <v>1046</v>
      </c>
      <c r="M679" s="71" t="s">
        <v>735</v>
      </c>
      <c r="N679" s="80" t="s">
        <v>28</v>
      </c>
      <c r="O679" s="295">
        <v>-235.52</v>
      </c>
      <c r="P679" s="75"/>
      <c r="Y679" s="45"/>
      <c r="AC679" s="45"/>
    </row>
    <row r="680" spans="2:29" s="79" customFormat="1" ht="21.75" hidden="1" customHeight="1">
      <c r="B680" s="68">
        <v>46310</v>
      </c>
      <c r="C680" s="69" t="str">
        <f t="shared" si="10"/>
        <v>Outubro</v>
      </c>
      <c r="D680" s="77" t="s">
        <v>508</v>
      </c>
      <c r="E680" s="72" t="s">
        <v>497</v>
      </c>
      <c r="F680" s="70" t="s">
        <v>534</v>
      </c>
      <c r="G680" s="71" t="s">
        <v>1305</v>
      </c>
      <c r="H680" s="369" t="s">
        <v>1360</v>
      </c>
      <c r="I680" s="71" t="s">
        <v>595</v>
      </c>
      <c r="J680" s="389" t="s">
        <v>1236</v>
      </c>
      <c r="K680" s="73" t="s">
        <v>1243</v>
      </c>
      <c r="L680" s="71" t="s">
        <v>1046</v>
      </c>
      <c r="M680" s="71" t="s">
        <v>730</v>
      </c>
      <c r="N680" s="80" t="s">
        <v>28</v>
      </c>
      <c r="O680" s="295">
        <v>-2288.37</v>
      </c>
      <c r="P680" s="75"/>
      <c r="Y680" s="45"/>
      <c r="AC680" s="45"/>
    </row>
    <row r="681" spans="2:29" s="341" customFormat="1" ht="21.75" hidden="1" customHeight="1">
      <c r="B681" s="68">
        <v>46310</v>
      </c>
      <c r="C681" s="69" t="str">
        <f t="shared" si="10"/>
        <v>Outubro</v>
      </c>
      <c r="D681" s="77" t="s">
        <v>302</v>
      </c>
      <c r="E681" s="72" t="s">
        <v>1408</v>
      </c>
      <c r="F681" s="70" t="s">
        <v>136</v>
      </c>
      <c r="G681" s="71" t="s">
        <v>480</v>
      </c>
      <c r="H681" s="77" t="s">
        <v>1391</v>
      </c>
      <c r="I681" s="71" t="s">
        <v>131</v>
      </c>
      <c r="J681" s="521" t="s">
        <v>786</v>
      </c>
      <c r="K681" s="73" t="s">
        <v>281</v>
      </c>
      <c r="L681" s="71" t="s">
        <v>1046</v>
      </c>
      <c r="M681" s="71" t="s">
        <v>730</v>
      </c>
      <c r="N681" s="381" t="s">
        <v>28</v>
      </c>
      <c r="O681" s="74">
        <v>-12.5</v>
      </c>
      <c r="P681" s="296"/>
      <c r="Q681"/>
      <c r="R681"/>
      <c r="S681"/>
      <c r="T681"/>
      <c r="U681"/>
      <c r="V681"/>
      <c r="W681"/>
      <c r="X681"/>
      <c r="Y681" s="45"/>
      <c r="AC681" s="45"/>
    </row>
    <row r="682" spans="2:29" s="79" customFormat="1" ht="21.75" hidden="1" customHeight="1">
      <c r="B682" s="68">
        <v>46315</v>
      </c>
      <c r="C682" s="69" t="str">
        <f t="shared" si="10"/>
        <v>Outubro</v>
      </c>
      <c r="D682" s="77" t="s">
        <v>299</v>
      </c>
      <c r="E682" s="72" t="s">
        <v>764</v>
      </c>
      <c r="F682" s="70" t="s">
        <v>138</v>
      </c>
      <c r="G682" s="71" t="s">
        <v>139</v>
      </c>
      <c r="H682" s="77" t="s">
        <v>49</v>
      </c>
      <c r="I682" s="71" t="s">
        <v>131</v>
      </c>
      <c r="J682" s="343" t="s">
        <v>808</v>
      </c>
      <c r="K682" s="71" t="s">
        <v>131</v>
      </c>
      <c r="L682" s="71" t="s">
        <v>150</v>
      </c>
      <c r="M682" s="71" t="s">
        <v>735</v>
      </c>
      <c r="N682" s="80" t="s">
        <v>28</v>
      </c>
      <c r="O682" s="295">
        <v>-400</v>
      </c>
      <c r="P682" s="75"/>
      <c r="Y682" s="45"/>
      <c r="AC682" s="45"/>
    </row>
    <row r="683" spans="2:29" ht="21.75" hidden="1" customHeight="1">
      <c r="B683" s="68">
        <v>46315</v>
      </c>
      <c r="C683" s="69" t="str">
        <f t="shared" si="10"/>
        <v>Outubro</v>
      </c>
      <c r="D683" s="77" t="s">
        <v>299</v>
      </c>
      <c r="E683" s="72" t="s">
        <v>764</v>
      </c>
      <c r="F683" s="70" t="s">
        <v>138</v>
      </c>
      <c r="G683" s="71" t="s">
        <v>163</v>
      </c>
      <c r="H683" s="72" t="s">
        <v>50</v>
      </c>
      <c r="I683" s="71" t="s">
        <v>131</v>
      </c>
      <c r="J683" s="343" t="s">
        <v>808</v>
      </c>
      <c r="K683" s="73" t="s">
        <v>131</v>
      </c>
      <c r="L683" s="71" t="s">
        <v>150</v>
      </c>
      <c r="M683" s="71" t="s">
        <v>735</v>
      </c>
      <c r="N683" s="80" t="s">
        <v>28</v>
      </c>
      <c r="O683" s="295">
        <v>-1846.36</v>
      </c>
      <c r="P683" s="75"/>
      <c r="Z683" s="16"/>
      <c r="AA683" s="16"/>
      <c r="AB683" s="16"/>
    </row>
    <row r="684" spans="2:29" s="465" customFormat="1" ht="21.75" hidden="1" customHeight="1">
      <c r="B684" s="68">
        <v>46319</v>
      </c>
      <c r="C684" s="69" t="str">
        <f t="shared" si="10"/>
        <v>Outubro</v>
      </c>
      <c r="D684" s="77" t="s">
        <v>509</v>
      </c>
      <c r="E684" s="72" t="s">
        <v>502</v>
      </c>
      <c r="F684" s="70" t="s">
        <v>138</v>
      </c>
      <c r="G684" s="71" t="s">
        <v>141</v>
      </c>
      <c r="H684" s="77" t="s">
        <v>187</v>
      </c>
      <c r="I684" s="71" t="s">
        <v>131</v>
      </c>
      <c r="J684" s="343" t="s">
        <v>811</v>
      </c>
      <c r="K684" s="71" t="s">
        <v>131</v>
      </c>
      <c r="L684" s="71" t="s">
        <v>134</v>
      </c>
      <c r="M684" s="71" t="s">
        <v>735</v>
      </c>
      <c r="N684" s="80" t="s">
        <v>28</v>
      </c>
      <c r="O684" s="295">
        <v>-9772.07</v>
      </c>
      <c r="P684" s="296"/>
      <c r="Y684" s="45"/>
      <c r="AC684" s="45"/>
    </row>
    <row r="685" spans="2:29" s="465" customFormat="1" ht="21.75" hidden="1" customHeight="1">
      <c r="B685" s="68">
        <v>46320</v>
      </c>
      <c r="C685" s="69" t="str">
        <f t="shared" si="10"/>
        <v>Outubro</v>
      </c>
      <c r="D685" s="77" t="s">
        <v>299</v>
      </c>
      <c r="E685" s="72" t="s">
        <v>303</v>
      </c>
      <c r="F685" s="70" t="s">
        <v>136</v>
      </c>
      <c r="G685" s="71" t="s">
        <v>897</v>
      </c>
      <c r="H685" s="77" t="s">
        <v>766</v>
      </c>
      <c r="I685" s="71" t="s">
        <v>131</v>
      </c>
      <c r="J685" s="392" t="s">
        <v>209</v>
      </c>
      <c r="K685" s="78" t="s">
        <v>131</v>
      </c>
      <c r="L685" s="71" t="s">
        <v>137</v>
      </c>
      <c r="M685" s="71" t="s">
        <v>735</v>
      </c>
      <c r="N685" s="80" t="s">
        <v>28</v>
      </c>
      <c r="O685" s="295">
        <v>-180</v>
      </c>
      <c r="P685" s="296"/>
      <c r="Y685" s="45"/>
      <c r="AC685" s="45"/>
    </row>
    <row r="686" spans="2:29" s="79" customFormat="1" ht="21.75" hidden="1" customHeight="1">
      <c r="B686" s="68">
        <v>46320</v>
      </c>
      <c r="C686" s="69" t="str">
        <f t="shared" si="10"/>
        <v>Outubro</v>
      </c>
      <c r="D686" s="77" t="s">
        <v>299</v>
      </c>
      <c r="E686" s="72" t="s">
        <v>303</v>
      </c>
      <c r="F686" s="70" t="s">
        <v>136</v>
      </c>
      <c r="G686" s="71" t="s">
        <v>897</v>
      </c>
      <c r="H686" s="77" t="s">
        <v>767</v>
      </c>
      <c r="I686" s="71" t="s">
        <v>131</v>
      </c>
      <c r="J686" s="392" t="s">
        <v>209</v>
      </c>
      <c r="K686" s="78" t="s">
        <v>131</v>
      </c>
      <c r="L686" s="71" t="s">
        <v>137</v>
      </c>
      <c r="M686" s="71" t="s">
        <v>735</v>
      </c>
      <c r="N686" s="80" t="s">
        <v>28</v>
      </c>
      <c r="O686" s="295">
        <v>-310</v>
      </c>
      <c r="P686" s="75"/>
      <c r="Y686" s="45"/>
      <c r="AC686" s="45"/>
    </row>
    <row r="687" spans="2:29" s="79" customFormat="1" ht="21.75" hidden="1" customHeight="1">
      <c r="B687" s="68">
        <v>46325</v>
      </c>
      <c r="C687" s="69" t="str">
        <f t="shared" si="10"/>
        <v>Outubro</v>
      </c>
      <c r="D687" s="77" t="s">
        <v>298</v>
      </c>
      <c r="E687" s="72" t="s">
        <v>439</v>
      </c>
      <c r="F687" s="70" t="s">
        <v>138</v>
      </c>
      <c r="G687" s="71" t="s">
        <v>164</v>
      </c>
      <c r="H687" s="77" t="s">
        <v>815</v>
      </c>
      <c r="I687" s="71" t="s">
        <v>131</v>
      </c>
      <c r="J687" s="19">
        <v>2026</v>
      </c>
      <c r="K687" s="78" t="s">
        <v>131</v>
      </c>
      <c r="L687" s="71" t="s">
        <v>150</v>
      </c>
      <c r="M687" s="71" t="s">
        <v>735</v>
      </c>
      <c r="N687" s="80" t="s">
        <v>28</v>
      </c>
      <c r="O687" s="295">
        <v>-20000</v>
      </c>
      <c r="P687" s="75"/>
      <c r="Y687" s="45"/>
      <c r="AC687" s="45"/>
    </row>
    <row r="688" spans="2:29" s="79" customFormat="1" ht="21.75" hidden="1" customHeight="1">
      <c r="B688" s="68">
        <v>46325</v>
      </c>
      <c r="C688" s="69" t="str">
        <f t="shared" si="10"/>
        <v>Outubro</v>
      </c>
      <c r="D688" s="77" t="s">
        <v>298</v>
      </c>
      <c r="E688" s="72" t="s">
        <v>439</v>
      </c>
      <c r="F688" s="70" t="s">
        <v>138</v>
      </c>
      <c r="G688" s="19" t="s">
        <v>163</v>
      </c>
      <c r="H688" s="369" t="s">
        <v>816</v>
      </c>
      <c r="I688" s="71" t="s">
        <v>131</v>
      </c>
      <c r="J688" s="19">
        <v>2026</v>
      </c>
      <c r="K688" s="19" t="s">
        <v>131</v>
      </c>
      <c r="L688" s="71" t="s">
        <v>150</v>
      </c>
      <c r="M688" s="71" t="s">
        <v>735</v>
      </c>
      <c r="N688" s="80" t="s">
        <v>28</v>
      </c>
      <c r="O688" s="295">
        <v>-25000</v>
      </c>
      <c r="P688" s="75"/>
      <c r="Y688" s="45"/>
      <c r="AC688" s="45"/>
    </row>
    <row r="689" spans="2:29" s="79" customFormat="1" ht="21.75" hidden="1" customHeight="1">
      <c r="B689" s="68">
        <v>46325</v>
      </c>
      <c r="C689" s="69" t="str">
        <f t="shared" si="10"/>
        <v>Outubro</v>
      </c>
      <c r="D689" s="77" t="s">
        <v>300</v>
      </c>
      <c r="E689" s="72" t="s">
        <v>478</v>
      </c>
      <c r="F689" s="70" t="s">
        <v>136</v>
      </c>
      <c r="G689" s="71" t="s">
        <v>136</v>
      </c>
      <c r="H689" s="77" t="s">
        <v>136</v>
      </c>
      <c r="I689" s="71" t="s">
        <v>131</v>
      </c>
      <c r="J689" s="389" t="s">
        <v>811</v>
      </c>
      <c r="K689" s="78" t="s">
        <v>131</v>
      </c>
      <c r="L689" s="71" t="s">
        <v>134</v>
      </c>
      <c r="M689" s="71" t="s">
        <v>735</v>
      </c>
      <c r="N689" s="80" t="s">
        <v>207</v>
      </c>
      <c r="O689" s="295">
        <f>-1*(SUMIFS(Aramburu_Mensal!$O$6:$O$984,Aramburu_Mensal!$C$6:$C$984,"Outubro",Aramburu_Mensal!$F$6:$F$984,"Despesas Variáveis",Aramburu_Mensal!$N$6:$N$984,"A pagar")+SUMIFS(Aramburu_Mensal!$O$6:$O$984,Aramburu_Mensal!$C$6:$C$984,"Outubro",Aramburu_Mensal!$F$6:$F$984,"Despesas Variáveis",Aramburu_Mensal!$N$6:$N$984,"Pago")+SUMIFS(Aramburu_Mensal!$O$6:$O$984,Aramburu_Mensal!$C$6:$C$984,"Outubro",Aramburu_Mensal!$F$6:$F$984,"Despesas Variáveis",Aramburu_Mensal!$N$6:$N$984,"Provisionado"))-20000</f>
        <v>-6438.85</v>
      </c>
      <c r="P689" s="75"/>
      <c r="Y689" s="45"/>
      <c r="AC689" s="45"/>
    </row>
    <row r="690" spans="2:29" s="79" customFormat="1" ht="21.75" hidden="1" customHeight="1">
      <c r="B690" s="68">
        <v>46325</v>
      </c>
      <c r="C690" s="69" t="str">
        <f t="shared" si="10"/>
        <v>Outubro</v>
      </c>
      <c r="D690" s="77" t="s">
        <v>298</v>
      </c>
      <c r="E690" s="72" t="s">
        <v>439</v>
      </c>
      <c r="F690" s="70" t="s">
        <v>136</v>
      </c>
      <c r="G690" s="71" t="s">
        <v>813</v>
      </c>
      <c r="H690" s="72" t="s">
        <v>814</v>
      </c>
      <c r="I690" s="71" t="s">
        <v>131</v>
      </c>
      <c r="J690" s="343" t="s">
        <v>131</v>
      </c>
      <c r="K690" s="73" t="s">
        <v>131</v>
      </c>
      <c r="L690" s="71" t="s">
        <v>134</v>
      </c>
      <c r="M690" s="71" t="s">
        <v>735</v>
      </c>
      <c r="N690" s="80" t="s">
        <v>28</v>
      </c>
      <c r="O690" s="295">
        <v>-10000</v>
      </c>
      <c r="P690" s="75"/>
      <c r="Y690" s="45"/>
      <c r="AC690" s="45"/>
    </row>
    <row r="691" spans="2:29" s="79" customFormat="1" ht="21.75" hidden="1" customHeight="1">
      <c r="B691" s="68">
        <v>46327</v>
      </c>
      <c r="C691" s="69" t="str">
        <f t="shared" si="10"/>
        <v>Novembro</v>
      </c>
      <c r="D691" s="77" t="s">
        <v>509</v>
      </c>
      <c r="E691" s="72" t="s">
        <v>500</v>
      </c>
      <c r="F691" s="70" t="s">
        <v>131</v>
      </c>
      <c r="G691" s="71" t="s">
        <v>132</v>
      </c>
      <c r="H691" s="77" t="s">
        <v>133</v>
      </c>
      <c r="I691" s="71" t="s">
        <v>131</v>
      </c>
      <c r="J691" s="343" t="s">
        <v>817</v>
      </c>
      <c r="K691" s="71" t="s">
        <v>131</v>
      </c>
      <c r="L691" s="71" t="s">
        <v>134</v>
      </c>
      <c r="M691" s="71" t="s">
        <v>735</v>
      </c>
      <c r="N691" s="80" t="s">
        <v>266</v>
      </c>
      <c r="O691" s="295">
        <f>-1*(SUMIFS('Distribuição de Lucro_Mensal'!$I$6:$I$680,'Distribuição de Lucro_Mensal'!$D$6:$D$680,"Novembro",'Distribuição de Lucro_Mensal'!$K$6:$K$680,"Provisionado"))</f>
        <v>-122001.5</v>
      </c>
      <c r="P691" s="75"/>
      <c r="Y691" s="45"/>
      <c r="AC691" s="45"/>
    </row>
    <row r="692" spans="2:29" s="79" customFormat="1" ht="21.75" hidden="1" customHeight="1">
      <c r="B692" s="68">
        <v>46327</v>
      </c>
      <c r="C692" s="69" t="str">
        <f t="shared" si="10"/>
        <v>Novembro</v>
      </c>
      <c r="D692" s="77" t="s">
        <v>302</v>
      </c>
      <c r="E692" s="72" t="s">
        <v>436</v>
      </c>
      <c r="F692" s="70" t="s">
        <v>138</v>
      </c>
      <c r="G692" s="71" t="s">
        <v>480</v>
      </c>
      <c r="H692" s="77" t="s">
        <v>484</v>
      </c>
      <c r="I692" s="71" t="s">
        <v>131</v>
      </c>
      <c r="J692" s="389" t="s">
        <v>817</v>
      </c>
      <c r="K692" s="73" t="s">
        <v>131</v>
      </c>
      <c r="L692" s="71" t="s">
        <v>197</v>
      </c>
      <c r="M692" s="71" t="s">
        <v>730</v>
      </c>
      <c r="N692" s="80" t="s">
        <v>151</v>
      </c>
      <c r="O692" s="295">
        <v>-100</v>
      </c>
      <c r="P692" s="75"/>
      <c r="Y692" s="45"/>
      <c r="AC692" s="45"/>
    </row>
    <row r="693" spans="2:29" s="341" customFormat="1" ht="21.75" hidden="1" customHeight="1">
      <c r="B693" s="68">
        <v>46327</v>
      </c>
      <c r="C693" s="69" t="str">
        <f t="shared" si="10"/>
        <v>Novembro</v>
      </c>
      <c r="D693" s="77" t="s">
        <v>386</v>
      </c>
      <c r="E693" s="72" t="s">
        <v>468</v>
      </c>
      <c r="F693" s="70" t="s">
        <v>131</v>
      </c>
      <c r="G693" s="71" t="s">
        <v>480</v>
      </c>
      <c r="H693" s="72" t="s">
        <v>1008</v>
      </c>
      <c r="I693" s="71" t="s">
        <v>131</v>
      </c>
      <c r="J693" s="343" t="s">
        <v>131</v>
      </c>
      <c r="K693" s="73" t="s">
        <v>131</v>
      </c>
      <c r="L693" s="71" t="s">
        <v>131</v>
      </c>
      <c r="M693" s="71" t="s">
        <v>730</v>
      </c>
      <c r="N693" s="80" t="s">
        <v>161</v>
      </c>
      <c r="O693" s="295">
        <f>-1*(SUMIFS($O$6:$O$1198,$C$6:$C$1198,"Novembro",$F$6:$F$1198,"Despesas Eventuais",$M$6:$M$1198,"Cooperativa Sicredi (0913)",$N$6:$N$1198,"Provisionado"))</f>
        <v>2288.37</v>
      </c>
      <c r="P693" s="296"/>
      <c r="Q693"/>
      <c r="R693"/>
      <c r="S693"/>
      <c r="T693"/>
      <c r="U693"/>
      <c r="V693"/>
      <c r="W693"/>
      <c r="X693"/>
      <c r="Y693" s="45"/>
      <c r="AC693" s="45"/>
    </row>
    <row r="694" spans="2:29" s="341" customFormat="1" ht="21.75" hidden="1" customHeight="1">
      <c r="B694" s="68">
        <v>46327</v>
      </c>
      <c r="C694" s="69" t="str">
        <f t="shared" si="10"/>
        <v>Novembro</v>
      </c>
      <c r="D694" s="77" t="s">
        <v>509</v>
      </c>
      <c r="E694" s="72" t="s">
        <v>500</v>
      </c>
      <c r="F694" s="70" t="s">
        <v>131</v>
      </c>
      <c r="G694" s="71" t="s">
        <v>132</v>
      </c>
      <c r="H694" s="77" t="s">
        <v>133</v>
      </c>
      <c r="I694" s="71" t="s">
        <v>131</v>
      </c>
      <c r="J694" s="343" t="s">
        <v>817</v>
      </c>
      <c r="K694" s="71" t="s">
        <v>131</v>
      </c>
      <c r="L694" s="71" t="s">
        <v>134</v>
      </c>
      <c r="M694" s="71" t="s">
        <v>735</v>
      </c>
      <c r="N694" s="80" t="s">
        <v>266</v>
      </c>
      <c r="O694" s="295">
        <f>-1*(SUMIFS('Distribuição de Lucro_Mensal'!$I$6:$I$680,'Distribuição de Lucro_Mensal'!$D$6:$D$680,"Novembro",'Distribuição de Lucro_Mensal'!$K$6:$K$680,"A pagar"))</f>
        <v>0</v>
      </c>
      <c r="P694" s="296"/>
      <c r="Q694"/>
      <c r="R694"/>
      <c r="S694"/>
      <c r="T694"/>
      <c r="U694"/>
      <c r="V694"/>
      <c r="W694"/>
      <c r="X694"/>
      <c r="Y694" s="45"/>
      <c r="AC694" s="45"/>
    </row>
    <row r="695" spans="2:29" s="465" customFormat="1" ht="21.75" hidden="1" customHeight="1">
      <c r="B695" s="68">
        <v>46328</v>
      </c>
      <c r="C695" s="69" t="str">
        <f t="shared" si="10"/>
        <v>Novembro</v>
      </c>
      <c r="D695" s="77" t="s">
        <v>299</v>
      </c>
      <c r="E695" s="72" t="s">
        <v>303</v>
      </c>
      <c r="F695" s="70" t="s">
        <v>138</v>
      </c>
      <c r="G695" s="71" t="s">
        <v>147</v>
      </c>
      <c r="H695" s="77" t="s">
        <v>629</v>
      </c>
      <c r="I695" s="71" t="s">
        <v>131</v>
      </c>
      <c r="J695" s="367" t="s">
        <v>209</v>
      </c>
      <c r="K695" s="71" t="s">
        <v>131</v>
      </c>
      <c r="L695" s="71" t="s">
        <v>137</v>
      </c>
      <c r="M695" s="71" t="s">
        <v>735</v>
      </c>
      <c r="N695" s="80" t="s">
        <v>28</v>
      </c>
      <c r="O695" s="295">
        <v>-700</v>
      </c>
      <c r="P695" s="296"/>
      <c r="Y695" s="45"/>
      <c r="AC695" s="45"/>
    </row>
    <row r="696" spans="2:29" s="465" customFormat="1" ht="21.75" hidden="1" customHeight="1">
      <c r="B696" s="68">
        <v>46331</v>
      </c>
      <c r="C696" s="69" t="str">
        <f t="shared" si="10"/>
        <v>Novembro</v>
      </c>
      <c r="D696" s="77" t="s">
        <v>298</v>
      </c>
      <c r="E696" s="72" t="s">
        <v>513</v>
      </c>
      <c r="F696" s="70" t="s">
        <v>138</v>
      </c>
      <c r="G696" s="71" t="s">
        <v>140</v>
      </c>
      <c r="H696" s="77" t="s">
        <v>152</v>
      </c>
      <c r="I696" s="71" t="s">
        <v>131</v>
      </c>
      <c r="J696" s="367" t="s">
        <v>209</v>
      </c>
      <c r="K696" s="71" t="s">
        <v>131</v>
      </c>
      <c r="L696" s="71" t="s">
        <v>137</v>
      </c>
      <c r="M696" s="71" t="s">
        <v>735</v>
      </c>
      <c r="N696" s="80" t="s">
        <v>28</v>
      </c>
      <c r="O696" s="295">
        <v>-4885</v>
      </c>
      <c r="P696" s="296"/>
      <c r="Y696" s="45"/>
      <c r="AC696" s="45"/>
    </row>
    <row r="697" spans="2:29" s="79" customFormat="1" ht="21.75" hidden="1" customHeight="1">
      <c r="B697" s="68">
        <v>46331</v>
      </c>
      <c r="C697" s="69" t="str">
        <f t="shared" si="10"/>
        <v>Novembro</v>
      </c>
      <c r="D697" s="77" t="s">
        <v>301</v>
      </c>
      <c r="E697" s="72" t="s">
        <v>526</v>
      </c>
      <c r="F697" s="70" t="s">
        <v>136</v>
      </c>
      <c r="G697" s="71" t="s">
        <v>548</v>
      </c>
      <c r="H697" s="77" t="s">
        <v>549</v>
      </c>
      <c r="I697" s="71" t="s">
        <v>131</v>
      </c>
      <c r="J697" s="367" t="s">
        <v>209</v>
      </c>
      <c r="K697" s="71" t="s">
        <v>131</v>
      </c>
      <c r="L697" s="71" t="s">
        <v>134</v>
      </c>
      <c r="M697" s="71" t="s">
        <v>735</v>
      </c>
      <c r="N697" s="80" t="s">
        <v>28</v>
      </c>
      <c r="O697" s="295">
        <v>-70</v>
      </c>
      <c r="P697" s="75"/>
      <c r="Y697" s="45"/>
      <c r="AC697" s="45"/>
    </row>
    <row r="698" spans="2:29" ht="21.75" hidden="1" customHeight="1">
      <c r="B698" s="68">
        <v>46331</v>
      </c>
      <c r="C698" s="69" t="str">
        <f t="shared" si="10"/>
        <v>Novembro</v>
      </c>
      <c r="D698" s="77" t="s">
        <v>299</v>
      </c>
      <c r="E698" s="72" t="s">
        <v>757</v>
      </c>
      <c r="F698" s="70" t="s">
        <v>138</v>
      </c>
      <c r="G698" s="71" t="s">
        <v>148</v>
      </c>
      <c r="H698" s="77" t="s">
        <v>177</v>
      </c>
      <c r="I698" s="71" t="s">
        <v>131</v>
      </c>
      <c r="J698" s="389" t="s">
        <v>818</v>
      </c>
      <c r="K698" s="71" t="s">
        <v>131</v>
      </c>
      <c r="L698" s="71" t="s">
        <v>134</v>
      </c>
      <c r="M698" s="71" t="s">
        <v>735</v>
      </c>
      <c r="N698" s="80" t="s">
        <v>28</v>
      </c>
      <c r="O698" s="295">
        <v>-4498.5</v>
      </c>
      <c r="P698" s="75"/>
      <c r="Z698" s="16"/>
      <c r="AA698" s="16"/>
      <c r="AB698" s="16"/>
    </row>
    <row r="699" spans="2:29" s="341" customFormat="1" ht="21.75" hidden="1" customHeight="1">
      <c r="B699" s="68">
        <v>46333</v>
      </c>
      <c r="C699" s="69" t="str">
        <f t="shared" si="10"/>
        <v>Novembro</v>
      </c>
      <c r="D699" s="77" t="s">
        <v>299</v>
      </c>
      <c r="E699" s="72" t="s">
        <v>303</v>
      </c>
      <c r="F699" s="70" t="s">
        <v>136</v>
      </c>
      <c r="G699" s="19" t="s">
        <v>1157</v>
      </c>
      <c r="H699" s="369" t="s">
        <v>1158</v>
      </c>
      <c r="I699" s="71" t="s">
        <v>131</v>
      </c>
      <c r="J699" s="175" t="s">
        <v>209</v>
      </c>
      <c r="K699" s="112" t="s">
        <v>131</v>
      </c>
      <c r="L699" s="71" t="s">
        <v>137</v>
      </c>
      <c r="M699" s="71" t="s">
        <v>735</v>
      </c>
      <c r="N699" s="80" t="s">
        <v>28</v>
      </c>
      <c r="O699" s="295">
        <v>-150</v>
      </c>
      <c r="P699" s="296"/>
      <c r="Q699"/>
      <c r="R699"/>
      <c r="S699"/>
      <c r="T699"/>
      <c r="U699"/>
      <c r="V699"/>
      <c r="W699"/>
      <c r="X699"/>
      <c r="Y699" s="45"/>
      <c r="AC699" s="45"/>
    </row>
    <row r="700" spans="2:29" s="79" customFormat="1" ht="21.75" hidden="1" customHeight="1">
      <c r="B700" s="68">
        <v>46336</v>
      </c>
      <c r="C700" s="69" t="str">
        <f t="shared" si="10"/>
        <v>Novembro</v>
      </c>
      <c r="D700" s="77" t="s">
        <v>300</v>
      </c>
      <c r="E700" s="72" t="s">
        <v>475</v>
      </c>
      <c r="F700" s="70" t="s">
        <v>136</v>
      </c>
      <c r="G700" s="71" t="s">
        <v>212</v>
      </c>
      <c r="H700" s="77" t="s">
        <v>761</v>
      </c>
      <c r="I700" s="71" t="s">
        <v>131</v>
      </c>
      <c r="J700" s="367" t="s">
        <v>209</v>
      </c>
      <c r="K700" s="71" t="s">
        <v>131</v>
      </c>
      <c r="L700" s="71" t="s">
        <v>137</v>
      </c>
      <c r="M700" s="71" t="s">
        <v>735</v>
      </c>
      <c r="N700" s="80" t="s">
        <v>28</v>
      </c>
      <c r="O700" s="295">
        <v>-1000</v>
      </c>
      <c r="P700" s="75"/>
      <c r="Y700" s="45"/>
      <c r="AC700" s="45"/>
    </row>
    <row r="701" spans="2:29" s="79" customFormat="1" ht="21.75" hidden="1" customHeight="1">
      <c r="B701" s="68">
        <v>46336</v>
      </c>
      <c r="C701" s="69" t="str">
        <f t="shared" si="10"/>
        <v>Novembro</v>
      </c>
      <c r="D701" s="77" t="s">
        <v>298</v>
      </c>
      <c r="E701" s="72" t="s">
        <v>515</v>
      </c>
      <c r="F701" s="70" t="s">
        <v>138</v>
      </c>
      <c r="G701" s="71" t="s">
        <v>146</v>
      </c>
      <c r="H701" s="72" t="s">
        <v>153</v>
      </c>
      <c r="I701" s="71" t="s">
        <v>131</v>
      </c>
      <c r="J701" s="389" t="s">
        <v>819</v>
      </c>
      <c r="K701" s="71" t="s">
        <v>131</v>
      </c>
      <c r="L701" s="71" t="s">
        <v>134</v>
      </c>
      <c r="M701" s="71" t="s">
        <v>735</v>
      </c>
      <c r="N701" s="80" t="s">
        <v>28</v>
      </c>
      <c r="O701" s="295">
        <v>-1120</v>
      </c>
      <c r="P701" s="75"/>
      <c r="Y701" s="45"/>
      <c r="AC701" s="45"/>
    </row>
    <row r="702" spans="2:29" s="79" customFormat="1" ht="21.75" hidden="1" customHeight="1">
      <c r="B702" s="68">
        <v>46337</v>
      </c>
      <c r="C702" s="69" t="str">
        <f t="shared" si="10"/>
        <v>Novembro</v>
      </c>
      <c r="D702" s="77" t="s">
        <v>302</v>
      </c>
      <c r="E702" s="72" t="s">
        <v>436</v>
      </c>
      <c r="F702" s="70" t="s">
        <v>138</v>
      </c>
      <c r="G702" s="71" t="s">
        <v>480</v>
      </c>
      <c r="H702" s="379" t="s">
        <v>482</v>
      </c>
      <c r="I702" s="71" t="s">
        <v>131</v>
      </c>
      <c r="J702" s="389" t="s">
        <v>817</v>
      </c>
      <c r="K702" s="73" t="s">
        <v>131</v>
      </c>
      <c r="L702" s="71" t="s">
        <v>197</v>
      </c>
      <c r="M702" s="71" t="s">
        <v>730</v>
      </c>
      <c r="N702" s="80" t="s">
        <v>151</v>
      </c>
      <c r="O702" s="295">
        <v>-56.5</v>
      </c>
      <c r="P702" s="75"/>
      <c r="Y702" s="45"/>
      <c r="AC702" s="45"/>
    </row>
    <row r="703" spans="2:29" s="79" customFormat="1" ht="21.75" hidden="1" customHeight="1">
      <c r="B703" s="68">
        <v>46341</v>
      </c>
      <c r="C703" s="69" t="str">
        <f t="shared" si="10"/>
        <v>Novembro</v>
      </c>
      <c r="D703" s="77" t="s">
        <v>300</v>
      </c>
      <c r="E703" s="72" t="s">
        <v>433</v>
      </c>
      <c r="F703" s="70" t="s">
        <v>136</v>
      </c>
      <c r="G703" s="71" t="s">
        <v>142</v>
      </c>
      <c r="H703" s="77" t="s">
        <v>155</v>
      </c>
      <c r="I703" s="71" t="s">
        <v>131</v>
      </c>
      <c r="J703" s="367" t="s">
        <v>209</v>
      </c>
      <c r="K703" s="73" t="s">
        <v>131</v>
      </c>
      <c r="L703" s="71" t="s">
        <v>137</v>
      </c>
      <c r="M703" s="71" t="s">
        <v>735</v>
      </c>
      <c r="N703" s="80" t="s">
        <v>28</v>
      </c>
      <c r="O703" s="295">
        <v>-1165.5899999999999</v>
      </c>
      <c r="P703" s="75"/>
      <c r="Y703" s="45"/>
      <c r="AC703" s="45"/>
    </row>
    <row r="704" spans="2:29" s="79" customFormat="1" ht="21.75" hidden="1" customHeight="1">
      <c r="B704" s="68">
        <v>46341</v>
      </c>
      <c r="C704" s="69" t="str">
        <f t="shared" si="10"/>
        <v>Novembro</v>
      </c>
      <c r="D704" s="77" t="s">
        <v>298</v>
      </c>
      <c r="E704" s="72" t="s">
        <v>440</v>
      </c>
      <c r="F704" s="70" t="s">
        <v>136</v>
      </c>
      <c r="G704" s="71" t="s">
        <v>425</v>
      </c>
      <c r="H704" s="77" t="s">
        <v>251</v>
      </c>
      <c r="I704" s="71" t="s">
        <v>131</v>
      </c>
      <c r="J704" s="112" t="s">
        <v>131</v>
      </c>
      <c r="K704" s="73" t="s">
        <v>254</v>
      </c>
      <c r="L704" s="71" t="s">
        <v>1046</v>
      </c>
      <c r="M704" s="71" t="s">
        <v>735</v>
      </c>
      <c r="N704" s="80" t="s">
        <v>28</v>
      </c>
      <c r="O704" s="295">
        <v>-24.16</v>
      </c>
      <c r="P704" s="75"/>
      <c r="Y704" s="45"/>
      <c r="AC704" s="45"/>
    </row>
    <row r="705" spans="2:29" s="79" customFormat="1" ht="21.75" hidden="1" customHeight="1">
      <c r="B705" s="68">
        <v>46341</v>
      </c>
      <c r="C705" s="69" t="str">
        <f t="shared" si="10"/>
        <v>Novembro</v>
      </c>
      <c r="D705" s="77" t="s">
        <v>298</v>
      </c>
      <c r="E705" s="72" t="s">
        <v>440</v>
      </c>
      <c r="F705" s="70" t="s">
        <v>136</v>
      </c>
      <c r="G705" s="71" t="s">
        <v>426</v>
      </c>
      <c r="H705" s="72" t="s">
        <v>252</v>
      </c>
      <c r="I705" s="71" t="s">
        <v>131</v>
      </c>
      <c r="J705" s="342" t="s">
        <v>1441</v>
      </c>
      <c r="K705" s="73" t="s">
        <v>282</v>
      </c>
      <c r="L705" s="71" t="s">
        <v>1046</v>
      </c>
      <c r="M705" s="71" t="s">
        <v>735</v>
      </c>
      <c r="N705" s="80" t="s">
        <v>28</v>
      </c>
      <c r="O705" s="295">
        <v>-413.38</v>
      </c>
      <c r="P705" s="75"/>
      <c r="Y705" s="45"/>
      <c r="AC705" s="45"/>
    </row>
    <row r="706" spans="2:29" s="79" customFormat="1" ht="21.75" hidden="1" customHeight="1">
      <c r="B706" s="68">
        <v>46341</v>
      </c>
      <c r="C706" s="69" t="str">
        <f t="shared" si="10"/>
        <v>Novembro</v>
      </c>
      <c r="D706" s="77" t="s">
        <v>300</v>
      </c>
      <c r="E706" s="72" t="s">
        <v>432</v>
      </c>
      <c r="F706" s="70" t="s">
        <v>136</v>
      </c>
      <c r="G706" s="71" t="s">
        <v>434</v>
      </c>
      <c r="H706" s="77" t="s">
        <v>154</v>
      </c>
      <c r="I706" s="71" t="s">
        <v>131</v>
      </c>
      <c r="J706" s="175" t="s">
        <v>209</v>
      </c>
      <c r="K706" s="78" t="s">
        <v>131</v>
      </c>
      <c r="L706" s="71" t="s">
        <v>1046</v>
      </c>
      <c r="M706" s="71" t="s">
        <v>735</v>
      </c>
      <c r="N706" s="80" t="s">
        <v>28</v>
      </c>
      <c r="O706" s="295">
        <v>-235.52</v>
      </c>
      <c r="P706" s="75"/>
      <c r="Y706" s="45"/>
      <c r="AC706" s="45"/>
    </row>
    <row r="707" spans="2:29" s="79" customFormat="1" ht="21.75" hidden="1" customHeight="1">
      <c r="B707" s="68">
        <v>46341</v>
      </c>
      <c r="C707" s="69" t="str">
        <f t="shared" si="10"/>
        <v>Novembro</v>
      </c>
      <c r="D707" s="77" t="s">
        <v>508</v>
      </c>
      <c r="E707" s="72" t="s">
        <v>497</v>
      </c>
      <c r="F707" s="70" t="s">
        <v>534</v>
      </c>
      <c r="G707" s="71" t="s">
        <v>1305</v>
      </c>
      <c r="H707" s="369" t="s">
        <v>1360</v>
      </c>
      <c r="I707" s="71" t="s">
        <v>595</v>
      </c>
      <c r="J707" s="389" t="s">
        <v>1236</v>
      </c>
      <c r="K707" s="73" t="s">
        <v>1244</v>
      </c>
      <c r="L707" s="71" t="s">
        <v>1046</v>
      </c>
      <c r="M707" s="71" t="s">
        <v>730</v>
      </c>
      <c r="N707" s="80" t="s">
        <v>28</v>
      </c>
      <c r="O707" s="295">
        <v>-2288.37</v>
      </c>
      <c r="P707" s="75"/>
      <c r="Y707" s="45"/>
      <c r="AC707" s="45"/>
    </row>
    <row r="708" spans="2:29" s="79" customFormat="1" ht="21.75" hidden="1" customHeight="1">
      <c r="B708" s="68">
        <v>46341</v>
      </c>
      <c r="C708" s="69" t="str">
        <f t="shared" si="10"/>
        <v>Novembro</v>
      </c>
      <c r="D708" s="77" t="s">
        <v>302</v>
      </c>
      <c r="E708" s="72" t="s">
        <v>1408</v>
      </c>
      <c r="F708" s="70" t="s">
        <v>136</v>
      </c>
      <c r="G708" s="71" t="s">
        <v>480</v>
      </c>
      <c r="H708" s="77" t="s">
        <v>1391</v>
      </c>
      <c r="I708" s="71" t="s">
        <v>131</v>
      </c>
      <c r="J708" s="521" t="s">
        <v>786</v>
      </c>
      <c r="K708" s="73" t="s">
        <v>282</v>
      </c>
      <c r="L708" s="71" t="s">
        <v>1046</v>
      </c>
      <c r="M708" s="71" t="s">
        <v>730</v>
      </c>
      <c r="N708" s="381" t="s">
        <v>28</v>
      </c>
      <c r="O708" s="74">
        <v>-12.5</v>
      </c>
      <c r="P708" s="75"/>
      <c r="Q708" s="246"/>
      <c r="Y708" s="45"/>
      <c r="AC708" s="45"/>
    </row>
    <row r="709" spans="2:29" ht="21.75" hidden="1" customHeight="1">
      <c r="B709" s="68">
        <v>46346</v>
      </c>
      <c r="C709" s="69" t="str">
        <f t="shared" si="10"/>
        <v>Novembro</v>
      </c>
      <c r="D709" s="77" t="s">
        <v>299</v>
      </c>
      <c r="E709" s="72" t="s">
        <v>764</v>
      </c>
      <c r="F709" s="70" t="s">
        <v>138</v>
      </c>
      <c r="G709" s="19" t="s">
        <v>139</v>
      </c>
      <c r="H709" s="77" t="s">
        <v>49</v>
      </c>
      <c r="I709" s="71" t="s">
        <v>131</v>
      </c>
      <c r="J709" s="343" t="s">
        <v>811</v>
      </c>
      <c r="K709" s="71" t="s">
        <v>131</v>
      </c>
      <c r="L709" s="71" t="s">
        <v>150</v>
      </c>
      <c r="M709" s="71" t="s">
        <v>735</v>
      </c>
      <c r="N709" s="80" t="s">
        <v>28</v>
      </c>
      <c r="O709" s="295">
        <v>-400</v>
      </c>
      <c r="P709" s="75"/>
      <c r="Z709" s="16"/>
      <c r="AA709" s="16"/>
      <c r="AB709" s="16"/>
    </row>
    <row r="710" spans="2:29" s="79" customFormat="1" ht="21.75" hidden="1" customHeight="1">
      <c r="B710" s="68">
        <v>46346</v>
      </c>
      <c r="C710" s="69" t="str">
        <f t="shared" si="10"/>
        <v>Novembro</v>
      </c>
      <c r="D710" s="77" t="s">
        <v>299</v>
      </c>
      <c r="E710" s="72" t="s">
        <v>764</v>
      </c>
      <c r="F710" s="70" t="s">
        <v>138</v>
      </c>
      <c r="G710" s="71" t="s">
        <v>163</v>
      </c>
      <c r="H710" s="77" t="s">
        <v>50</v>
      </c>
      <c r="I710" s="71" t="s">
        <v>131</v>
      </c>
      <c r="J710" s="343" t="s">
        <v>811</v>
      </c>
      <c r="K710" s="78" t="s">
        <v>131</v>
      </c>
      <c r="L710" s="71" t="s">
        <v>150</v>
      </c>
      <c r="M710" s="71" t="s">
        <v>735</v>
      </c>
      <c r="N710" s="80" t="s">
        <v>28</v>
      </c>
      <c r="O710" s="295">
        <v>-1846.36</v>
      </c>
      <c r="P710" s="75"/>
      <c r="Y710" s="45"/>
      <c r="AC710" s="45"/>
    </row>
    <row r="711" spans="2:29" s="79" customFormat="1" ht="21.75" hidden="1" customHeight="1">
      <c r="B711" s="68">
        <v>46350</v>
      </c>
      <c r="C711" s="69" t="str">
        <f t="shared" ref="C711:C774" si="11">PROPER(TEXT(B711,"MMMM"))</f>
        <v>Novembro</v>
      </c>
      <c r="D711" s="77" t="s">
        <v>298</v>
      </c>
      <c r="E711" s="72" t="s">
        <v>513</v>
      </c>
      <c r="F711" s="70" t="s">
        <v>138</v>
      </c>
      <c r="G711" s="71" t="s">
        <v>140</v>
      </c>
      <c r="H711" s="77" t="s">
        <v>701</v>
      </c>
      <c r="I711" s="71" t="s">
        <v>131</v>
      </c>
      <c r="J711" s="367" t="s">
        <v>209</v>
      </c>
      <c r="K711" s="78" t="s">
        <v>205</v>
      </c>
      <c r="L711" s="71" t="s">
        <v>137</v>
      </c>
      <c r="M711" s="71" t="s">
        <v>735</v>
      </c>
      <c r="N711" s="80" t="s">
        <v>28</v>
      </c>
      <c r="O711" s="295">
        <v>-2442.5</v>
      </c>
      <c r="P711" s="75"/>
      <c r="Y711" s="45"/>
      <c r="AC711" s="45"/>
    </row>
    <row r="712" spans="2:29" s="465" customFormat="1" ht="21.75" hidden="1" customHeight="1">
      <c r="B712" s="68">
        <v>46350</v>
      </c>
      <c r="C712" s="69" t="str">
        <f t="shared" si="11"/>
        <v>Novembro</v>
      </c>
      <c r="D712" s="77" t="s">
        <v>509</v>
      </c>
      <c r="E712" s="72" t="s">
        <v>502</v>
      </c>
      <c r="F712" s="70" t="s">
        <v>138</v>
      </c>
      <c r="G712" s="71" t="s">
        <v>141</v>
      </c>
      <c r="H712" s="77" t="s">
        <v>187</v>
      </c>
      <c r="I712" s="71" t="s">
        <v>131</v>
      </c>
      <c r="J712" s="343" t="s">
        <v>817</v>
      </c>
      <c r="K712" s="71" t="s">
        <v>131</v>
      </c>
      <c r="L712" s="71" t="s">
        <v>134</v>
      </c>
      <c r="M712" s="71" t="s">
        <v>735</v>
      </c>
      <c r="N712" s="80" t="s">
        <v>28</v>
      </c>
      <c r="O712" s="295">
        <v>-9772.07</v>
      </c>
      <c r="P712" s="296"/>
      <c r="Y712" s="45"/>
      <c r="AC712" s="45"/>
    </row>
    <row r="713" spans="2:29" s="79" customFormat="1" ht="21.75" hidden="1" customHeight="1">
      <c r="B713" s="68">
        <v>46351</v>
      </c>
      <c r="C713" s="69" t="str">
        <f t="shared" si="11"/>
        <v>Novembro</v>
      </c>
      <c r="D713" s="77" t="s">
        <v>299</v>
      </c>
      <c r="E713" s="72" t="s">
        <v>303</v>
      </c>
      <c r="F713" s="70" t="s">
        <v>136</v>
      </c>
      <c r="G713" s="71" t="s">
        <v>897</v>
      </c>
      <c r="H713" s="77" t="s">
        <v>766</v>
      </c>
      <c r="I713" s="71" t="s">
        <v>131</v>
      </c>
      <c r="J713" s="392" t="s">
        <v>209</v>
      </c>
      <c r="K713" s="71" t="s">
        <v>131</v>
      </c>
      <c r="L713" s="71" t="s">
        <v>137</v>
      </c>
      <c r="M713" s="71" t="s">
        <v>735</v>
      </c>
      <c r="N713" s="80" t="s">
        <v>28</v>
      </c>
      <c r="O713" s="295">
        <v>-180</v>
      </c>
      <c r="P713" s="75"/>
      <c r="R713" s="246"/>
      <c r="Y713" s="45"/>
      <c r="AC713" s="45"/>
    </row>
    <row r="714" spans="2:29" s="79" customFormat="1" ht="21.75" hidden="1" customHeight="1">
      <c r="B714" s="68">
        <v>46351</v>
      </c>
      <c r="C714" s="69" t="str">
        <f t="shared" si="11"/>
        <v>Novembro</v>
      </c>
      <c r="D714" s="77" t="s">
        <v>299</v>
      </c>
      <c r="E714" s="72" t="s">
        <v>303</v>
      </c>
      <c r="F714" s="70" t="s">
        <v>136</v>
      </c>
      <c r="G714" s="71" t="s">
        <v>897</v>
      </c>
      <c r="H714" s="72" t="s">
        <v>767</v>
      </c>
      <c r="I714" s="71" t="s">
        <v>131</v>
      </c>
      <c r="J714" s="392" t="s">
        <v>209</v>
      </c>
      <c r="K714" s="71" t="s">
        <v>131</v>
      </c>
      <c r="L714" s="71" t="s">
        <v>137</v>
      </c>
      <c r="M714" s="71" t="s">
        <v>735</v>
      </c>
      <c r="N714" s="80" t="s">
        <v>28</v>
      </c>
      <c r="O714" s="295">
        <v>-310</v>
      </c>
      <c r="P714" s="75"/>
      <c r="R714" s="246"/>
      <c r="Y714" s="45"/>
      <c r="AC714" s="45"/>
    </row>
    <row r="715" spans="2:29" s="79" customFormat="1" ht="21.75" hidden="1" customHeight="1">
      <c r="B715" s="68">
        <v>46356</v>
      </c>
      <c r="C715" s="69" t="str">
        <f t="shared" si="11"/>
        <v>Novembro</v>
      </c>
      <c r="D715" s="77" t="s">
        <v>299</v>
      </c>
      <c r="E715" s="72" t="s">
        <v>757</v>
      </c>
      <c r="F715" s="70" t="s">
        <v>138</v>
      </c>
      <c r="G715" s="71" t="s">
        <v>148</v>
      </c>
      <c r="H715" s="72" t="s">
        <v>820</v>
      </c>
      <c r="I715" s="71" t="s">
        <v>131</v>
      </c>
      <c r="J715" s="112" t="s">
        <v>821</v>
      </c>
      <c r="K715" s="73" t="s">
        <v>131</v>
      </c>
      <c r="L715" s="71" t="s">
        <v>134</v>
      </c>
      <c r="M715" s="71" t="s">
        <v>735</v>
      </c>
      <c r="N715" s="80" t="s">
        <v>28</v>
      </c>
      <c r="O715" s="295">
        <v>-2500</v>
      </c>
      <c r="P715" s="75"/>
      <c r="R715" s="246"/>
      <c r="Y715" s="45"/>
      <c r="AC715" s="45"/>
    </row>
    <row r="716" spans="2:29" s="341" customFormat="1" ht="21.75" hidden="1" customHeight="1">
      <c r="B716" s="68">
        <v>46356</v>
      </c>
      <c r="C716" s="69" t="str">
        <f t="shared" si="11"/>
        <v>Novembro</v>
      </c>
      <c r="D716" s="77" t="s">
        <v>300</v>
      </c>
      <c r="E716" s="72" t="s">
        <v>478</v>
      </c>
      <c r="F716" s="70" t="s">
        <v>136</v>
      </c>
      <c r="G716" s="71" t="s">
        <v>136</v>
      </c>
      <c r="H716" s="77" t="s">
        <v>136</v>
      </c>
      <c r="I716" s="71" t="s">
        <v>131</v>
      </c>
      <c r="J716" s="389" t="s">
        <v>817</v>
      </c>
      <c r="K716" s="78" t="s">
        <v>131</v>
      </c>
      <c r="L716" s="71" t="s">
        <v>134</v>
      </c>
      <c r="M716" s="71" t="s">
        <v>735</v>
      </c>
      <c r="N716" s="80" t="s">
        <v>207</v>
      </c>
      <c r="O716" s="295">
        <f>-1*(SUMIFS(Aramburu_Mensal!$O$6:$O$984,Aramburu_Mensal!$C$6:$C$984,"Novembro",Aramburu_Mensal!$F$6:$F$984,"Despesas Variáveis",Aramburu_Mensal!$N$6:$N$984,"A pagar")+SUMIFS(Aramburu_Mensal!$O$6:$O$984,Aramburu_Mensal!$C$6:$C$984,"Novembro",Aramburu_Mensal!$F$6:$F$984,"Despesas Variáveis",Aramburu_Mensal!$N$6:$N$984,"Pago")+SUMIFS(Aramburu_Mensal!$O$6:$O$984,Aramburu_Mensal!$C$6:$C$984,"Novembro",Aramburu_Mensal!$F$6:$F$984,"Despesas Variáveis",Aramburu_Mensal!$N$6:$N$984,"Provisionado"))-20000</f>
        <v>-16438.849999999999</v>
      </c>
      <c r="P716" s="296"/>
      <c r="Q716"/>
      <c r="R716"/>
      <c r="S716"/>
      <c r="T716"/>
      <c r="U716"/>
      <c r="V716"/>
      <c r="W716"/>
      <c r="X716"/>
      <c r="Y716" s="45"/>
      <c r="AC716" s="45"/>
    </row>
    <row r="717" spans="2:29" s="341" customFormat="1" ht="21.75" hidden="1" customHeight="1">
      <c r="B717" s="68">
        <v>46357</v>
      </c>
      <c r="C717" s="69" t="str">
        <f t="shared" si="11"/>
        <v>Dezembro</v>
      </c>
      <c r="D717" s="77" t="s">
        <v>509</v>
      </c>
      <c r="E717" s="72" t="s">
        <v>500</v>
      </c>
      <c r="F717" s="70" t="s">
        <v>131</v>
      </c>
      <c r="G717" s="71" t="s">
        <v>132</v>
      </c>
      <c r="H717" s="77" t="s">
        <v>133</v>
      </c>
      <c r="I717" s="71" t="s">
        <v>131</v>
      </c>
      <c r="J717" s="343" t="s">
        <v>822</v>
      </c>
      <c r="K717" s="78" t="s">
        <v>131</v>
      </c>
      <c r="L717" s="71" t="s">
        <v>134</v>
      </c>
      <c r="M717" s="71" t="s">
        <v>735</v>
      </c>
      <c r="N717" s="80" t="s">
        <v>266</v>
      </c>
      <c r="O717" s="295">
        <f>-1*(SUMIFS('Distribuição de Lucro_Mensal'!$I$6:$I$680,'Distribuição de Lucro_Mensal'!$D$6:$D$680,"Dezembro",'Distribuição de Lucro_Mensal'!$K$6:$K$680,"Provisionado"))</f>
        <v>-134686.93</v>
      </c>
      <c r="P717" s="296"/>
      <c r="Q717"/>
      <c r="R717"/>
      <c r="S717"/>
      <c r="T717"/>
      <c r="U717"/>
      <c r="V717"/>
      <c r="W717"/>
      <c r="X717"/>
      <c r="Y717" s="45"/>
      <c r="AC717" s="45"/>
    </row>
    <row r="718" spans="2:29" s="341" customFormat="1" ht="21.75" hidden="1" customHeight="1">
      <c r="B718" s="68">
        <v>46357</v>
      </c>
      <c r="C718" s="69" t="str">
        <f t="shared" si="11"/>
        <v>Dezembro</v>
      </c>
      <c r="D718" s="77" t="s">
        <v>302</v>
      </c>
      <c r="E718" s="72" t="s">
        <v>436</v>
      </c>
      <c r="F718" s="70" t="s">
        <v>138</v>
      </c>
      <c r="G718" s="71" t="s">
        <v>480</v>
      </c>
      <c r="H718" s="77" t="s">
        <v>484</v>
      </c>
      <c r="I718" s="71" t="s">
        <v>131</v>
      </c>
      <c r="J718" s="389" t="s">
        <v>822</v>
      </c>
      <c r="K718" s="73" t="s">
        <v>131</v>
      </c>
      <c r="L718" s="71" t="s">
        <v>197</v>
      </c>
      <c r="M718" s="71" t="s">
        <v>730</v>
      </c>
      <c r="N718" s="80" t="s">
        <v>151</v>
      </c>
      <c r="O718" s="295">
        <v>-100</v>
      </c>
      <c r="P718" s="296"/>
      <c r="Q718"/>
      <c r="R718"/>
      <c r="S718"/>
      <c r="T718"/>
      <c r="U718"/>
      <c r="V718"/>
      <c r="W718"/>
      <c r="X718"/>
      <c r="Y718" s="45"/>
      <c r="AC718" s="45"/>
    </row>
    <row r="719" spans="2:29" s="341" customFormat="1" ht="21.75" hidden="1" customHeight="1">
      <c r="B719" s="68">
        <v>46357</v>
      </c>
      <c r="C719" s="69" t="str">
        <f t="shared" si="11"/>
        <v>Dezembro</v>
      </c>
      <c r="D719" s="77" t="s">
        <v>386</v>
      </c>
      <c r="E719" s="72" t="s">
        <v>468</v>
      </c>
      <c r="F719" s="70" t="s">
        <v>131</v>
      </c>
      <c r="G719" s="71" t="s">
        <v>480</v>
      </c>
      <c r="H719" s="72" t="s">
        <v>1008</v>
      </c>
      <c r="I719" s="71" t="s">
        <v>131</v>
      </c>
      <c r="J719" s="343" t="s">
        <v>131</v>
      </c>
      <c r="K719" s="71" t="s">
        <v>131</v>
      </c>
      <c r="L719" s="71" t="s">
        <v>131</v>
      </c>
      <c r="M719" s="71" t="s">
        <v>730</v>
      </c>
      <c r="N719" s="80" t="s">
        <v>161</v>
      </c>
      <c r="O719" s="295">
        <f>-1*(SUMIFS($O$6:$O$1198,$C$6:$C$1198,"Dezembro",$F$6:$F$1198,"Despesas Eventuais",$M$6:$M$1198,"Cooperativa Sicredi (0913)",$N$6:$N$1198,"Provisionado"))</f>
        <v>0</v>
      </c>
      <c r="P719" s="296"/>
      <c r="Q719"/>
      <c r="R719"/>
      <c r="S719"/>
      <c r="T719"/>
      <c r="U719"/>
      <c r="V719"/>
      <c r="W719"/>
      <c r="X719"/>
      <c r="Y719" s="45"/>
      <c r="AC719" s="45"/>
    </row>
    <row r="720" spans="2:29" s="341" customFormat="1" ht="21.75" hidden="1" customHeight="1">
      <c r="B720" s="68">
        <v>46357</v>
      </c>
      <c r="C720" s="69" t="str">
        <f t="shared" si="11"/>
        <v>Dezembro</v>
      </c>
      <c r="D720" s="77" t="s">
        <v>509</v>
      </c>
      <c r="E720" s="72" t="s">
        <v>500</v>
      </c>
      <c r="F720" s="70" t="s">
        <v>131</v>
      </c>
      <c r="G720" s="71" t="s">
        <v>132</v>
      </c>
      <c r="H720" s="77" t="s">
        <v>133</v>
      </c>
      <c r="I720" s="71" t="s">
        <v>131</v>
      </c>
      <c r="J720" s="343" t="s">
        <v>822</v>
      </c>
      <c r="K720" s="71" t="s">
        <v>131</v>
      </c>
      <c r="L720" s="71" t="s">
        <v>134</v>
      </c>
      <c r="M720" s="71" t="s">
        <v>735</v>
      </c>
      <c r="N720" s="80" t="s">
        <v>266</v>
      </c>
      <c r="O720" s="295">
        <f>-1*(SUMIFS('Distribuição de Lucro_Mensal'!$I$6:$I$680,'Distribuição de Lucro_Mensal'!$D$6:$D$680,"Dezembro",'Distribuição de Lucro_Mensal'!$K$6:$K$680,"A pagar"))</f>
        <v>0</v>
      </c>
      <c r="P720" s="296"/>
      <c r="Q720"/>
      <c r="R720"/>
      <c r="S720"/>
      <c r="T720"/>
      <c r="U720"/>
      <c r="V720"/>
      <c r="W720"/>
      <c r="X720"/>
      <c r="Y720" s="45"/>
      <c r="AC720" s="45"/>
    </row>
    <row r="721" spans="2:29" s="341" customFormat="1" ht="21.75" hidden="1" customHeight="1">
      <c r="B721" s="68">
        <v>46358</v>
      </c>
      <c r="C721" s="69" t="str">
        <f t="shared" si="11"/>
        <v>Dezembro</v>
      </c>
      <c r="D721" s="77" t="s">
        <v>299</v>
      </c>
      <c r="E721" s="72" t="s">
        <v>303</v>
      </c>
      <c r="F721" s="70" t="s">
        <v>138</v>
      </c>
      <c r="G721" s="19" t="s">
        <v>147</v>
      </c>
      <c r="H721" s="77" t="s">
        <v>629</v>
      </c>
      <c r="I721" s="71" t="s">
        <v>131</v>
      </c>
      <c r="J721" s="367" t="s">
        <v>209</v>
      </c>
      <c r="K721" s="71" t="s">
        <v>131</v>
      </c>
      <c r="L721" s="71" t="s">
        <v>137</v>
      </c>
      <c r="M721" s="71" t="s">
        <v>735</v>
      </c>
      <c r="N721" s="80" t="s">
        <v>28</v>
      </c>
      <c r="O721" s="295">
        <v>-700</v>
      </c>
      <c r="P721" s="296"/>
      <c r="Q721"/>
      <c r="R721"/>
      <c r="S721"/>
      <c r="T721"/>
      <c r="U721"/>
      <c r="V721"/>
      <c r="W721"/>
      <c r="X721"/>
      <c r="Y721" s="45"/>
      <c r="AC721" s="45"/>
    </row>
    <row r="722" spans="2:29" s="341" customFormat="1" ht="21.75" hidden="1" customHeight="1">
      <c r="B722" s="68">
        <v>46361</v>
      </c>
      <c r="C722" s="69" t="str">
        <f t="shared" si="11"/>
        <v>Dezembro</v>
      </c>
      <c r="D722" s="77" t="s">
        <v>298</v>
      </c>
      <c r="E722" s="72" t="s">
        <v>513</v>
      </c>
      <c r="F722" s="70" t="s">
        <v>138</v>
      </c>
      <c r="G722" s="19" t="s">
        <v>140</v>
      </c>
      <c r="H722" s="77" t="s">
        <v>152</v>
      </c>
      <c r="I722" s="71" t="s">
        <v>131</v>
      </c>
      <c r="J722" s="367" t="s">
        <v>209</v>
      </c>
      <c r="K722" s="71" t="s">
        <v>131</v>
      </c>
      <c r="L722" s="71" t="s">
        <v>137</v>
      </c>
      <c r="M722" s="71" t="s">
        <v>735</v>
      </c>
      <c r="N722" s="80" t="s">
        <v>28</v>
      </c>
      <c r="O722" s="295">
        <v>-4885</v>
      </c>
      <c r="P722" s="296"/>
      <c r="Q722"/>
      <c r="R722"/>
      <c r="S722"/>
      <c r="T722"/>
      <c r="U722"/>
      <c r="V722"/>
      <c r="W722"/>
      <c r="X722"/>
      <c r="Y722" s="45"/>
      <c r="AC722" s="45"/>
    </row>
    <row r="723" spans="2:29" s="341" customFormat="1" ht="21.75" hidden="1" customHeight="1">
      <c r="B723" s="68">
        <v>46361</v>
      </c>
      <c r="C723" s="69" t="str">
        <f t="shared" si="11"/>
        <v>Dezembro</v>
      </c>
      <c r="D723" s="77" t="s">
        <v>301</v>
      </c>
      <c r="E723" s="72" t="s">
        <v>526</v>
      </c>
      <c r="F723" s="70" t="s">
        <v>136</v>
      </c>
      <c r="G723" s="19" t="s">
        <v>548</v>
      </c>
      <c r="H723" s="77" t="s">
        <v>549</v>
      </c>
      <c r="I723" s="71" t="s">
        <v>131</v>
      </c>
      <c r="J723" s="367" t="s">
        <v>209</v>
      </c>
      <c r="K723" s="71" t="s">
        <v>131</v>
      </c>
      <c r="L723" s="71" t="s">
        <v>134</v>
      </c>
      <c r="M723" s="71" t="s">
        <v>735</v>
      </c>
      <c r="N723" s="80" t="s">
        <v>28</v>
      </c>
      <c r="O723" s="295">
        <v>-70</v>
      </c>
      <c r="P723" s="296"/>
      <c r="Q723"/>
      <c r="R723"/>
      <c r="S723"/>
      <c r="T723"/>
      <c r="U723"/>
      <c r="V723"/>
      <c r="W723"/>
      <c r="X723"/>
      <c r="Y723" s="45"/>
      <c r="AC723" s="45"/>
    </row>
    <row r="724" spans="2:29" s="341" customFormat="1" ht="21.75" hidden="1" customHeight="1">
      <c r="B724" s="68">
        <v>46361</v>
      </c>
      <c r="C724" s="69" t="str">
        <f t="shared" si="11"/>
        <v>Dezembro</v>
      </c>
      <c r="D724" s="77" t="s">
        <v>299</v>
      </c>
      <c r="E724" s="72" t="s">
        <v>757</v>
      </c>
      <c r="F724" s="70" t="s">
        <v>138</v>
      </c>
      <c r="G724" s="71" t="s">
        <v>148</v>
      </c>
      <c r="H724" s="77" t="s">
        <v>177</v>
      </c>
      <c r="I724" s="71" t="s">
        <v>131</v>
      </c>
      <c r="J724" s="389" t="s">
        <v>817</v>
      </c>
      <c r="K724" s="78" t="s">
        <v>131</v>
      </c>
      <c r="L724" s="71" t="s">
        <v>134</v>
      </c>
      <c r="M724" s="71" t="s">
        <v>735</v>
      </c>
      <c r="N724" s="80" t="s">
        <v>28</v>
      </c>
      <c r="O724" s="295">
        <v>-4498.5</v>
      </c>
      <c r="P724" s="296"/>
      <c r="Q724"/>
      <c r="R724"/>
      <c r="S724"/>
      <c r="T724"/>
      <c r="U724"/>
      <c r="V724"/>
      <c r="W724"/>
      <c r="X724"/>
      <c r="Y724" s="45"/>
      <c r="AC724" s="45"/>
    </row>
    <row r="725" spans="2:29" ht="21.75" hidden="1" customHeight="1">
      <c r="B725" s="68">
        <v>46363</v>
      </c>
      <c r="C725" s="69" t="str">
        <f t="shared" si="11"/>
        <v>Dezembro</v>
      </c>
      <c r="D725" s="77" t="s">
        <v>299</v>
      </c>
      <c r="E725" s="72" t="s">
        <v>303</v>
      </c>
      <c r="F725" s="70" t="s">
        <v>136</v>
      </c>
      <c r="G725" s="19" t="s">
        <v>1157</v>
      </c>
      <c r="H725" s="369" t="s">
        <v>1158</v>
      </c>
      <c r="I725" s="71" t="s">
        <v>131</v>
      </c>
      <c r="J725" s="175" t="s">
        <v>209</v>
      </c>
      <c r="K725" s="112" t="s">
        <v>131</v>
      </c>
      <c r="L725" s="71" t="s">
        <v>137</v>
      </c>
      <c r="M725" s="71" t="s">
        <v>735</v>
      </c>
      <c r="N725" s="80" t="s">
        <v>28</v>
      </c>
      <c r="O725" s="295">
        <v>-150</v>
      </c>
      <c r="P725" s="75"/>
      <c r="Z725" s="16"/>
      <c r="AA725" s="16"/>
      <c r="AB725" s="16"/>
    </row>
    <row r="726" spans="2:29" s="79" customFormat="1" ht="21.75" hidden="1" customHeight="1">
      <c r="B726" s="68">
        <v>46366</v>
      </c>
      <c r="C726" s="69" t="str">
        <f t="shared" si="11"/>
        <v>Dezembro</v>
      </c>
      <c r="D726" s="77" t="s">
        <v>300</v>
      </c>
      <c r="E726" s="72" t="s">
        <v>475</v>
      </c>
      <c r="F726" s="70" t="s">
        <v>136</v>
      </c>
      <c r="G726" s="19" t="s">
        <v>212</v>
      </c>
      <c r="H726" s="369" t="s">
        <v>761</v>
      </c>
      <c r="I726" s="71" t="s">
        <v>131</v>
      </c>
      <c r="J726" s="367" t="s">
        <v>209</v>
      </c>
      <c r="K726" s="112" t="s">
        <v>131</v>
      </c>
      <c r="L726" s="71" t="s">
        <v>137</v>
      </c>
      <c r="M726" s="71" t="s">
        <v>735</v>
      </c>
      <c r="N726" s="80" t="s">
        <v>28</v>
      </c>
      <c r="O726" s="295">
        <v>-1000</v>
      </c>
      <c r="P726" s="75"/>
      <c r="Y726" s="45"/>
      <c r="AC726" s="45"/>
    </row>
    <row r="727" spans="2:29" s="79" customFormat="1" ht="21.75" hidden="1" customHeight="1">
      <c r="B727" s="68">
        <v>46366</v>
      </c>
      <c r="C727" s="69" t="str">
        <f t="shared" si="11"/>
        <v>Dezembro</v>
      </c>
      <c r="D727" s="77" t="s">
        <v>298</v>
      </c>
      <c r="E727" s="72" t="s">
        <v>515</v>
      </c>
      <c r="F727" s="70" t="s">
        <v>138</v>
      </c>
      <c r="G727" s="19" t="s">
        <v>146</v>
      </c>
      <c r="H727" s="369" t="s">
        <v>153</v>
      </c>
      <c r="I727" s="71" t="s">
        <v>131</v>
      </c>
      <c r="J727" s="389" t="s">
        <v>823</v>
      </c>
      <c r="K727" s="112" t="s">
        <v>131</v>
      </c>
      <c r="L727" s="71" t="s">
        <v>134</v>
      </c>
      <c r="M727" s="71" t="s">
        <v>735</v>
      </c>
      <c r="N727" s="80" t="s">
        <v>28</v>
      </c>
      <c r="O727" s="295">
        <v>-1120</v>
      </c>
      <c r="P727" s="75"/>
      <c r="R727" s="246"/>
      <c r="Y727" s="45"/>
      <c r="AC727" s="45"/>
    </row>
    <row r="728" spans="2:29" s="79" customFormat="1" ht="21.75" hidden="1" customHeight="1">
      <c r="B728" s="68">
        <v>46367</v>
      </c>
      <c r="C728" s="69" t="str">
        <f t="shared" si="11"/>
        <v>Dezembro</v>
      </c>
      <c r="D728" s="77" t="s">
        <v>302</v>
      </c>
      <c r="E728" s="72" t="s">
        <v>436</v>
      </c>
      <c r="F728" s="70" t="s">
        <v>138</v>
      </c>
      <c r="G728" s="19" t="s">
        <v>480</v>
      </c>
      <c r="H728" s="379" t="s">
        <v>482</v>
      </c>
      <c r="I728" s="71" t="s">
        <v>131</v>
      </c>
      <c r="J728" s="389" t="s">
        <v>822</v>
      </c>
      <c r="K728" s="71" t="s">
        <v>131</v>
      </c>
      <c r="L728" s="71" t="s">
        <v>197</v>
      </c>
      <c r="M728" s="71" t="s">
        <v>730</v>
      </c>
      <c r="N728" s="80" t="s">
        <v>151</v>
      </c>
      <c r="O728" s="295">
        <v>-56.5</v>
      </c>
      <c r="P728" s="75"/>
      <c r="R728" s="246"/>
      <c r="Y728" s="45"/>
      <c r="AC728" s="45"/>
    </row>
    <row r="729" spans="2:29" ht="21.75" hidden="1" customHeight="1">
      <c r="B729" s="68">
        <v>46371</v>
      </c>
      <c r="C729" s="69" t="str">
        <f t="shared" si="11"/>
        <v>Dezembro</v>
      </c>
      <c r="D729" s="77" t="s">
        <v>300</v>
      </c>
      <c r="E729" s="72" t="s">
        <v>433</v>
      </c>
      <c r="F729" s="70" t="s">
        <v>136</v>
      </c>
      <c r="G729" s="19" t="s">
        <v>142</v>
      </c>
      <c r="H729" s="369" t="s">
        <v>155</v>
      </c>
      <c r="I729" s="71" t="s">
        <v>131</v>
      </c>
      <c r="J729" s="367" t="s">
        <v>209</v>
      </c>
      <c r="K729" s="112" t="s">
        <v>131</v>
      </c>
      <c r="L729" s="71" t="s">
        <v>137</v>
      </c>
      <c r="M729" s="71" t="s">
        <v>735</v>
      </c>
      <c r="N729" s="80" t="s">
        <v>28</v>
      </c>
      <c r="O729" s="295">
        <v>-1165.5899999999999</v>
      </c>
      <c r="P729" s="75"/>
      <c r="Z729" s="16"/>
      <c r="AA729" s="16"/>
      <c r="AB729" s="16"/>
    </row>
    <row r="730" spans="2:29" s="341" customFormat="1" ht="21.75" hidden="1" customHeight="1">
      <c r="B730" s="68">
        <v>46371</v>
      </c>
      <c r="C730" s="69" t="str">
        <f t="shared" si="11"/>
        <v>Dezembro</v>
      </c>
      <c r="D730" s="77" t="s">
        <v>298</v>
      </c>
      <c r="E730" s="72" t="s">
        <v>440</v>
      </c>
      <c r="F730" s="70" t="s">
        <v>136</v>
      </c>
      <c r="G730" s="19" t="s">
        <v>425</v>
      </c>
      <c r="H730" s="369" t="s">
        <v>251</v>
      </c>
      <c r="I730" s="71" t="s">
        <v>131</v>
      </c>
      <c r="J730" s="112" t="s">
        <v>131</v>
      </c>
      <c r="K730" s="112" t="s">
        <v>255</v>
      </c>
      <c r="L730" s="71" t="s">
        <v>1046</v>
      </c>
      <c r="M730" s="71" t="s">
        <v>735</v>
      </c>
      <c r="N730" s="80" t="s">
        <v>28</v>
      </c>
      <c r="O730" s="295">
        <v>-24.16</v>
      </c>
      <c r="P730" s="296"/>
      <c r="Q730"/>
      <c r="R730"/>
      <c r="S730"/>
      <c r="T730"/>
      <c r="U730"/>
      <c r="V730"/>
      <c r="W730"/>
      <c r="X730"/>
      <c r="Y730" s="45"/>
      <c r="AC730" s="45"/>
    </row>
    <row r="731" spans="2:29" s="341" customFormat="1" ht="21.75" hidden="1" customHeight="1">
      <c r="B731" s="68">
        <v>46371</v>
      </c>
      <c r="C731" s="69" t="str">
        <f t="shared" si="11"/>
        <v>Dezembro</v>
      </c>
      <c r="D731" s="77" t="s">
        <v>298</v>
      </c>
      <c r="E731" s="72" t="s">
        <v>440</v>
      </c>
      <c r="F731" s="70" t="s">
        <v>136</v>
      </c>
      <c r="G731" s="19" t="s">
        <v>426</v>
      </c>
      <c r="H731" s="369" t="s">
        <v>252</v>
      </c>
      <c r="I731" s="71" t="s">
        <v>131</v>
      </c>
      <c r="J731" s="342" t="s">
        <v>1441</v>
      </c>
      <c r="K731" s="112" t="s">
        <v>283</v>
      </c>
      <c r="L731" s="71" t="s">
        <v>1046</v>
      </c>
      <c r="M731" s="71" t="s">
        <v>735</v>
      </c>
      <c r="N731" s="80" t="s">
        <v>28</v>
      </c>
      <c r="O731" s="295">
        <v>-413.38</v>
      </c>
      <c r="P731" s="296"/>
      <c r="Q731"/>
      <c r="R731"/>
      <c r="S731"/>
      <c r="T731"/>
      <c r="U731"/>
      <c r="V731"/>
      <c r="W731"/>
      <c r="X731"/>
      <c r="Y731" s="45"/>
      <c r="AC731" s="45"/>
    </row>
    <row r="732" spans="2:29" s="79" customFormat="1" ht="21.75" hidden="1" customHeight="1">
      <c r="B732" s="68">
        <v>46371</v>
      </c>
      <c r="C732" s="69" t="str">
        <f t="shared" si="11"/>
        <v>Dezembro</v>
      </c>
      <c r="D732" s="77" t="s">
        <v>300</v>
      </c>
      <c r="E732" s="72" t="s">
        <v>432</v>
      </c>
      <c r="F732" s="70" t="s">
        <v>136</v>
      </c>
      <c r="G732" s="19" t="s">
        <v>434</v>
      </c>
      <c r="H732" s="369" t="s">
        <v>154</v>
      </c>
      <c r="I732" s="71" t="s">
        <v>131</v>
      </c>
      <c r="J732" s="175" t="s">
        <v>209</v>
      </c>
      <c r="K732" s="112" t="s">
        <v>131</v>
      </c>
      <c r="L732" s="71" t="s">
        <v>1046</v>
      </c>
      <c r="M732" s="71" t="s">
        <v>735</v>
      </c>
      <c r="N732" s="80" t="s">
        <v>28</v>
      </c>
      <c r="O732" s="295">
        <v>-235.52</v>
      </c>
      <c r="P732" s="75"/>
      <c r="R732" s="246"/>
      <c r="Y732" s="45"/>
      <c r="AC732" s="45"/>
    </row>
    <row r="733" spans="2:29" ht="21.75" hidden="1" customHeight="1">
      <c r="B733" s="376">
        <v>46371</v>
      </c>
      <c r="C733" s="69" t="str">
        <f t="shared" si="11"/>
        <v>Dezembro</v>
      </c>
      <c r="D733" s="378" t="s">
        <v>301</v>
      </c>
      <c r="E733" s="379" t="s">
        <v>414</v>
      </c>
      <c r="F733" s="380" t="s">
        <v>136</v>
      </c>
      <c r="G733" s="342" t="s">
        <v>959</v>
      </c>
      <c r="H733" s="378" t="s">
        <v>960</v>
      </c>
      <c r="I733" s="342" t="s">
        <v>131</v>
      </c>
      <c r="J733" s="391" t="s">
        <v>209</v>
      </c>
      <c r="K733" s="343" t="s">
        <v>131</v>
      </c>
      <c r="L733" s="342" t="s">
        <v>134</v>
      </c>
      <c r="M733" s="342" t="s">
        <v>735</v>
      </c>
      <c r="N733" s="80" t="s">
        <v>28</v>
      </c>
      <c r="O733" s="295">
        <v>-1500</v>
      </c>
      <c r="P733" s="75"/>
      <c r="Z733" s="16"/>
      <c r="AA733" s="16"/>
      <c r="AB733" s="16"/>
    </row>
    <row r="734" spans="2:29" s="79" customFormat="1" ht="21.75" hidden="1" customHeight="1">
      <c r="B734" s="376">
        <v>46371</v>
      </c>
      <c r="C734" s="69" t="str">
        <f t="shared" si="11"/>
        <v>Dezembro</v>
      </c>
      <c r="D734" s="378" t="s">
        <v>300</v>
      </c>
      <c r="E734" s="379" t="s">
        <v>438</v>
      </c>
      <c r="F734" s="380" t="s">
        <v>136</v>
      </c>
      <c r="G734" s="342" t="s">
        <v>959</v>
      </c>
      <c r="H734" s="378" t="s">
        <v>961</v>
      </c>
      <c r="I734" s="342" t="s">
        <v>131</v>
      </c>
      <c r="J734" s="391" t="s">
        <v>209</v>
      </c>
      <c r="K734" s="343" t="s">
        <v>131</v>
      </c>
      <c r="L734" s="342" t="s">
        <v>134</v>
      </c>
      <c r="M734" s="342" t="s">
        <v>735</v>
      </c>
      <c r="N734" s="80" t="s">
        <v>28</v>
      </c>
      <c r="O734" s="295">
        <v>-2500</v>
      </c>
      <c r="P734" s="75"/>
      <c r="Q734" s="246"/>
      <c r="Y734" s="45"/>
      <c r="AC734" s="45"/>
    </row>
    <row r="735" spans="2:29" s="79" customFormat="1" ht="21.75" hidden="1" customHeight="1">
      <c r="B735" s="68">
        <v>46371</v>
      </c>
      <c r="C735" s="69" t="str">
        <f t="shared" si="11"/>
        <v>Dezembro</v>
      </c>
      <c r="D735" s="77" t="s">
        <v>302</v>
      </c>
      <c r="E735" s="72" t="s">
        <v>1408</v>
      </c>
      <c r="F735" s="70" t="s">
        <v>136</v>
      </c>
      <c r="G735" s="71" t="s">
        <v>480</v>
      </c>
      <c r="H735" s="77" t="s">
        <v>1391</v>
      </c>
      <c r="I735" s="71" t="s">
        <v>131</v>
      </c>
      <c r="J735" s="521" t="s">
        <v>786</v>
      </c>
      <c r="K735" s="73" t="s">
        <v>283</v>
      </c>
      <c r="L735" s="71" t="s">
        <v>1046</v>
      </c>
      <c r="M735" s="71" t="s">
        <v>730</v>
      </c>
      <c r="N735" s="381" t="s">
        <v>28</v>
      </c>
      <c r="O735" s="74">
        <v>-12.5</v>
      </c>
      <c r="P735" s="75"/>
      <c r="Y735" s="45"/>
      <c r="AC735" s="45"/>
    </row>
    <row r="736" spans="2:29" s="341" customFormat="1" ht="21.75" hidden="1" customHeight="1">
      <c r="B736" s="68">
        <v>46376</v>
      </c>
      <c r="C736" s="69" t="str">
        <f t="shared" si="11"/>
        <v>Dezembro</v>
      </c>
      <c r="D736" s="77" t="s">
        <v>298</v>
      </c>
      <c r="E736" s="72" t="s">
        <v>513</v>
      </c>
      <c r="F736" s="70" t="s">
        <v>138</v>
      </c>
      <c r="G736" s="71" t="s">
        <v>140</v>
      </c>
      <c r="H736" s="77" t="s">
        <v>701</v>
      </c>
      <c r="I736" s="71" t="s">
        <v>131</v>
      </c>
      <c r="J736" s="367" t="s">
        <v>209</v>
      </c>
      <c r="K736" s="76" t="s">
        <v>206</v>
      </c>
      <c r="L736" s="71" t="s">
        <v>137</v>
      </c>
      <c r="M736" s="71" t="s">
        <v>735</v>
      </c>
      <c r="N736" s="80" t="s">
        <v>28</v>
      </c>
      <c r="O736" s="295">
        <v>-2442.5</v>
      </c>
      <c r="P736" s="296"/>
      <c r="Q736"/>
      <c r="R736"/>
      <c r="S736"/>
      <c r="T736"/>
      <c r="U736"/>
      <c r="V736"/>
      <c r="W736"/>
      <c r="X736"/>
      <c r="Y736" s="45"/>
      <c r="AC736" s="45"/>
    </row>
    <row r="737" spans="2:29" ht="21.75" hidden="1" customHeight="1">
      <c r="B737" s="68">
        <v>46376</v>
      </c>
      <c r="C737" s="69" t="str">
        <f t="shared" si="11"/>
        <v>Dezembro</v>
      </c>
      <c r="D737" s="77" t="s">
        <v>299</v>
      </c>
      <c r="E737" s="72" t="s">
        <v>764</v>
      </c>
      <c r="F737" s="70" t="s">
        <v>138</v>
      </c>
      <c r="G737" s="71" t="s">
        <v>139</v>
      </c>
      <c r="H737" s="77" t="s">
        <v>49</v>
      </c>
      <c r="I737" s="71" t="s">
        <v>131</v>
      </c>
      <c r="J737" s="343" t="s">
        <v>817</v>
      </c>
      <c r="K737" s="76" t="s">
        <v>131</v>
      </c>
      <c r="L737" s="71" t="s">
        <v>150</v>
      </c>
      <c r="M737" s="71" t="s">
        <v>735</v>
      </c>
      <c r="N737" s="80" t="s">
        <v>28</v>
      </c>
      <c r="O737" s="295">
        <v>-400</v>
      </c>
      <c r="P737" s="75"/>
      <c r="Z737" s="16"/>
      <c r="AA737" s="16"/>
      <c r="AB737" s="16"/>
    </row>
    <row r="738" spans="2:29" ht="21.75" hidden="1" customHeight="1">
      <c r="B738" s="68">
        <v>46376</v>
      </c>
      <c r="C738" s="69" t="str">
        <f t="shared" si="11"/>
        <v>Dezembro</v>
      </c>
      <c r="D738" s="77" t="s">
        <v>299</v>
      </c>
      <c r="E738" s="72" t="s">
        <v>764</v>
      </c>
      <c r="F738" s="70" t="s">
        <v>138</v>
      </c>
      <c r="G738" s="71" t="s">
        <v>163</v>
      </c>
      <c r="H738" s="77" t="s">
        <v>825</v>
      </c>
      <c r="I738" s="71" t="s">
        <v>131</v>
      </c>
      <c r="J738" s="112" t="s">
        <v>821</v>
      </c>
      <c r="K738" s="73" t="s">
        <v>131</v>
      </c>
      <c r="L738" s="71" t="s">
        <v>150</v>
      </c>
      <c r="M738" s="71" t="s">
        <v>735</v>
      </c>
      <c r="N738" s="80" t="s">
        <v>28</v>
      </c>
      <c r="O738" s="295">
        <v>-1846.36</v>
      </c>
      <c r="P738" s="75"/>
      <c r="Z738" s="16"/>
      <c r="AA738" s="16"/>
      <c r="AB738" s="16"/>
    </row>
    <row r="739" spans="2:29" ht="21.75" hidden="1" customHeight="1">
      <c r="B739" s="68">
        <v>46376</v>
      </c>
      <c r="C739" s="69" t="str">
        <f t="shared" si="11"/>
        <v>Dezembro</v>
      </c>
      <c r="D739" s="77" t="s">
        <v>299</v>
      </c>
      <c r="E739" s="72" t="s">
        <v>764</v>
      </c>
      <c r="F739" s="70" t="s">
        <v>138</v>
      </c>
      <c r="G739" s="71" t="s">
        <v>163</v>
      </c>
      <c r="H739" s="77" t="s">
        <v>50</v>
      </c>
      <c r="I739" s="71" t="s">
        <v>131</v>
      </c>
      <c r="J739" s="343" t="s">
        <v>817</v>
      </c>
      <c r="K739" s="71" t="s">
        <v>131</v>
      </c>
      <c r="L739" s="71" t="s">
        <v>150</v>
      </c>
      <c r="M739" s="71" t="s">
        <v>735</v>
      </c>
      <c r="N739" s="80" t="s">
        <v>28</v>
      </c>
      <c r="O739" s="295">
        <v>-1846.36</v>
      </c>
      <c r="P739" s="75"/>
      <c r="Z739" s="16"/>
      <c r="AA739" s="16"/>
      <c r="AB739" s="16"/>
    </row>
    <row r="740" spans="2:29" ht="21.75" hidden="1" customHeight="1">
      <c r="B740" s="68">
        <v>46376</v>
      </c>
      <c r="C740" s="69" t="str">
        <f t="shared" si="11"/>
        <v>Dezembro</v>
      </c>
      <c r="D740" s="77" t="s">
        <v>299</v>
      </c>
      <c r="E740" s="72" t="s">
        <v>757</v>
      </c>
      <c r="F740" s="70" t="s">
        <v>138</v>
      </c>
      <c r="G740" s="71" t="s">
        <v>148</v>
      </c>
      <c r="H740" s="72" t="s">
        <v>824</v>
      </c>
      <c r="I740" s="71" t="s">
        <v>131</v>
      </c>
      <c r="J740" s="112" t="s">
        <v>821</v>
      </c>
      <c r="K740" s="73" t="s">
        <v>131</v>
      </c>
      <c r="L740" s="71" t="s">
        <v>134</v>
      </c>
      <c r="M740" s="71" t="s">
        <v>735</v>
      </c>
      <c r="N740" s="80" t="s">
        <v>28</v>
      </c>
      <c r="O740" s="295">
        <v>-1981.18</v>
      </c>
      <c r="P740" s="75"/>
      <c r="Z740" s="16"/>
      <c r="AA740" s="16"/>
      <c r="AB740" s="16"/>
    </row>
    <row r="741" spans="2:29" ht="21.75" hidden="1" customHeight="1">
      <c r="B741" s="68">
        <v>46380</v>
      </c>
      <c r="C741" s="69" t="str">
        <f t="shared" si="11"/>
        <v>Dezembro</v>
      </c>
      <c r="D741" s="77" t="s">
        <v>509</v>
      </c>
      <c r="E741" s="72" t="s">
        <v>502</v>
      </c>
      <c r="F741" s="70" t="s">
        <v>138</v>
      </c>
      <c r="G741" s="71" t="s">
        <v>141</v>
      </c>
      <c r="H741" s="72" t="s">
        <v>187</v>
      </c>
      <c r="I741" s="71" t="s">
        <v>131</v>
      </c>
      <c r="J741" s="343" t="s">
        <v>822</v>
      </c>
      <c r="K741" s="71" t="s">
        <v>131</v>
      </c>
      <c r="L741" s="71" t="s">
        <v>134</v>
      </c>
      <c r="M741" s="71" t="s">
        <v>735</v>
      </c>
      <c r="N741" s="80" t="s">
        <v>28</v>
      </c>
      <c r="O741" s="295">
        <v>-9772.07</v>
      </c>
      <c r="P741" s="75"/>
      <c r="Z741" s="16"/>
      <c r="AA741" s="16"/>
      <c r="AB741" s="16"/>
    </row>
    <row r="742" spans="2:29" ht="21.75" hidden="1" customHeight="1">
      <c r="B742" s="68">
        <v>46381</v>
      </c>
      <c r="C742" s="69" t="str">
        <f t="shared" si="11"/>
        <v>Dezembro</v>
      </c>
      <c r="D742" s="77" t="s">
        <v>299</v>
      </c>
      <c r="E742" s="72" t="s">
        <v>303</v>
      </c>
      <c r="F742" s="70" t="s">
        <v>136</v>
      </c>
      <c r="G742" s="71" t="s">
        <v>897</v>
      </c>
      <c r="H742" s="77" t="s">
        <v>766</v>
      </c>
      <c r="I742" s="71" t="s">
        <v>131</v>
      </c>
      <c r="J742" s="392" t="s">
        <v>209</v>
      </c>
      <c r="K742" s="78" t="s">
        <v>131</v>
      </c>
      <c r="L742" s="71" t="s">
        <v>137</v>
      </c>
      <c r="M742" s="71" t="s">
        <v>735</v>
      </c>
      <c r="N742" s="80" t="s">
        <v>28</v>
      </c>
      <c r="O742" s="295">
        <v>-180</v>
      </c>
      <c r="P742" s="75"/>
      <c r="Z742" s="16"/>
      <c r="AA742" s="16"/>
      <c r="AB742" s="16"/>
    </row>
    <row r="743" spans="2:29" ht="21.75" hidden="1" customHeight="1">
      <c r="B743" s="68">
        <v>46381</v>
      </c>
      <c r="C743" s="69" t="str">
        <f t="shared" si="11"/>
        <v>Dezembro</v>
      </c>
      <c r="D743" s="77" t="s">
        <v>299</v>
      </c>
      <c r="E743" s="72" t="s">
        <v>303</v>
      </c>
      <c r="F743" s="70" t="s">
        <v>136</v>
      </c>
      <c r="G743" s="71" t="s">
        <v>897</v>
      </c>
      <c r="H743" s="77" t="s">
        <v>767</v>
      </c>
      <c r="I743" s="71" t="s">
        <v>131</v>
      </c>
      <c r="J743" s="392" t="s">
        <v>209</v>
      </c>
      <c r="K743" s="71" t="s">
        <v>131</v>
      </c>
      <c r="L743" s="71" t="s">
        <v>137</v>
      </c>
      <c r="M743" s="71" t="s">
        <v>735</v>
      </c>
      <c r="N743" s="80" t="s">
        <v>28</v>
      </c>
      <c r="O743" s="295">
        <v>-310</v>
      </c>
      <c r="P743" s="75"/>
      <c r="Z743" s="16"/>
      <c r="AA743" s="16"/>
      <c r="AB743" s="16"/>
    </row>
    <row r="744" spans="2:29" ht="21.75" hidden="1" customHeight="1">
      <c r="B744" s="68">
        <v>46386</v>
      </c>
      <c r="C744" s="69" t="str">
        <f t="shared" si="11"/>
        <v>Dezembro</v>
      </c>
      <c r="D744" s="77" t="s">
        <v>300</v>
      </c>
      <c r="E744" s="72" t="s">
        <v>478</v>
      </c>
      <c r="F744" s="70" t="s">
        <v>136</v>
      </c>
      <c r="G744" s="71" t="s">
        <v>136</v>
      </c>
      <c r="H744" s="72" t="s">
        <v>136</v>
      </c>
      <c r="I744" s="71" t="s">
        <v>131</v>
      </c>
      <c r="J744" s="389" t="s">
        <v>822</v>
      </c>
      <c r="K744" s="71" t="s">
        <v>131</v>
      </c>
      <c r="L744" s="71" t="s">
        <v>134</v>
      </c>
      <c r="M744" s="71" t="s">
        <v>735</v>
      </c>
      <c r="N744" s="80" t="s">
        <v>207</v>
      </c>
      <c r="O744" s="295">
        <f>-1*(SUMIFS(Aramburu_Mensal!$O$6:$O$984,Aramburu_Mensal!$C$6:$C$984,"Dezembro",Aramburu_Mensal!$F$6:$F$984,"Despesas Variáveis",Aramburu_Mensal!$N$6:$N$984,"A pagar")+SUMIFS(Aramburu_Mensal!$O$6:$O$984,Aramburu_Mensal!$C$6:$C$984,"Dezembro",Aramburu_Mensal!$F$6:$F$984,"Despesas Variáveis",Aramburu_Mensal!$N$6:$N$984,"Pago")+SUMIFS(Aramburu_Mensal!$O$6:$O$984,Aramburu_Mensal!$C$6:$C$984,"Dezembro",Aramburu_Mensal!$F$6:$F$984,"Despesas Variáveis",Aramburu_Mensal!$N$6:$N$984,"Provisionado"))-20000</f>
        <v>-12438.85</v>
      </c>
      <c r="P744" s="75"/>
      <c r="Z744" s="16"/>
      <c r="AA744" s="16"/>
      <c r="AB744" s="16"/>
    </row>
    <row r="745" spans="2:29" s="341" customFormat="1" ht="21.75" hidden="1" customHeight="1">
      <c r="B745" s="68"/>
      <c r="C745" s="69"/>
      <c r="D745" s="77"/>
      <c r="E745" s="72"/>
      <c r="F745" s="70"/>
      <c r="G745" s="71"/>
      <c r="H745" s="77"/>
      <c r="I745" s="71"/>
      <c r="J745" s="367"/>
      <c r="K745" s="73"/>
      <c r="L745" s="71"/>
      <c r="M745" s="71"/>
      <c r="N745" s="80"/>
      <c r="O745" s="295"/>
      <c r="P745" s="296"/>
      <c r="Q745"/>
      <c r="R745"/>
      <c r="S745"/>
      <c r="T745"/>
      <c r="U745"/>
      <c r="V745"/>
      <c r="W745"/>
      <c r="X745"/>
      <c r="Y745" s="45"/>
      <c r="AC745" s="45"/>
    </row>
    <row r="746" spans="2:29" ht="21.75" hidden="1" customHeight="1">
      <c r="B746" s="68"/>
      <c r="C746" s="69"/>
      <c r="D746" s="77"/>
      <c r="E746" s="72"/>
      <c r="F746" s="70"/>
      <c r="G746" s="71"/>
      <c r="H746" s="77"/>
      <c r="I746" s="71"/>
      <c r="J746" s="389"/>
      <c r="K746" s="71"/>
      <c r="L746" s="71"/>
      <c r="M746" s="71"/>
      <c r="N746" s="80"/>
      <c r="O746" s="295"/>
      <c r="P746" s="75"/>
      <c r="Z746" s="16"/>
      <c r="AA746" s="16"/>
      <c r="AB746" s="16"/>
    </row>
    <row r="747" spans="2:29" ht="21.75" hidden="1" customHeight="1">
      <c r="B747" s="68"/>
      <c r="C747" s="69"/>
      <c r="D747" s="77"/>
      <c r="E747" s="72"/>
      <c r="F747" s="70"/>
      <c r="G747" s="71"/>
      <c r="H747" s="72"/>
      <c r="I747" s="71"/>
      <c r="J747" s="343"/>
      <c r="K747" s="73"/>
      <c r="L747" s="71"/>
      <c r="M747" s="71"/>
      <c r="N747" s="80"/>
      <c r="O747" s="295"/>
      <c r="P747" s="75"/>
      <c r="Z747" s="16"/>
      <c r="AA747" s="16"/>
      <c r="AB747" s="16"/>
    </row>
    <row r="748" spans="2:29" s="79" customFormat="1" ht="21.75" hidden="1" customHeight="1">
      <c r="B748" s="68"/>
      <c r="C748" s="69"/>
      <c r="D748" s="77"/>
      <c r="E748" s="72"/>
      <c r="F748" s="70"/>
      <c r="G748" s="71"/>
      <c r="H748" s="77"/>
      <c r="I748" s="71"/>
      <c r="J748" s="343"/>
      <c r="K748" s="71"/>
      <c r="L748" s="71"/>
      <c r="M748" s="71"/>
      <c r="N748" s="80"/>
      <c r="O748" s="295"/>
      <c r="P748" s="75"/>
      <c r="Y748" s="45"/>
      <c r="AC748" s="45"/>
    </row>
    <row r="749" spans="2:29" s="79" customFormat="1" ht="21.75" hidden="1" customHeight="1">
      <c r="B749" s="68"/>
      <c r="C749" s="69"/>
      <c r="D749" s="77"/>
      <c r="E749" s="72"/>
      <c r="F749" s="70"/>
      <c r="G749" s="71"/>
      <c r="H749" s="72"/>
      <c r="I749" s="71"/>
      <c r="J749" s="392"/>
      <c r="K749" s="73"/>
      <c r="L749" s="71"/>
      <c r="M749" s="71"/>
      <c r="N749" s="80"/>
      <c r="O749" s="295"/>
      <c r="P749" s="75"/>
      <c r="R749" s="246"/>
      <c r="Y749" s="45"/>
      <c r="AC749" s="45"/>
    </row>
    <row r="750" spans="2:29" ht="21.75" hidden="1" customHeight="1">
      <c r="B750" s="68"/>
      <c r="C750" s="69"/>
      <c r="D750" s="77"/>
      <c r="E750" s="72"/>
      <c r="F750" s="70"/>
      <c r="G750" s="71"/>
      <c r="H750" s="72"/>
      <c r="I750" s="71"/>
      <c r="J750" s="392"/>
      <c r="K750" s="73"/>
      <c r="L750" s="71"/>
      <c r="M750" s="71"/>
      <c r="N750" s="80"/>
      <c r="O750" s="295"/>
      <c r="P750" s="75"/>
      <c r="Z750" s="16"/>
      <c r="AA750" s="16"/>
      <c r="AB750" s="16"/>
    </row>
    <row r="751" spans="2:29" ht="21.75" hidden="1" customHeight="1">
      <c r="B751" s="68"/>
      <c r="C751" s="69"/>
      <c r="D751" s="77"/>
      <c r="E751" s="72"/>
      <c r="F751" s="70"/>
      <c r="G751" s="71"/>
      <c r="H751" s="77"/>
      <c r="I751" s="71"/>
      <c r="J751" s="392"/>
      <c r="K751" s="71"/>
      <c r="L751" s="71"/>
      <c r="M751" s="71"/>
      <c r="N751" s="80"/>
      <c r="O751" s="295"/>
      <c r="P751" s="75"/>
      <c r="Z751" s="16"/>
      <c r="AA751" s="16"/>
      <c r="AB751" s="16"/>
    </row>
    <row r="752" spans="2:29" ht="21.75" hidden="1" customHeight="1">
      <c r="B752" s="68"/>
      <c r="C752" s="69"/>
      <c r="D752" s="77"/>
      <c r="E752" s="72"/>
      <c r="F752" s="70"/>
      <c r="G752" s="71"/>
      <c r="H752" s="77"/>
      <c r="I752" s="71"/>
      <c r="J752" s="392"/>
      <c r="K752" s="78"/>
      <c r="L752" s="71"/>
      <c r="M752" s="71"/>
      <c r="N752" s="80"/>
      <c r="O752" s="295"/>
      <c r="P752" s="75"/>
      <c r="Z752" s="16"/>
      <c r="AA752" s="16"/>
      <c r="AB752" s="16"/>
    </row>
    <row r="753" spans="2:29" ht="21.75" hidden="1" customHeight="1">
      <c r="B753" s="376"/>
      <c r="C753" s="377"/>
      <c r="D753" s="378"/>
      <c r="E753" s="379"/>
      <c r="F753" s="380"/>
      <c r="G753" s="342"/>
      <c r="H753" s="369"/>
      <c r="I753" s="342"/>
      <c r="J753" s="367"/>
      <c r="K753" s="343"/>
      <c r="L753" s="342"/>
      <c r="M753" s="71"/>
      <c r="N753" s="381"/>
      <c r="O753" s="74"/>
      <c r="P753" s="75"/>
      <c r="Z753" s="16"/>
      <c r="AA753" s="16"/>
      <c r="AB753" s="16"/>
    </row>
    <row r="754" spans="2:29" ht="21.75" hidden="1" customHeight="1">
      <c r="B754" s="68"/>
      <c r="C754" s="69"/>
      <c r="D754" s="77"/>
      <c r="E754" s="72"/>
      <c r="F754" s="70"/>
      <c r="G754" s="71"/>
      <c r="H754" s="77"/>
      <c r="I754" s="71"/>
      <c r="J754" s="343"/>
      <c r="K754" s="71"/>
      <c r="L754" s="71"/>
      <c r="M754" s="71"/>
      <c r="N754" s="80"/>
      <c r="O754" s="295"/>
      <c r="P754" s="75"/>
      <c r="Z754" s="16"/>
      <c r="AA754" s="16"/>
      <c r="AB754" s="16"/>
    </row>
    <row r="755" spans="2:29" ht="21.75" hidden="1" customHeight="1">
      <c r="B755" s="68"/>
      <c r="C755" s="69"/>
      <c r="D755" s="77"/>
      <c r="E755" s="72"/>
      <c r="F755" s="70"/>
      <c r="G755" s="71"/>
      <c r="H755" s="77"/>
      <c r="I755" s="71"/>
      <c r="J755" s="342"/>
      <c r="K755" s="71"/>
      <c r="L755" s="71"/>
      <c r="M755" s="71"/>
      <c r="N755" s="388"/>
      <c r="O755" s="295"/>
      <c r="P755" s="75"/>
      <c r="Z755" s="16"/>
      <c r="AA755" s="16"/>
      <c r="AB755" s="16"/>
    </row>
    <row r="756" spans="2:29" ht="21.75" hidden="1" customHeight="1">
      <c r="B756" s="68"/>
      <c r="C756" s="69"/>
      <c r="D756" s="77"/>
      <c r="E756" s="72"/>
      <c r="F756" s="70"/>
      <c r="G756" s="71"/>
      <c r="H756" s="77"/>
      <c r="I756" s="71"/>
      <c r="J756" s="343"/>
      <c r="K756" s="71"/>
      <c r="L756" s="71"/>
      <c r="M756" s="71"/>
      <c r="N756" s="80"/>
      <c r="O756" s="295"/>
      <c r="P756" s="75"/>
      <c r="Z756" s="16"/>
      <c r="AA756" s="16"/>
      <c r="AB756" s="16"/>
    </row>
    <row r="757" spans="2:29" ht="21.75" hidden="1" customHeight="1">
      <c r="B757" s="68"/>
      <c r="C757" s="69"/>
      <c r="D757" s="77"/>
      <c r="E757" s="72"/>
      <c r="F757" s="70"/>
      <c r="G757" s="71"/>
      <c r="H757" s="77"/>
      <c r="I757" s="71"/>
      <c r="J757" s="343"/>
      <c r="K757" s="71"/>
      <c r="L757" s="71"/>
      <c r="M757" s="71"/>
      <c r="N757" s="80"/>
      <c r="O757" s="295"/>
      <c r="P757" s="75"/>
      <c r="Z757" s="16"/>
      <c r="AA757" s="16"/>
      <c r="AB757" s="16"/>
    </row>
    <row r="758" spans="2:29" ht="21.75" hidden="1" customHeight="1">
      <c r="B758" s="68"/>
      <c r="C758" s="69"/>
      <c r="D758" s="77"/>
      <c r="E758" s="72"/>
      <c r="F758" s="70"/>
      <c r="G758" s="71"/>
      <c r="H758" s="77"/>
      <c r="I758" s="71"/>
      <c r="J758" s="343"/>
      <c r="K758" s="71"/>
      <c r="L758" s="71"/>
      <c r="M758" s="71"/>
      <c r="N758" s="80"/>
      <c r="O758" s="295"/>
      <c r="P758" s="75"/>
      <c r="Z758" s="16"/>
      <c r="AA758" s="16"/>
      <c r="AB758" s="16"/>
    </row>
    <row r="759" spans="2:29" ht="21.75" hidden="1" customHeight="1">
      <c r="B759" s="68"/>
      <c r="C759" s="69"/>
      <c r="D759" s="77"/>
      <c r="E759" s="72"/>
      <c r="F759" s="70"/>
      <c r="G759" s="71"/>
      <c r="H759" s="77"/>
      <c r="I759" s="71"/>
      <c r="J759" s="343"/>
      <c r="K759" s="71"/>
      <c r="L759" s="71"/>
      <c r="M759" s="71"/>
      <c r="N759" s="80"/>
      <c r="O759" s="295"/>
      <c r="P759" s="75"/>
      <c r="Z759" s="16"/>
      <c r="AA759" s="16"/>
      <c r="AB759" s="16"/>
    </row>
    <row r="760" spans="2:29" s="79" customFormat="1" ht="21.75" hidden="1" customHeight="1">
      <c r="B760" s="68"/>
      <c r="C760" s="69"/>
      <c r="D760" s="77"/>
      <c r="E760" s="72"/>
      <c r="F760" s="70"/>
      <c r="G760" s="71"/>
      <c r="H760" s="77"/>
      <c r="I760" s="71"/>
      <c r="J760" s="343"/>
      <c r="K760" s="71"/>
      <c r="L760" s="71"/>
      <c r="M760" s="71"/>
      <c r="N760" s="80"/>
      <c r="O760" s="295"/>
      <c r="P760" s="75"/>
      <c r="Y760" s="45"/>
      <c r="AC760" s="45"/>
    </row>
    <row r="761" spans="2:29" s="79" customFormat="1" ht="21.75" hidden="1" customHeight="1">
      <c r="B761" s="68"/>
      <c r="C761" s="69"/>
      <c r="D761" s="77"/>
      <c r="E761" s="72"/>
      <c r="F761" s="70"/>
      <c r="G761" s="71"/>
      <c r="H761" s="77"/>
      <c r="I761" s="71"/>
      <c r="J761" s="343"/>
      <c r="K761" s="71"/>
      <c r="L761" s="71"/>
      <c r="M761" s="71"/>
      <c r="N761" s="80"/>
      <c r="O761" s="295"/>
      <c r="P761" s="75"/>
      <c r="Y761" s="45"/>
      <c r="AC761" s="45"/>
    </row>
    <row r="762" spans="2:29" ht="21.75" hidden="1" customHeight="1">
      <c r="B762" s="68"/>
      <c r="C762" s="69"/>
      <c r="D762" s="77"/>
      <c r="E762" s="72"/>
      <c r="F762" s="70"/>
      <c r="G762" s="71"/>
      <c r="H762" s="77"/>
      <c r="I762" s="71"/>
      <c r="J762" s="343"/>
      <c r="K762" s="71"/>
      <c r="L762" s="71"/>
      <c r="M762" s="71"/>
      <c r="N762" s="80"/>
      <c r="O762" s="295"/>
      <c r="P762" s="75"/>
      <c r="Z762" s="16"/>
      <c r="AA762" s="16"/>
      <c r="AB762" s="16"/>
    </row>
    <row r="763" spans="2:29" ht="21.75" hidden="1" customHeight="1">
      <c r="B763" s="68"/>
      <c r="C763" s="69"/>
      <c r="D763" s="77"/>
      <c r="E763" s="72"/>
      <c r="F763" s="70"/>
      <c r="G763" s="71"/>
      <c r="H763" s="77"/>
      <c r="I763" s="71"/>
      <c r="J763" s="343"/>
      <c r="K763" s="71"/>
      <c r="L763" s="71"/>
      <c r="M763" s="71"/>
      <c r="N763" s="80"/>
      <c r="O763" s="295"/>
      <c r="P763" s="75"/>
      <c r="Z763" s="16"/>
      <c r="AA763" s="16"/>
      <c r="AB763" s="16"/>
    </row>
    <row r="764" spans="2:29" s="341" customFormat="1" ht="21.75" hidden="1" customHeight="1">
      <c r="B764" s="68"/>
      <c r="C764" s="69"/>
      <c r="D764" s="77"/>
      <c r="E764" s="72"/>
      <c r="F764" s="70"/>
      <c r="G764" s="71"/>
      <c r="H764" s="77"/>
      <c r="I764" s="71"/>
      <c r="J764" s="389"/>
      <c r="K764" s="71"/>
      <c r="L764" s="71"/>
      <c r="M764" s="71"/>
      <c r="N764" s="80"/>
      <c r="O764" s="295"/>
      <c r="P764" s="296"/>
      <c r="Q764"/>
      <c r="R764"/>
      <c r="S764"/>
      <c r="T764"/>
      <c r="U764"/>
      <c r="V764"/>
      <c r="W764"/>
      <c r="X764"/>
      <c r="Y764" s="45"/>
      <c r="AC764" s="45"/>
    </row>
    <row r="765" spans="2:29" s="341" customFormat="1" ht="21.75" hidden="1" customHeight="1">
      <c r="B765" s="68"/>
      <c r="C765" s="69"/>
      <c r="D765" s="77"/>
      <c r="E765" s="72"/>
      <c r="F765" s="70"/>
      <c r="G765" s="71"/>
      <c r="H765" s="77"/>
      <c r="I765" s="71"/>
      <c r="J765" s="485"/>
      <c r="K765" s="78"/>
      <c r="L765" s="342"/>
      <c r="M765" s="71"/>
      <c r="N765" s="80"/>
      <c r="O765" s="390"/>
      <c r="P765" s="296"/>
      <c r="Q765"/>
      <c r="R765"/>
      <c r="S765"/>
      <c r="T765"/>
      <c r="U765"/>
      <c r="V765"/>
      <c r="W765"/>
      <c r="X765"/>
      <c r="Y765" s="45"/>
      <c r="AC765" s="45"/>
    </row>
    <row r="766" spans="2:29" s="341" customFormat="1" ht="21.75" hidden="1" customHeight="1">
      <c r="B766" s="68"/>
      <c r="C766" s="69"/>
      <c r="D766" s="77"/>
      <c r="E766" s="72"/>
      <c r="F766" s="70"/>
      <c r="G766" s="71"/>
      <c r="H766" s="77"/>
      <c r="I766" s="71"/>
      <c r="J766" s="485"/>
      <c r="K766" s="78"/>
      <c r="L766" s="342"/>
      <c r="M766" s="71"/>
      <c r="N766" s="80"/>
      <c r="O766" s="390"/>
      <c r="P766" s="296"/>
      <c r="Q766"/>
      <c r="R766"/>
      <c r="S766"/>
      <c r="T766"/>
      <c r="U766"/>
      <c r="V766"/>
      <c r="W766"/>
      <c r="X766"/>
      <c r="Y766" s="45"/>
      <c r="AC766" s="45"/>
    </row>
    <row r="767" spans="2:29" s="341" customFormat="1" ht="21.75" hidden="1" customHeight="1">
      <c r="B767" s="68"/>
      <c r="C767" s="69"/>
      <c r="D767" s="77"/>
      <c r="E767" s="72"/>
      <c r="F767" s="70"/>
      <c r="G767" s="71"/>
      <c r="H767" s="77"/>
      <c r="I767" s="71"/>
      <c r="J767" s="485"/>
      <c r="K767" s="78"/>
      <c r="L767" s="342"/>
      <c r="M767" s="71"/>
      <c r="N767" s="80"/>
      <c r="O767" s="390"/>
      <c r="P767" s="296"/>
      <c r="Q767"/>
      <c r="R767"/>
      <c r="S767"/>
      <c r="T767"/>
      <c r="U767"/>
      <c r="V767"/>
      <c r="W767"/>
      <c r="X767"/>
      <c r="Y767" s="45"/>
      <c r="AC767" s="45"/>
    </row>
    <row r="768" spans="2:29" ht="21.75" hidden="1" customHeight="1">
      <c r="B768" s="376"/>
      <c r="C768" s="377"/>
      <c r="D768" s="378"/>
      <c r="E768" s="379"/>
      <c r="F768" s="380"/>
      <c r="G768" s="342"/>
      <c r="H768" s="378"/>
      <c r="I768" s="342"/>
      <c r="J768" s="112"/>
      <c r="K768" s="343"/>
      <c r="L768" s="342"/>
      <c r="M768" s="71"/>
      <c r="N768" s="381"/>
      <c r="O768" s="295"/>
      <c r="P768" s="75"/>
      <c r="Z768" s="16"/>
      <c r="AA768" s="16"/>
      <c r="AB768" s="16"/>
    </row>
    <row r="769" spans="2:30" ht="21.75" hidden="1" customHeight="1">
      <c r="B769" s="376"/>
      <c r="C769" s="377"/>
      <c r="D769" s="378"/>
      <c r="E769" s="379"/>
      <c r="F769" s="380"/>
      <c r="G769" s="342"/>
      <c r="H769" s="378"/>
      <c r="I769" s="342"/>
      <c r="J769" s="112"/>
      <c r="K769" s="343"/>
      <c r="L769" s="342"/>
      <c r="M769" s="71"/>
      <c r="N769" s="381"/>
      <c r="O769" s="295"/>
      <c r="P769" s="75"/>
      <c r="Z769" s="16"/>
      <c r="AA769" s="16"/>
      <c r="AB769" s="16"/>
    </row>
    <row r="770" spans="2:30" ht="21.75" hidden="1" customHeight="1">
      <c r="B770" s="376"/>
      <c r="C770" s="377"/>
      <c r="D770" s="378"/>
      <c r="E770" s="379"/>
      <c r="F770" s="380"/>
      <c r="G770" s="342"/>
      <c r="H770" s="378"/>
      <c r="I770" s="342"/>
      <c r="J770" s="112"/>
      <c r="K770" s="343"/>
      <c r="L770" s="342"/>
      <c r="M770" s="71"/>
      <c r="N770" s="381"/>
      <c r="O770" s="295"/>
      <c r="Z770" s="16"/>
      <c r="AA770" s="16"/>
      <c r="AB770" s="16"/>
    </row>
    <row r="771" spans="2:30" ht="21.75" hidden="1" customHeight="1">
      <c r="B771" s="376"/>
      <c r="C771" s="377"/>
      <c r="D771" s="378"/>
      <c r="E771" s="379"/>
      <c r="F771" s="380"/>
      <c r="G771" s="342"/>
      <c r="H771" s="378"/>
      <c r="I771" s="342"/>
      <c r="J771" s="112"/>
      <c r="K771" s="343"/>
      <c r="L771" s="342"/>
      <c r="M771" s="71"/>
      <c r="N771" s="381"/>
      <c r="O771" s="295"/>
      <c r="Z771" s="16"/>
      <c r="AA771" s="16"/>
      <c r="AB771" s="16"/>
    </row>
    <row r="772" spans="2:30" ht="21.75" hidden="1" customHeight="1">
      <c r="B772" s="376"/>
      <c r="C772" s="377"/>
      <c r="D772" s="378"/>
      <c r="E772" s="379"/>
      <c r="F772" s="380"/>
      <c r="G772" s="342"/>
      <c r="H772" s="378"/>
      <c r="I772" s="342"/>
      <c r="J772" s="112"/>
      <c r="K772" s="343"/>
      <c r="L772" s="342"/>
      <c r="M772" s="71"/>
      <c r="N772" s="381"/>
      <c r="O772" s="295"/>
      <c r="Z772" s="16"/>
      <c r="AA772" s="16"/>
      <c r="AB772" s="16"/>
    </row>
    <row r="773" spans="2:30" ht="21.75" hidden="1" customHeight="1">
      <c r="B773" s="68"/>
      <c r="C773" s="69"/>
      <c r="D773" s="77"/>
      <c r="E773" s="72"/>
      <c r="F773" s="70"/>
      <c r="G773" s="71"/>
      <c r="H773" s="77"/>
      <c r="I773" s="71"/>
      <c r="J773" s="389"/>
      <c r="K773" s="71"/>
      <c r="L773" s="71"/>
      <c r="M773" s="71"/>
      <c r="N773" s="80"/>
      <c r="O773" s="295"/>
      <c r="Z773" s="16"/>
      <c r="AA773" s="16"/>
      <c r="AB773" s="16"/>
    </row>
    <row r="774" spans="2:30" ht="21.75" hidden="1" customHeight="1">
      <c r="B774" s="68"/>
      <c r="C774" s="69"/>
      <c r="D774" s="77"/>
      <c r="E774" s="72"/>
      <c r="F774" s="70"/>
      <c r="G774" s="71"/>
      <c r="H774" s="77"/>
      <c r="I774" s="71"/>
      <c r="J774" s="389"/>
      <c r="K774" s="71"/>
      <c r="L774" s="71"/>
      <c r="M774" s="71"/>
      <c r="N774" s="80"/>
      <c r="O774" s="295"/>
      <c r="Z774" s="16"/>
      <c r="AA774" s="16"/>
      <c r="AB774" s="16"/>
    </row>
    <row r="775" spans="2:30" ht="21.75" hidden="1" customHeight="1">
      <c r="B775" s="68"/>
      <c r="C775" s="69"/>
      <c r="D775" s="77"/>
      <c r="E775" s="72"/>
      <c r="F775" s="70"/>
      <c r="G775" s="71"/>
      <c r="H775" s="72"/>
      <c r="I775" s="71"/>
      <c r="J775" s="343"/>
      <c r="K775" s="73"/>
      <c r="L775" s="71"/>
      <c r="M775" s="71"/>
      <c r="N775" s="80"/>
      <c r="O775" s="295"/>
      <c r="Z775" s="16"/>
      <c r="AA775" s="16"/>
      <c r="AB775" s="16"/>
    </row>
    <row r="776" spans="2:30" ht="21.75" hidden="1" customHeight="1">
      <c r="B776" s="68"/>
      <c r="C776" s="69"/>
      <c r="D776" s="77"/>
      <c r="E776" s="72"/>
      <c r="F776" s="70"/>
      <c r="G776" s="71"/>
      <c r="H776" s="77"/>
      <c r="I776" s="71"/>
      <c r="J776" s="389"/>
      <c r="K776" s="73"/>
      <c r="L776" s="71"/>
      <c r="M776" s="71"/>
      <c r="N776" s="80"/>
      <c r="O776" s="295"/>
      <c r="Z776" s="16"/>
      <c r="AA776" s="16"/>
      <c r="AB776" s="16"/>
    </row>
    <row r="777" spans="2:30" ht="21.75" hidden="1" customHeight="1">
      <c r="B777" s="68"/>
      <c r="C777" s="69"/>
      <c r="D777" s="77"/>
      <c r="E777" s="72"/>
      <c r="F777" s="70"/>
      <c r="G777" s="71"/>
      <c r="H777" s="77"/>
      <c r="I777" s="71"/>
      <c r="J777" s="389"/>
      <c r="K777" s="71"/>
      <c r="L777" s="71"/>
      <c r="M777" s="71"/>
      <c r="N777" s="80"/>
      <c r="O777" s="295"/>
      <c r="Z777" s="16"/>
      <c r="AA777" s="16"/>
      <c r="AB777" s="16"/>
    </row>
    <row r="778" spans="2:30" ht="21.75" hidden="1" customHeight="1">
      <c r="B778" s="68"/>
      <c r="C778" s="69"/>
      <c r="D778" s="77"/>
      <c r="E778" s="72"/>
      <c r="F778" s="70"/>
      <c r="G778" s="71"/>
      <c r="H778" s="72"/>
      <c r="I778" s="71"/>
      <c r="J778" s="389"/>
      <c r="K778" s="73"/>
      <c r="L778" s="71"/>
      <c r="M778" s="71"/>
      <c r="N778" s="80"/>
      <c r="O778" s="295"/>
      <c r="Z778" s="16"/>
      <c r="AA778" s="16"/>
      <c r="AB778" s="16"/>
    </row>
    <row r="779" spans="2:30" ht="21.75" hidden="1" customHeight="1">
      <c r="B779" s="68"/>
      <c r="C779" s="69"/>
      <c r="D779" s="77"/>
      <c r="E779" s="72"/>
      <c r="F779" s="70"/>
      <c r="G779" s="71"/>
      <c r="H779" s="72"/>
      <c r="I779" s="71"/>
      <c r="J779" s="389"/>
      <c r="K779" s="73"/>
      <c r="L779" s="71"/>
      <c r="M779" s="71"/>
      <c r="N779" s="80"/>
      <c r="O779" s="295"/>
      <c r="P779"/>
      <c r="Y779"/>
      <c r="Z779"/>
      <c r="AA779"/>
      <c r="AB779"/>
      <c r="AC779"/>
      <c r="AD779"/>
    </row>
    <row r="780" spans="2:30" s="341" customFormat="1" ht="21.75" hidden="1" customHeight="1">
      <c r="B780" s="68"/>
      <c r="C780" s="69"/>
      <c r="D780" s="77"/>
      <c r="E780" s="72"/>
      <c r="F780" s="70"/>
      <c r="G780" s="19"/>
      <c r="H780" s="369"/>
      <c r="I780" s="71"/>
      <c r="J780" s="389"/>
      <c r="K780" s="112"/>
      <c r="L780" s="71"/>
      <c r="M780" s="71"/>
      <c r="N780" s="80"/>
      <c r="O780" s="295"/>
      <c r="P780" s="296"/>
      <c r="Q780"/>
      <c r="R780"/>
      <c r="S780"/>
      <c r="T780"/>
      <c r="U780"/>
      <c r="V780"/>
      <c r="W780"/>
      <c r="X780"/>
      <c r="Y780" s="45"/>
      <c r="AC780" s="45"/>
    </row>
    <row r="781" spans="2:30" s="79" customFormat="1" ht="21.75" hidden="1" customHeight="1">
      <c r="B781" s="68"/>
      <c r="C781" s="69"/>
      <c r="D781" s="77"/>
      <c r="E781" s="72"/>
      <c r="F781" s="70"/>
      <c r="G781" s="71"/>
      <c r="H781" s="77"/>
      <c r="I781" s="71"/>
      <c r="J781" s="389"/>
      <c r="K781" s="71"/>
      <c r="L781" s="71"/>
      <c r="M781" s="71"/>
      <c r="N781" s="80"/>
      <c r="O781" s="295"/>
      <c r="P781" s="75"/>
      <c r="Y781" s="45"/>
      <c r="AC781" s="45"/>
    </row>
    <row r="782" spans="2:30" s="79" customFormat="1" ht="21.75" hidden="1" customHeight="1">
      <c r="B782" s="68"/>
      <c r="C782" s="69"/>
      <c r="D782" s="77"/>
      <c r="E782" s="72"/>
      <c r="F782" s="70"/>
      <c r="G782" s="19"/>
      <c r="H782" s="369"/>
      <c r="I782" s="71"/>
      <c r="J782" s="389"/>
      <c r="K782" s="112"/>
      <c r="L782" s="71"/>
      <c r="M782" s="71"/>
      <c r="N782" s="80"/>
      <c r="O782" s="295"/>
      <c r="P782" s="75"/>
      <c r="Y782" s="45"/>
      <c r="AC782" s="45"/>
    </row>
    <row r="783" spans="2:30" s="79" customFormat="1" ht="21.75" hidden="1" customHeight="1">
      <c r="B783" s="68"/>
      <c r="C783" s="69"/>
      <c r="D783" s="77"/>
      <c r="E783" s="72"/>
      <c r="F783" s="70"/>
      <c r="G783" s="71"/>
      <c r="H783" s="72"/>
      <c r="I783" s="71"/>
      <c r="J783" s="389"/>
      <c r="K783" s="73"/>
      <c r="L783" s="71"/>
      <c r="M783" s="71"/>
      <c r="N783" s="80"/>
      <c r="O783" s="295"/>
      <c r="P783" s="75"/>
      <c r="Y783" s="45"/>
      <c r="AC783" s="45"/>
    </row>
    <row r="784" spans="2:30" s="341" customFormat="1" ht="21.75" hidden="1" customHeight="1">
      <c r="B784" s="376"/>
      <c r="C784" s="377"/>
      <c r="D784" s="378"/>
      <c r="E784" s="379"/>
      <c r="F784" s="380"/>
      <c r="G784" s="342"/>
      <c r="H784" s="378"/>
      <c r="I784" s="342"/>
      <c r="J784" s="112"/>
      <c r="K784" s="343"/>
      <c r="L784" s="342"/>
      <c r="M784" s="342"/>
      <c r="N784" s="381"/>
      <c r="O784" s="295"/>
      <c r="P784" s="296"/>
      <c r="Q784"/>
      <c r="R784"/>
      <c r="S784"/>
      <c r="T784"/>
      <c r="U784"/>
      <c r="V784"/>
      <c r="W784"/>
      <c r="X784"/>
      <c r="Y784" s="45"/>
      <c r="AC784" s="45"/>
    </row>
    <row r="785" spans="2:29" ht="21.75" hidden="1" customHeight="1">
      <c r="B785" s="68"/>
      <c r="C785" s="69"/>
      <c r="D785" s="77"/>
      <c r="E785" s="72"/>
      <c r="F785" s="70"/>
      <c r="G785" s="71"/>
      <c r="H785" s="72"/>
      <c r="I785" s="71"/>
      <c r="J785" s="175"/>
      <c r="K785" s="73"/>
      <c r="L785" s="71"/>
      <c r="M785" s="71"/>
      <c r="N785" s="80"/>
      <c r="O785" s="295"/>
      <c r="P785" s="75"/>
      <c r="Z785" s="16"/>
      <c r="AA785" s="16"/>
      <c r="AB785" s="16"/>
    </row>
    <row r="786" spans="2:29" ht="21.75" hidden="1" customHeight="1">
      <c r="B786" s="68"/>
      <c r="C786" s="69"/>
      <c r="D786" s="77"/>
      <c r="E786" s="72"/>
      <c r="F786" s="70"/>
      <c r="G786" s="71"/>
      <c r="H786" s="77"/>
      <c r="I786" s="71"/>
      <c r="J786" s="366"/>
      <c r="K786" s="78"/>
      <c r="L786" s="71"/>
      <c r="M786" s="71"/>
      <c r="N786" s="80"/>
      <c r="O786" s="295"/>
      <c r="P786" s="75"/>
      <c r="Z786" s="16"/>
      <c r="AA786" s="16"/>
      <c r="AB786" s="16"/>
    </row>
    <row r="787" spans="2:29" ht="21.75" hidden="1" customHeight="1">
      <c r="B787" s="68"/>
      <c r="C787" s="69"/>
      <c r="D787" s="77"/>
      <c r="E787" s="72"/>
      <c r="F787" s="70"/>
      <c r="G787" s="71"/>
      <c r="H787" s="77"/>
      <c r="I787" s="71"/>
      <c r="J787" s="366"/>
      <c r="K787" s="78"/>
      <c r="L787" s="71"/>
      <c r="M787" s="71"/>
      <c r="N787" s="80"/>
      <c r="O787" s="295"/>
      <c r="P787" s="75"/>
      <c r="Z787" s="16"/>
      <c r="AA787" s="16"/>
      <c r="AB787" s="16"/>
    </row>
    <row r="788" spans="2:29" ht="21.75" hidden="1" customHeight="1">
      <c r="B788" s="68"/>
      <c r="C788" s="69"/>
      <c r="D788" s="77"/>
      <c r="E788" s="72"/>
      <c r="F788" s="70"/>
      <c r="G788" s="342"/>
      <c r="H788" s="378"/>
      <c r="I788" s="342"/>
      <c r="J788" s="393"/>
      <c r="K788" s="343"/>
      <c r="L788" s="342"/>
      <c r="M788" s="71"/>
      <c r="N788" s="80"/>
      <c r="O788" s="295"/>
      <c r="P788" s="75"/>
      <c r="Z788" s="16"/>
      <c r="AA788" s="16"/>
      <c r="AB788" s="16"/>
    </row>
    <row r="789" spans="2:29" ht="21.75" hidden="1" customHeight="1">
      <c r="B789" s="68"/>
      <c r="C789" s="69"/>
      <c r="D789" s="77"/>
      <c r="E789" s="72"/>
      <c r="F789" s="70"/>
      <c r="G789" s="71"/>
      <c r="H789" s="77"/>
      <c r="I789" s="71"/>
      <c r="J789" s="389"/>
      <c r="K789" s="71"/>
      <c r="L789" s="71"/>
      <c r="M789" s="71"/>
      <c r="N789" s="80"/>
      <c r="O789" s="295"/>
      <c r="P789" s="75"/>
      <c r="Z789" s="16"/>
      <c r="AA789" s="16"/>
      <c r="AB789" s="16"/>
    </row>
    <row r="790" spans="2:29" s="79" customFormat="1" ht="21.75" hidden="1" customHeight="1">
      <c r="B790" s="68"/>
      <c r="C790" s="69"/>
      <c r="D790" s="77"/>
      <c r="E790" s="72"/>
      <c r="F790" s="70"/>
      <c r="G790" s="19"/>
      <c r="H790" s="72"/>
      <c r="I790" s="71"/>
      <c r="J790" s="343"/>
      <c r="K790" s="112"/>
      <c r="L790" s="71"/>
      <c r="M790" s="71"/>
      <c r="N790" s="80"/>
      <c r="O790" s="295"/>
      <c r="P790" s="75"/>
      <c r="Y790" s="45"/>
      <c r="AC790" s="45"/>
    </row>
    <row r="791" spans="2:29" ht="21.75" hidden="1" customHeight="1">
      <c r="B791" s="68"/>
      <c r="C791" s="69"/>
      <c r="D791" s="77"/>
      <c r="E791" s="72"/>
      <c r="F791" s="70"/>
      <c r="G791" s="71"/>
      <c r="H791" s="77"/>
      <c r="I791" s="71"/>
      <c r="J791" s="112"/>
      <c r="K791" s="71"/>
      <c r="L791" s="71"/>
      <c r="M791" s="71"/>
      <c r="N791" s="80"/>
      <c r="O791" s="295"/>
      <c r="P791" s="75"/>
      <c r="Z791" s="16"/>
      <c r="AA791" s="16"/>
      <c r="AB791" s="16"/>
    </row>
    <row r="792" spans="2:29" ht="21.75" hidden="1" customHeight="1">
      <c r="B792" s="68"/>
      <c r="C792" s="69"/>
      <c r="D792" s="77"/>
      <c r="E792" s="72"/>
      <c r="F792" s="70"/>
      <c r="G792" s="71"/>
      <c r="H792" s="77"/>
      <c r="I792" s="71"/>
      <c r="J792" s="392"/>
      <c r="K792" s="73"/>
      <c r="L792" s="71"/>
      <c r="M792" s="71"/>
      <c r="N792" s="80"/>
      <c r="O792" s="295"/>
      <c r="P792" s="75"/>
      <c r="Z792" s="16"/>
      <c r="AA792" s="16"/>
      <c r="AB792" s="16"/>
    </row>
    <row r="793" spans="2:29" ht="21.75" hidden="1" customHeight="1">
      <c r="B793" s="376"/>
      <c r="C793" s="377"/>
      <c r="D793" s="378"/>
      <c r="E793" s="379"/>
      <c r="F793" s="380"/>
      <c r="G793" s="342"/>
      <c r="H793" s="378"/>
      <c r="I793" s="342"/>
      <c r="J793" s="342"/>
      <c r="K793" s="342"/>
      <c r="L793" s="342"/>
      <c r="M793" s="342"/>
      <c r="N793" s="381"/>
      <c r="O793" s="295"/>
      <c r="P793" s="75"/>
      <c r="Z793" s="16"/>
      <c r="AA793" s="16"/>
      <c r="AB793" s="16"/>
    </row>
    <row r="794" spans="2:29" ht="21.75" hidden="1" customHeight="1">
      <c r="B794" s="376"/>
      <c r="C794" s="377"/>
      <c r="D794" s="378"/>
      <c r="E794" s="379"/>
      <c r="F794" s="380"/>
      <c r="G794" s="342"/>
      <c r="H794" s="378"/>
      <c r="I794" s="342"/>
      <c r="J794" s="112"/>
      <c r="K794" s="343"/>
      <c r="L794" s="342"/>
      <c r="M794" s="342"/>
      <c r="N794" s="381"/>
      <c r="O794" s="295"/>
      <c r="P794" s="75"/>
      <c r="Z794" s="16"/>
      <c r="AA794" s="16"/>
      <c r="AB794" s="16"/>
    </row>
    <row r="795" spans="2:29" ht="21.75" hidden="1" customHeight="1">
      <c r="B795" s="68"/>
      <c r="C795" s="69"/>
      <c r="D795" s="77"/>
      <c r="E795" s="72"/>
      <c r="F795" s="70"/>
      <c r="G795" s="71"/>
      <c r="H795" s="72"/>
      <c r="I795" s="71"/>
      <c r="J795" s="367"/>
      <c r="K795" s="73"/>
      <c r="L795" s="71"/>
      <c r="M795" s="71"/>
      <c r="N795" s="80"/>
      <c r="O795" s="295"/>
      <c r="P795" s="75"/>
      <c r="Z795" s="16"/>
      <c r="AA795" s="16"/>
      <c r="AB795" s="16"/>
    </row>
    <row r="796" spans="2:29" ht="21.75" hidden="1" customHeight="1">
      <c r="B796" s="376"/>
      <c r="C796" s="377"/>
      <c r="D796" s="378"/>
      <c r="E796" s="379"/>
      <c r="F796" s="380"/>
      <c r="G796" s="342"/>
      <c r="H796" s="378"/>
      <c r="I796" s="342"/>
      <c r="J796" s="112"/>
      <c r="K796" s="343"/>
      <c r="L796" s="342"/>
      <c r="M796" s="342"/>
      <c r="N796" s="381"/>
      <c r="O796" s="295"/>
      <c r="P796" s="75"/>
      <c r="Z796" s="16"/>
      <c r="AA796" s="16"/>
      <c r="AB796" s="16"/>
    </row>
    <row r="797" spans="2:29" ht="21.75" hidden="1" customHeight="1">
      <c r="B797" s="376"/>
      <c r="C797" s="377"/>
      <c r="D797" s="378"/>
      <c r="E797" s="379"/>
      <c r="F797" s="380"/>
      <c r="G797" s="342"/>
      <c r="H797" s="378"/>
      <c r="I797" s="342"/>
      <c r="J797" s="112"/>
      <c r="K797" s="343"/>
      <c r="L797" s="342"/>
      <c r="M797" s="342"/>
      <c r="N797" s="381"/>
      <c r="O797" s="295"/>
      <c r="P797" s="75"/>
      <c r="Z797" s="16"/>
      <c r="AA797" s="16"/>
      <c r="AB797" s="16"/>
    </row>
    <row r="798" spans="2:29" ht="21.75" hidden="1" customHeight="1">
      <c r="B798" s="376"/>
      <c r="C798" s="377"/>
      <c r="D798" s="378"/>
      <c r="E798" s="379"/>
      <c r="F798" s="380"/>
      <c r="G798" s="342"/>
      <c r="H798" s="378"/>
      <c r="I798" s="342"/>
      <c r="J798" s="112"/>
      <c r="K798" s="343"/>
      <c r="L798" s="342"/>
      <c r="M798" s="342"/>
      <c r="N798" s="381"/>
      <c r="O798" s="295"/>
      <c r="P798" s="75"/>
      <c r="Z798" s="16"/>
      <c r="AA798" s="16"/>
      <c r="AB798" s="16"/>
    </row>
    <row r="799" spans="2:29" ht="21.75" hidden="1" customHeight="1">
      <c r="B799" s="376"/>
      <c r="C799" s="377"/>
      <c r="D799" s="378"/>
      <c r="E799" s="379"/>
      <c r="F799" s="380"/>
      <c r="G799" s="342"/>
      <c r="H799" s="378"/>
      <c r="I799" s="342"/>
      <c r="J799" s="112"/>
      <c r="K799" s="343"/>
      <c r="L799" s="342"/>
      <c r="M799" s="342"/>
      <c r="N799" s="381"/>
      <c r="O799" s="295"/>
      <c r="P799" s="75"/>
      <c r="Z799" s="16"/>
      <c r="AA799" s="16"/>
      <c r="AB799" s="16"/>
    </row>
    <row r="800" spans="2:29" ht="21.75" hidden="1" customHeight="1">
      <c r="B800" s="68"/>
      <c r="C800" s="69"/>
      <c r="D800" s="77"/>
      <c r="E800" s="72"/>
      <c r="F800" s="70"/>
      <c r="G800" s="71"/>
      <c r="H800" s="72"/>
      <c r="I800" s="71"/>
      <c r="J800" s="389"/>
      <c r="K800" s="71"/>
      <c r="L800" s="71"/>
      <c r="M800" s="71"/>
      <c r="N800" s="80"/>
      <c r="O800" s="295"/>
      <c r="P800" s="75"/>
      <c r="Z800" s="16"/>
      <c r="AA800" s="16"/>
      <c r="AB800" s="16"/>
    </row>
    <row r="801" spans="2:29" ht="21.75" hidden="1" customHeight="1">
      <c r="B801" s="68"/>
      <c r="C801" s="69"/>
      <c r="D801" s="77"/>
      <c r="E801" s="72"/>
      <c r="F801" s="70"/>
      <c r="G801" s="71"/>
      <c r="H801" s="77"/>
      <c r="I801" s="71"/>
      <c r="J801" s="389"/>
      <c r="K801" s="71"/>
      <c r="L801" s="71"/>
      <c r="M801" s="71"/>
      <c r="N801" s="80"/>
      <c r="O801" s="295"/>
      <c r="P801" s="75"/>
      <c r="Z801" s="16"/>
      <c r="AA801" s="16"/>
      <c r="AB801" s="16"/>
    </row>
    <row r="802" spans="2:29" s="79" customFormat="1" ht="21.75" hidden="1" customHeight="1">
      <c r="B802" s="376"/>
      <c r="C802" s="69"/>
      <c r="D802" s="378"/>
      <c r="E802" s="379"/>
      <c r="F802" s="380"/>
      <c r="G802" s="342"/>
      <c r="H802" s="378"/>
      <c r="I802" s="342"/>
      <c r="J802" s="391"/>
      <c r="K802" s="343"/>
      <c r="L802" s="342"/>
      <c r="M802" s="342"/>
      <c r="N802" s="80"/>
      <c r="O802" s="295"/>
      <c r="P802" s="75"/>
      <c r="Y802" s="45"/>
      <c r="AC802" s="45"/>
    </row>
    <row r="803" spans="2:29" s="79" customFormat="1" ht="21.75" hidden="1" customHeight="1">
      <c r="B803" s="68"/>
      <c r="C803" s="69"/>
      <c r="D803" s="77"/>
      <c r="E803" s="72"/>
      <c r="F803" s="70"/>
      <c r="G803" s="71"/>
      <c r="H803" s="77"/>
      <c r="I803" s="71"/>
      <c r="J803" s="392"/>
      <c r="K803" s="78"/>
      <c r="L803" s="71"/>
      <c r="M803" s="71"/>
      <c r="N803" s="80"/>
      <c r="O803" s="295"/>
      <c r="P803" s="75"/>
      <c r="Y803" s="45"/>
      <c r="AC803" s="45"/>
    </row>
    <row r="804" spans="2:29" s="79" customFormat="1" ht="21.75" hidden="1" customHeight="1">
      <c r="B804" s="68"/>
      <c r="C804" s="69"/>
      <c r="D804" s="77"/>
      <c r="E804" s="72"/>
      <c r="F804" s="70"/>
      <c r="G804" s="71"/>
      <c r="H804" s="72"/>
      <c r="I804" s="71"/>
      <c r="J804" s="112"/>
      <c r="K804" s="73"/>
      <c r="L804" s="71"/>
      <c r="M804" s="71"/>
      <c r="N804" s="80"/>
      <c r="O804" s="295"/>
      <c r="P804" s="75"/>
      <c r="Y804" s="45"/>
      <c r="AC804" s="45"/>
    </row>
    <row r="805" spans="2:29" s="79" customFormat="1" ht="21.75" hidden="1" customHeight="1">
      <c r="B805" s="68"/>
      <c r="C805" s="69"/>
      <c r="D805" s="77"/>
      <c r="E805" s="72"/>
      <c r="F805" s="70"/>
      <c r="G805" s="71"/>
      <c r="H805" s="72"/>
      <c r="I805" s="71"/>
      <c r="J805" s="112"/>
      <c r="K805" s="73"/>
      <c r="L805" s="71"/>
      <c r="M805" s="71"/>
      <c r="N805" s="80"/>
      <c r="O805" s="295"/>
      <c r="P805" s="75"/>
      <c r="Y805" s="45"/>
      <c r="AC805" s="45"/>
    </row>
    <row r="806" spans="2:29" s="79" customFormat="1" ht="21.75" hidden="1" customHeight="1">
      <c r="B806" s="68"/>
      <c r="C806" s="69"/>
      <c r="D806" s="77"/>
      <c r="E806" s="72"/>
      <c r="F806" s="70"/>
      <c r="G806" s="71"/>
      <c r="H806" s="72"/>
      <c r="I806" s="71"/>
      <c r="J806" s="112"/>
      <c r="K806" s="73"/>
      <c r="L806" s="71"/>
      <c r="M806" s="71"/>
      <c r="N806" s="80"/>
      <c r="O806" s="295"/>
      <c r="P806" s="75"/>
      <c r="Y806" s="45"/>
      <c r="AC806" s="45"/>
    </row>
    <row r="807" spans="2:29" s="79" customFormat="1" ht="21.75" hidden="1" customHeight="1">
      <c r="B807" s="376"/>
      <c r="C807" s="377"/>
      <c r="D807" s="378"/>
      <c r="E807" s="379"/>
      <c r="F807" s="380"/>
      <c r="G807" s="342"/>
      <c r="H807" s="378"/>
      <c r="I807" s="342"/>
      <c r="J807" s="112"/>
      <c r="K807" s="343"/>
      <c r="L807" s="342"/>
      <c r="M807" s="71"/>
      <c r="N807" s="381"/>
      <c r="O807" s="295"/>
      <c r="P807" s="75"/>
      <c r="Y807" s="45"/>
      <c r="AC807" s="45"/>
    </row>
    <row r="808" spans="2:29" s="79" customFormat="1" ht="21.75" hidden="1" customHeight="1">
      <c r="B808" s="376"/>
      <c r="C808" s="377"/>
      <c r="D808" s="378"/>
      <c r="E808" s="379"/>
      <c r="F808" s="380"/>
      <c r="G808" s="342"/>
      <c r="H808" s="378"/>
      <c r="I808" s="342"/>
      <c r="J808" s="112"/>
      <c r="K808" s="343"/>
      <c r="L808" s="342"/>
      <c r="M808" s="71"/>
      <c r="N808" s="381"/>
      <c r="O808" s="295"/>
      <c r="P808" s="75"/>
      <c r="Y808" s="45"/>
      <c r="AC808" s="45"/>
    </row>
    <row r="809" spans="2:29" s="79" customFormat="1" ht="21.75" hidden="1" customHeight="1">
      <c r="B809" s="376"/>
      <c r="C809" s="377"/>
      <c r="D809" s="378"/>
      <c r="E809" s="379"/>
      <c r="F809" s="380"/>
      <c r="G809" s="342"/>
      <c r="H809" s="378"/>
      <c r="I809" s="342"/>
      <c r="J809" s="112"/>
      <c r="K809" s="343"/>
      <c r="L809" s="342"/>
      <c r="M809" s="71"/>
      <c r="N809" s="381"/>
      <c r="O809" s="295"/>
      <c r="P809" s="75"/>
      <c r="Y809" s="45"/>
      <c r="AC809" s="45"/>
    </row>
    <row r="810" spans="2:29" ht="21" customHeight="1">
      <c r="B810" s="68"/>
      <c r="C810" s="69"/>
      <c r="D810" s="77"/>
      <c r="E810" s="72"/>
      <c r="F810" s="70"/>
      <c r="G810" s="19"/>
      <c r="H810" s="369"/>
      <c r="I810" s="71"/>
      <c r="J810" s="112"/>
      <c r="K810" s="112"/>
      <c r="L810" s="71"/>
      <c r="M810" s="71"/>
      <c r="N810" s="80"/>
      <c r="O810" s="74"/>
      <c r="P810" s="75"/>
      <c r="Z810" s="16"/>
      <c r="AA810" s="16"/>
      <c r="AB810" s="16"/>
    </row>
    <row r="811" spans="2:29" ht="21" customHeight="1">
      <c r="B811" s="68"/>
      <c r="C811" s="69"/>
      <c r="D811" s="77"/>
      <c r="E811" s="72"/>
      <c r="F811" s="70"/>
      <c r="G811" s="19"/>
      <c r="H811" s="77"/>
      <c r="I811" s="71"/>
      <c r="J811" s="112"/>
      <c r="K811" s="71"/>
      <c r="L811" s="71"/>
      <c r="M811" s="71"/>
      <c r="N811" s="80"/>
      <c r="O811" s="74"/>
      <c r="P811" s="75"/>
      <c r="Z811" s="16"/>
      <c r="AA811" s="16"/>
      <c r="AB811" s="16"/>
    </row>
    <row r="812" spans="2:29" ht="21.75" customHeight="1">
      <c r="B812" s="68"/>
      <c r="C812" s="69"/>
      <c r="D812" s="77"/>
      <c r="E812" s="72"/>
      <c r="F812" s="70"/>
      <c r="G812" s="71"/>
      <c r="H812" s="77"/>
      <c r="I812" s="71"/>
      <c r="J812" s="78"/>
      <c r="K812" s="73"/>
      <c r="L812" s="71"/>
      <c r="M812" s="71"/>
      <c r="N812" s="80"/>
      <c r="O812" s="74"/>
      <c r="P812" s="75"/>
      <c r="Z812" s="16"/>
      <c r="AA812" s="16"/>
      <c r="AB812" s="16"/>
    </row>
    <row r="813" spans="2:29" ht="21.75" customHeight="1">
      <c r="B813" s="68"/>
      <c r="C813" s="69"/>
      <c r="D813" s="77"/>
      <c r="E813" s="72"/>
      <c r="F813" s="70"/>
      <c r="G813" s="71"/>
      <c r="H813" s="77"/>
      <c r="I813" s="71"/>
      <c r="J813" s="112"/>
      <c r="K813" s="78"/>
      <c r="L813" s="71"/>
      <c r="M813" s="71"/>
      <c r="N813" s="373"/>
      <c r="O813" s="74"/>
      <c r="P813" s="75"/>
      <c r="Z813" s="16"/>
      <c r="AA813" s="16"/>
      <c r="AB813" s="16"/>
    </row>
    <row r="814" spans="2:29" ht="21.75" customHeight="1">
      <c r="B814" s="68"/>
      <c r="C814" s="69"/>
      <c r="D814" s="77"/>
      <c r="E814" s="72"/>
      <c r="F814" s="70"/>
      <c r="G814" s="19"/>
      <c r="H814" s="77"/>
      <c r="I814" s="71"/>
      <c r="J814" s="112"/>
      <c r="K814" s="71"/>
      <c r="L814" s="71"/>
      <c r="M814" s="71"/>
      <c r="N814" s="80"/>
      <c r="O814" s="74"/>
      <c r="P814" s="75"/>
      <c r="Z814" s="16"/>
      <c r="AA814" s="16"/>
      <c r="AB814" s="16"/>
    </row>
    <row r="815" spans="2:29" ht="21.75" customHeight="1">
      <c r="B815" s="68"/>
      <c r="C815" s="69"/>
      <c r="D815" s="77"/>
      <c r="E815" s="72"/>
      <c r="F815" s="70"/>
      <c r="G815" s="71"/>
      <c r="H815" s="77"/>
      <c r="I815" s="71"/>
      <c r="J815" s="78"/>
      <c r="K815" s="73"/>
      <c r="L815" s="71"/>
      <c r="M815" s="71"/>
      <c r="N815" s="80"/>
      <c r="O815" s="74"/>
      <c r="P815" s="75"/>
      <c r="Z815" s="16"/>
      <c r="AA815" s="16"/>
      <c r="AB815" s="16"/>
    </row>
    <row r="816" spans="2:29" ht="21.75" customHeight="1">
      <c r="B816" s="68"/>
      <c r="C816" s="69"/>
      <c r="D816" s="77"/>
      <c r="E816" s="72"/>
      <c r="F816" s="70"/>
      <c r="G816" s="71"/>
      <c r="H816" s="77"/>
      <c r="I816" s="71"/>
      <c r="J816" s="112"/>
      <c r="K816" s="78"/>
      <c r="L816" s="71"/>
      <c r="M816" s="71"/>
      <c r="N816" s="373"/>
      <c r="O816" s="74"/>
      <c r="P816" s="75"/>
      <c r="Z816" s="16"/>
      <c r="AA816" s="16"/>
      <c r="AB816" s="16"/>
    </row>
    <row r="817" spans="2:28" ht="21.75" customHeight="1">
      <c r="B817" s="68"/>
      <c r="C817" s="69"/>
      <c r="D817" s="77"/>
      <c r="E817" s="72"/>
      <c r="F817" s="70"/>
      <c r="G817" s="71"/>
      <c r="H817" s="369"/>
      <c r="I817" s="71"/>
      <c r="J817" s="78"/>
      <c r="K817" s="71"/>
      <c r="L817" s="71"/>
      <c r="M817" s="71"/>
      <c r="N817" s="80"/>
      <c r="O817" s="74"/>
      <c r="P817" s="75"/>
      <c r="Z817" s="16"/>
      <c r="AA817" s="16"/>
      <c r="AB817" s="16"/>
    </row>
    <row r="818" spans="2:28" ht="21.75" customHeight="1">
      <c r="B818" s="68"/>
      <c r="C818" s="69"/>
      <c r="D818" s="77"/>
      <c r="E818" s="72"/>
      <c r="F818" s="70"/>
      <c r="G818" s="71"/>
      <c r="H818" s="77"/>
      <c r="I818" s="71"/>
      <c r="J818" s="372"/>
      <c r="K818" s="78"/>
      <c r="L818" s="71"/>
      <c r="M818" s="71"/>
      <c r="N818" s="373"/>
      <c r="O818" s="74"/>
      <c r="P818" s="75"/>
      <c r="Z818" s="16"/>
      <c r="AA818" s="16"/>
      <c r="AB818" s="16"/>
    </row>
    <row r="819" spans="2:28" ht="21.75" customHeight="1">
      <c r="B819" s="68"/>
      <c r="C819" s="69"/>
      <c r="D819" s="77"/>
      <c r="E819" s="72"/>
      <c r="F819" s="70"/>
      <c r="G819" s="71"/>
      <c r="H819" s="72"/>
      <c r="I819" s="71"/>
      <c r="J819" s="78"/>
      <c r="K819" s="73"/>
      <c r="L819" s="71"/>
      <c r="M819" s="71"/>
      <c r="N819" s="80"/>
      <c r="O819" s="74"/>
      <c r="P819" s="75"/>
      <c r="Z819" s="16"/>
      <c r="AA819" s="16"/>
      <c r="AB819" s="16"/>
    </row>
    <row r="820" spans="2:28" ht="21.75" customHeight="1">
      <c r="B820" s="68"/>
      <c r="C820" s="69"/>
      <c r="D820" s="77"/>
      <c r="E820" s="72"/>
      <c r="F820" s="70"/>
      <c r="G820" s="71"/>
      <c r="H820" s="77"/>
      <c r="I820" s="71"/>
      <c r="J820" s="372"/>
      <c r="K820" s="78"/>
      <c r="L820" s="71"/>
      <c r="M820" s="71"/>
      <c r="N820" s="80"/>
      <c r="O820" s="74"/>
      <c r="P820" s="75"/>
      <c r="Z820" s="16"/>
      <c r="AA820" s="16"/>
      <c r="AB820" s="16"/>
    </row>
    <row r="821" spans="2:28" ht="21.75" customHeight="1">
      <c r="B821" s="68"/>
      <c r="C821" s="69"/>
      <c r="D821" s="77"/>
      <c r="E821" s="72"/>
      <c r="F821" s="70"/>
      <c r="G821" s="19"/>
      <c r="H821" s="77"/>
      <c r="I821" s="71"/>
      <c r="J821" s="112"/>
      <c r="K821" s="71"/>
      <c r="L821" s="71"/>
      <c r="M821" s="71"/>
      <c r="N821" s="80"/>
      <c r="O821" s="74"/>
      <c r="P821" s="75"/>
      <c r="Z821" s="16"/>
      <c r="AA821" s="16"/>
      <c r="AB821" s="16"/>
    </row>
    <row r="822" spans="2:28" ht="21.75" customHeight="1">
      <c r="B822" s="68"/>
      <c r="C822" s="69"/>
      <c r="D822" s="77"/>
      <c r="E822" s="72"/>
      <c r="F822" s="70"/>
      <c r="G822" s="71"/>
      <c r="H822" s="369"/>
      <c r="I822" s="71"/>
      <c r="J822" s="78"/>
      <c r="K822" s="71"/>
      <c r="L822" s="71"/>
      <c r="M822" s="71"/>
      <c r="N822" s="80"/>
      <c r="O822" s="74"/>
      <c r="P822" s="75"/>
      <c r="Z822" s="16"/>
      <c r="AA822" s="16"/>
      <c r="AB822" s="16"/>
    </row>
    <row r="823" spans="2:28" ht="21.75" customHeight="1">
      <c r="B823" s="68"/>
      <c r="C823" s="69"/>
      <c r="D823" s="77"/>
      <c r="E823" s="72"/>
      <c r="F823" s="70"/>
      <c r="G823" s="71"/>
      <c r="H823" s="72"/>
      <c r="I823" s="71"/>
      <c r="J823" s="176"/>
      <c r="K823" s="73"/>
      <c r="L823" s="71"/>
      <c r="M823" s="71"/>
      <c r="N823" s="80"/>
      <c r="O823" s="74"/>
      <c r="P823" s="75"/>
      <c r="Z823" s="16"/>
      <c r="AA823" s="16"/>
      <c r="AB823" s="16"/>
    </row>
    <row r="824" spans="2:28" ht="21.75" customHeight="1">
      <c r="B824" s="68"/>
      <c r="C824" s="69"/>
      <c r="D824" s="77"/>
      <c r="E824" s="72"/>
      <c r="F824" s="70"/>
      <c r="G824" s="71"/>
      <c r="H824" s="72"/>
      <c r="I824" s="71"/>
      <c r="J824" s="78"/>
      <c r="K824" s="73"/>
      <c r="L824" s="71"/>
      <c r="M824" s="71"/>
      <c r="N824" s="80"/>
      <c r="O824" s="74"/>
      <c r="P824" s="75"/>
      <c r="Z824" s="16"/>
      <c r="AA824" s="16"/>
      <c r="AB824" s="16"/>
    </row>
    <row r="825" spans="2:28" ht="21.75" customHeight="1">
      <c r="B825" s="68"/>
      <c r="C825" s="69"/>
      <c r="D825" s="77"/>
      <c r="E825" s="72"/>
      <c r="F825" s="70"/>
      <c r="G825" s="71"/>
      <c r="H825" s="77"/>
      <c r="I825" s="71"/>
      <c r="J825" s="78"/>
      <c r="K825" s="73"/>
      <c r="L825" s="71"/>
      <c r="M825" s="71"/>
      <c r="N825" s="80"/>
      <c r="O825" s="74"/>
      <c r="P825" s="75"/>
      <c r="Z825" s="16"/>
      <c r="AA825" s="16"/>
      <c r="AB825" s="16"/>
    </row>
    <row r="826" spans="2:28" ht="21.75" customHeight="1">
      <c r="B826" s="68"/>
      <c r="C826" s="69"/>
      <c r="D826" s="77"/>
      <c r="E826" s="72"/>
      <c r="F826" s="70"/>
      <c r="G826" s="71"/>
      <c r="H826" s="77"/>
      <c r="I826" s="71"/>
      <c r="J826" s="78"/>
      <c r="K826" s="71"/>
      <c r="L826" s="71"/>
      <c r="M826" s="71"/>
      <c r="N826" s="80"/>
      <c r="O826" s="74"/>
      <c r="P826" s="75"/>
      <c r="Z826" s="16"/>
      <c r="AA826" s="16"/>
      <c r="AB826" s="16"/>
    </row>
    <row r="827" spans="2:28" ht="21.75" customHeight="1">
      <c r="B827" s="68"/>
      <c r="C827" s="69"/>
      <c r="D827" s="77"/>
      <c r="E827" s="72"/>
      <c r="F827" s="70"/>
      <c r="G827" s="71"/>
      <c r="H827" s="72"/>
      <c r="I827" s="71"/>
      <c r="J827" s="106"/>
      <c r="K827" s="73"/>
      <c r="L827" s="71"/>
      <c r="M827" s="71"/>
      <c r="N827" s="80"/>
      <c r="O827" s="74"/>
      <c r="P827" s="75"/>
      <c r="Z827" s="16"/>
      <c r="AA827" s="16"/>
      <c r="AB827" s="16"/>
    </row>
    <row r="828" spans="2:28" ht="21.75" customHeight="1">
      <c r="B828" s="68"/>
      <c r="C828" s="69"/>
      <c r="D828" s="77"/>
      <c r="E828" s="72"/>
      <c r="F828" s="70"/>
      <c r="G828" s="19"/>
      <c r="H828" s="77"/>
      <c r="I828" s="71"/>
      <c r="J828" s="112"/>
      <c r="K828" s="73"/>
      <c r="L828" s="71"/>
      <c r="M828" s="71"/>
      <c r="N828" s="80"/>
      <c r="O828" s="74"/>
      <c r="P828" s="75"/>
      <c r="Z828" s="16"/>
      <c r="AA828" s="16"/>
      <c r="AB828" s="16"/>
    </row>
    <row r="829" spans="2:28" ht="21.75" customHeight="1">
      <c r="B829" s="68"/>
      <c r="C829" s="69"/>
      <c r="D829" s="77"/>
      <c r="E829" s="72"/>
      <c r="F829" s="70"/>
      <c r="G829" s="71"/>
      <c r="H829" s="72"/>
      <c r="I829" s="71"/>
      <c r="J829" s="78"/>
      <c r="K829" s="73"/>
      <c r="L829" s="71"/>
      <c r="M829" s="71"/>
      <c r="N829" s="80"/>
      <c r="O829" s="74"/>
      <c r="P829" s="75"/>
      <c r="Z829" s="16"/>
      <c r="AA829" s="16"/>
      <c r="AB829" s="16"/>
    </row>
    <row r="830" spans="2:28" ht="21.75" customHeight="1">
      <c r="B830" s="68"/>
      <c r="C830" s="69"/>
      <c r="D830" s="77"/>
      <c r="E830" s="72"/>
      <c r="F830" s="70"/>
      <c r="G830" s="19"/>
      <c r="H830" s="77"/>
      <c r="I830" s="71"/>
      <c r="J830" s="112"/>
      <c r="K830" s="71"/>
      <c r="L830" s="71"/>
      <c r="M830" s="71"/>
      <c r="N830" s="80"/>
      <c r="O830" s="74"/>
      <c r="P830" s="75"/>
      <c r="S830" s="16"/>
      <c r="Z830" s="16"/>
      <c r="AA830" s="16"/>
      <c r="AB830" s="16"/>
    </row>
    <row r="831" spans="2:28" ht="21.75" customHeight="1">
      <c r="B831" s="68"/>
      <c r="C831" s="69"/>
      <c r="D831" s="77"/>
      <c r="E831" s="72"/>
      <c r="F831" s="70"/>
      <c r="G831" s="71"/>
      <c r="H831" s="77"/>
      <c r="I831" s="71"/>
      <c r="J831" s="78"/>
      <c r="K831" s="71"/>
      <c r="L831" s="71"/>
      <c r="M831" s="71"/>
      <c r="N831" s="80"/>
      <c r="O831" s="74"/>
      <c r="P831" s="75"/>
      <c r="S831" s="16"/>
      <c r="Z831" s="16"/>
      <c r="AA831" s="16"/>
      <c r="AB831" s="16"/>
    </row>
    <row r="832" spans="2:28" ht="21.75" customHeight="1">
      <c r="B832" s="68"/>
      <c r="C832" s="69"/>
      <c r="D832" s="77"/>
      <c r="E832" s="72"/>
      <c r="F832" s="70"/>
      <c r="G832" s="19"/>
      <c r="H832" s="77"/>
      <c r="I832" s="71"/>
      <c r="J832" s="112"/>
      <c r="K832" s="73"/>
      <c r="L832" s="71"/>
      <c r="M832" s="71"/>
      <c r="N832" s="80"/>
      <c r="O832" s="74"/>
      <c r="P832" s="75"/>
      <c r="Z832" s="16"/>
      <c r="AA832" s="16"/>
      <c r="AB832" s="16"/>
    </row>
    <row r="833" spans="2:28" ht="21.75" customHeight="1">
      <c r="B833" s="68"/>
      <c r="C833" s="69"/>
      <c r="D833" s="77"/>
      <c r="E833" s="72"/>
      <c r="F833" s="70"/>
      <c r="G833" s="71"/>
      <c r="H833" s="77"/>
      <c r="I833" s="71"/>
      <c r="J833" s="112"/>
      <c r="K833" s="78"/>
      <c r="L833" s="71"/>
      <c r="M833" s="71"/>
      <c r="N833" s="80"/>
      <c r="O833" s="74"/>
      <c r="P833" s="75"/>
      <c r="Z833" s="16"/>
      <c r="AA833" s="16"/>
      <c r="AB833" s="16"/>
    </row>
    <row r="834" spans="2:28" ht="21.75" customHeight="1">
      <c r="B834" s="68"/>
      <c r="C834" s="69"/>
      <c r="D834" s="77"/>
      <c r="E834" s="72"/>
      <c r="F834" s="70"/>
      <c r="G834" s="71"/>
      <c r="H834" s="77"/>
      <c r="I834" s="71"/>
      <c r="J834" s="78"/>
      <c r="K834" s="71"/>
      <c r="L834" s="71"/>
      <c r="M834" s="71"/>
      <c r="N834" s="80"/>
      <c r="O834" s="74"/>
      <c r="P834" s="75"/>
      <c r="Z834" s="16"/>
      <c r="AA834" s="16"/>
      <c r="AB834" s="16"/>
    </row>
    <row r="835" spans="2:28" ht="21.75" customHeight="1">
      <c r="B835" s="68"/>
      <c r="C835" s="69"/>
      <c r="D835" s="77"/>
      <c r="E835" s="72"/>
      <c r="F835" s="70"/>
      <c r="G835" s="19"/>
      <c r="H835" s="77"/>
      <c r="I835" s="71"/>
      <c r="J835" s="112"/>
      <c r="K835" s="71"/>
      <c r="L835" s="71"/>
      <c r="M835" s="71"/>
      <c r="N835" s="80"/>
      <c r="O835" s="74"/>
      <c r="P835" s="75"/>
      <c r="Z835" s="16"/>
      <c r="AA835" s="16"/>
      <c r="AB835" s="16"/>
    </row>
    <row r="836" spans="2:28" ht="21.75" customHeight="1">
      <c r="B836" s="68"/>
      <c r="C836" s="69"/>
      <c r="D836" s="77"/>
      <c r="E836" s="72"/>
      <c r="F836" s="70"/>
      <c r="G836" s="71"/>
      <c r="H836" s="77"/>
      <c r="I836" s="71"/>
      <c r="J836" s="112"/>
      <c r="K836" s="78"/>
      <c r="L836" s="71"/>
      <c r="M836" s="71"/>
      <c r="N836" s="80"/>
      <c r="O836" s="74"/>
      <c r="P836" s="75"/>
      <c r="Z836" s="16"/>
      <c r="AA836" s="16"/>
      <c r="AB836" s="16"/>
    </row>
    <row r="837" spans="2:28" ht="21.75" customHeight="1">
      <c r="B837" s="68"/>
      <c r="C837" s="69"/>
      <c r="D837" s="77"/>
      <c r="E837" s="72"/>
      <c r="F837" s="70"/>
      <c r="G837" s="71"/>
      <c r="H837" s="369"/>
      <c r="I837" s="71"/>
      <c r="J837" s="78"/>
      <c r="K837" s="73"/>
      <c r="L837" s="71"/>
      <c r="M837" s="71"/>
      <c r="N837" s="80"/>
      <c r="O837" s="74"/>
      <c r="P837" s="75"/>
      <c r="Z837" s="16"/>
      <c r="AA837" s="16"/>
      <c r="AB837" s="16"/>
    </row>
    <row r="838" spans="2:28" ht="21.75" customHeight="1">
      <c r="B838" s="68"/>
      <c r="C838" s="69"/>
      <c r="D838" s="77"/>
      <c r="E838" s="72"/>
      <c r="F838" s="70"/>
      <c r="G838" s="71"/>
      <c r="H838" s="72"/>
      <c r="I838" s="71"/>
      <c r="J838" s="78"/>
      <c r="K838" s="73"/>
      <c r="L838" s="71"/>
      <c r="M838" s="71"/>
      <c r="N838" s="80"/>
      <c r="O838" s="74"/>
      <c r="P838" s="75"/>
      <c r="Z838" s="16"/>
      <c r="AA838" s="16"/>
      <c r="AB838" s="16"/>
    </row>
    <row r="839" spans="2:28" ht="21.75" customHeight="1">
      <c r="B839" s="68"/>
      <c r="C839" s="69"/>
      <c r="D839" s="77"/>
      <c r="E839" s="72"/>
      <c r="F839" s="70"/>
      <c r="G839" s="71"/>
      <c r="H839" s="369"/>
      <c r="I839" s="71"/>
      <c r="J839" s="78"/>
      <c r="K839" s="73"/>
      <c r="L839" s="78"/>
      <c r="M839" s="71"/>
      <c r="N839" s="80"/>
      <c r="O839" s="74"/>
      <c r="P839" s="75"/>
      <c r="Z839" s="16"/>
      <c r="AA839" s="16"/>
      <c r="AB839" s="16"/>
    </row>
    <row r="840" spans="2:28" ht="21.75" customHeight="1">
      <c r="B840" s="68"/>
      <c r="C840" s="69"/>
      <c r="D840" s="77"/>
      <c r="E840" s="72"/>
      <c r="F840" s="70"/>
      <c r="G840" s="71"/>
      <c r="H840" s="77"/>
      <c r="I840" s="71"/>
      <c r="J840" s="112"/>
      <c r="K840" s="78"/>
      <c r="L840" s="71"/>
      <c r="M840" s="71"/>
      <c r="N840" s="80"/>
      <c r="O840" s="74"/>
      <c r="P840" s="75"/>
      <c r="Z840" s="16"/>
      <c r="AA840" s="16"/>
      <c r="AB840" s="16"/>
    </row>
    <row r="841" spans="2:28" ht="21.75" customHeight="1">
      <c r="B841" s="68"/>
      <c r="C841" s="69"/>
      <c r="D841" s="77"/>
      <c r="E841" s="72"/>
      <c r="F841" s="70"/>
      <c r="G841" s="71"/>
      <c r="H841" s="77"/>
      <c r="I841" s="71"/>
      <c r="J841" s="112"/>
      <c r="K841" s="73"/>
      <c r="L841" s="71"/>
      <c r="M841" s="71"/>
      <c r="N841" s="80"/>
      <c r="O841" s="74"/>
      <c r="P841" s="75"/>
      <c r="Z841" s="16"/>
      <c r="AA841" s="16"/>
      <c r="AB841" s="16"/>
    </row>
    <row r="842" spans="2:28" ht="21.75" customHeight="1">
      <c r="B842" s="68"/>
      <c r="C842" s="69"/>
      <c r="D842" s="77"/>
      <c r="E842" s="72"/>
      <c r="F842" s="70"/>
      <c r="G842" s="71"/>
      <c r="H842" s="77"/>
      <c r="I842" s="71"/>
      <c r="J842" s="371"/>
      <c r="K842" s="78"/>
      <c r="L842" s="71"/>
      <c r="M842" s="71"/>
      <c r="N842" s="80"/>
      <c r="O842" s="74"/>
      <c r="P842" s="75"/>
      <c r="Z842" s="16"/>
      <c r="AA842" s="16"/>
      <c r="AB842" s="16"/>
    </row>
    <row r="843" spans="2:28" ht="21.75" customHeight="1">
      <c r="B843" s="68"/>
      <c r="C843" s="69"/>
      <c r="D843" s="77"/>
      <c r="E843" s="72"/>
      <c r="F843" s="70"/>
      <c r="G843" s="71"/>
      <c r="H843" s="77"/>
      <c r="I843" s="71"/>
      <c r="J843" s="371"/>
      <c r="K843" s="78"/>
      <c r="L843" s="71"/>
      <c r="M843" s="71"/>
      <c r="N843" s="80"/>
      <c r="O843" s="74"/>
      <c r="P843" s="75"/>
      <c r="Z843" s="16"/>
      <c r="AA843" s="16"/>
      <c r="AB843" s="16"/>
    </row>
    <row r="844" spans="2:28" ht="21.75" customHeight="1">
      <c r="B844" s="68"/>
      <c r="C844" s="69"/>
      <c r="D844" s="77"/>
      <c r="E844" s="72"/>
      <c r="F844" s="70"/>
      <c r="G844" s="19"/>
      <c r="H844" s="369"/>
      <c r="I844" s="71"/>
      <c r="J844" s="19"/>
      <c r="K844" s="19"/>
      <c r="L844" s="71"/>
      <c r="M844" s="71"/>
      <c r="N844" s="80"/>
      <c r="O844" s="74"/>
      <c r="P844" s="75"/>
      <c r="Z844" s="16"/>
      <c r="AA844" s="16"/>
      <c r="AB844" s="16"/>
    </row>
    <row r="845" spans="2:28" ht="21.75" customHeight="1">
      <c r="B845" s="68"/>
      <c r="C845" s="69"/>
      <c r="D845" s="77"/>
      <c r="E845" s="72"/>
      <c r="F845" s="70"/>
      <c r="G845" s="71"/>
      <c r="H845" s="369"/>
      <c r="I845" s="71"/>
      <c r="J845" s="371"/>
      <c r="K845" s="73"/>
      <c r="L845" s="78"/>
      <c r="M845" s="71"/>
      <c r="N845" s="80"/>
      <c r="O845" s="74"/>
      <c r="P845" s="75"/>
      <c r="Z845" s="16"/>
      <c r="AA845" s="16"/>
      <c r="AB845" s="16"/>
    </row>
    <row r="846" spans="2:28" ht="21.75" customHeight="1">
      <c r="B846" s="68"/>
      <c r="C846" s="69"/>
      <c r="D846" s="77"/>
      <c r="E846" s="72"/>
      <c r="F846" s="70"/>
      <c r="G846" s="71"/>
      <c r="H846" s="369"/>
      <c r="I846" s="71"/>
      <c r="J846" s="374"/>
      <c r="K846" s="78"/>
      <c r="L846" s="71"/>
      <c r="M846" s="71"/>
      <c r="N846" s="80"/>
      <c r="O846" s="74"/>
      <c r="P846" s="75"/>
      <c r="Z846" s="16"/>
      <c r="AA846" s="16"/>
      <c r="AB846" s="16"/>
    </row>
    <row r="847" spans="2:28" ht="21.75" customHeight="1">
      <c r="B847" s="68"/>
      <c r="C847" s="69"/>
      <c r="D847" s="77"/>
      <c r="E847" s="72"/>
      <c r="F847" s="70"/>
      <c r="G847" s="71"/>
      <c r="H847" s="369"/>
      <c r="I847" s="71"/>
      <c r="J847" s="371"/>
      <c r="K847" s="73"/>
      <c r="L847" s="71"/>
      <c r="M847" s="71"/>
      <c r="N847" s="80"/>
      <c r="O847" s="74"/>
      <c r="P847" s="75"/>
      <c r="Z847" s="16"/>
      <c r="AA847" s="16"/>
      <c r="AB847" s="16"/>
    </row>
    <row r="848" spans="2:28" ht="21.75" customHeight="1">
      <c r="B848" s="68"/>
      <c r="C848" s="69"/>
      <c r="D848" s="77"/>
      <c r="E848" s="72"/>
      <c r="F848" s="70"/>
      <c r="G848" s="71"/>
      <c r="H848" s="77"/>
      <c r="I848" s="71"/>
      <c r="J848" s="371"/>
      <c r="K848" s="71"/>
      <c r="L848" s="71"/>
      <c r="M848" s="71"/>
      <c r="N848" s="80"/>
      <c r="O848" s="74"/>
      <c r="P848" s="75"/>
      <c r="Z848" s="16"/>
      <c r="AA848" s="16"/>
      <c r="AB848" s="16"/>
    </row>
    <row r="849" spans="2:28" ht="21.75" customHeight="1">
      <c r="B849" s="68"/>
      <c r="C849" s="69"/>
      <c r="D849" s="77"/>
      <c r="E849" s="72"/>
      <c r="F849" s="70"/>
      <c r="G849" s="71"/>
      <c r="H849" s="77"/>
      <c r="I849" s="71"/>
      <c r="J849" s="112"/>
      <c r="K849" s="78"/>
      <c r="L849" s="71"/>
      <c r="M849" s="71"/>
      <c r="N849" s="80"/>
      <c r="O849" s="74"/>
      <c r="P849" s="75"/>
      <c r="Z849" s="16"/>
      <c r="AA849" s="16"/>
      <c r="AB849" s="16"/>
    </row>
    <row r="850" spans="2:28" ht="21.75" customHeight="1">
      <c r="B850" s="68"/>
      <c r="C850" s="69"/>
      <c r="D850" s="77"/>
      <c r="E850" s="72"/>
      <c r="F850" s="70"/>
      <c r="G850" s="71"/>
      <c r="H850" s="77"/>
      <c r="I850" s="71"/>
      <c r="J850" s="112"/>
      <c r="K850" s="78"/>
      <c r="L850" s="71"/>
      <c r="M850" s="71"/>
      <c r="N850" s="80"/>
      <c r="O850" s="74"/>
      <c r="P850" s="75"/>
      <c r="Q850" s="92"/>
      <c r="Z850" s="16"/>
      <c r="AA850" s="16"/>
      <c r="AB850" s="16"/>
    </row>
    <row r="851" spans="2:28" ht="21.75" customHeight="1">
      <c r="B851" s="68"/>
      <c r="C851" s="69"/>
      <c r="D851" s="77"/>
      <c r="E851" s="72"/>
      <c r="F851" s="70"/>
      <c r="G851" s="71"/>
      <c r="H851" s="77"/>
      <c r="I851" s="71"/>
      <c r="J851" s="112"/>
      <c r="K851" s="78"/>
      <c r="L851" s="71"/>
      <c r="M851" s="71"/>
      <c r="N851" s="80"/>
      <c r="O851" s="74"/>
      <c r="P851" s="75"/>
      <c r="Q851" s="92"/>
      <c r="Z851" s="16"/>
      <c r="AA851" s="16"/>
      <c r="AB851" s="16"/>
    </row>
    <row r="852" spans="2:28" ht="21.75" customHeight="1">
      <c r="B852" s="68"/>
      <c r="C852" s="69"/>
      <c r="D852" s="77"/>
      <c r="E852" s="72"/>
      <c r="F852" s="70"/>
      <c r="G852" s="71"/>
      <c r="H852" s="77"/>
      <c r="I852" s="71"/>
      <c r="J852" s="78"/>
      <c r="K852" s="73"/>
      <c r="L852" s="71"/>
      <c r="M852" s="71"/>
      <c r="N852" s="80"/>
      <c r="O852" s="74"/>
      <c r="P852" s="75"/>
      <c r="Q852" s="88"/>
      <c r="Z852" s="16"/>
      <c r="AA852" s="16"/>
      <c r="AB852" s="16"/>
    </row>
    <row r="853" spans="2:28" ht="21.75" customHeight="1">
      <c r="B853" s="68"/>
      <c r="C853" s="69"/>
      <c r="D853" s="77"/>
      <c r="E853" s="72"/>
      <c r="F853" s="70"/>
      <c r="G853" s="71"/>
      <c r="H853" s="77"/>
      <c r="I853" s="71"/>
      <c r="J853" s="112"/>
      <c r="K853" s="78"/>
      <c r="L853" s="71"/>
      <c r="M853" s="71"/>
      <c r="N853" s="80"/>
      <c r="O853" s="375"/>
      <c r="P853" s="75"/>
      <c r="Z853" s="16"/>
      <c r="AA853" s="16"/>
      <c r="AB853" s="16"/>
    </row>
    <row r="854" spans="2:28" ht="21.75" customHeight="1">
      <c r="B854" s="68"/>
      <c r="C854" s="69"/>
      <c r="D854" s="77"/>
      <c r="E854" s="72"/>
      <c r="F854" s="70"/>
      <c r="G854" s="71"/>
      <c r="H854" s="77"/>
      <c r="I854" s="71"/>
      <c r="J854" s="112"/>
      <c r="K854" s="78"/>
      <c r="L854" s="71"/>
      <c r="M854" s="71"/>
      <c r="N854" s="373"/>
      <c r="O854" s="74"/>
      <c r="P854" s="75"/>
      <c r="Z854" s="16"/>
      <c r="AA854" s="16"/>
      <c r="AB854" s="16"/>
    </row>
    <row r="855" spans="2:28" ht="21.75" customHeight="1">
      <c r="B855" s="68"/>
      <c r="C855" s="69"/>
      <c r="D855" s="77"/>
      <c r="E855" s="72"/>
      <c r="F855" s="70"/>
      <c r="G855" s="71"/>
      <c r="H855" s="77"/>
      <c r="I855" s="71"/>
      <c r="J855" s="78"/>
      <c r="K855" s="71"/>
      <c r="L855" s="71"/>
      <c r="M855" s="71"/>
      <c r="N855" s="80"/>
      <c r="O855" s="74"/>
      <c r="P855" s="75"/>
      <c r="Z855" s="16"/>
      <c r="AA855" s="16"/>
      <c r="AB855" s="16"/>
    </row>
    <row r="856" spans="2:28" ht="21.75" customHeight="1">
      <c r="B856" s="68"/>
      <c r="C856" s="69"/>
      <c r="D856" s="77"/>
      <c r="E856" s="72"/>
      <c r="F856" s="70"/>
      <c r="G856" s="71"/>
      <c r="H856" s="77"/>
      <c r="I856" s="71"/>
      <c r="J856" s="106"/>
      <c r="K856" s="71"/>
      <c r="L856" s="71"/>
      <c r="M856" s="71"/>
      <c r="N856" s="80"/>
      <c r="O856" s="74"/>
      <c r="P856" s="75"/>
      <c r="Z856" s="16"/>
      <c r="AA856" s="16"/>
      <c r="AB856" s="16"/>
    </row>
    <row r="857" spans="2:28" ht="21.75" customHeight="1">
      <c r="B857" s="68"/>
      <c r="C857" s="69"/>
      <c r="D857" s="77"/>
      <c r="E857" s="72"/>
      <c r="F857" s="70"/>
      <c r="G857" s="71"/>
      <c r="H857" s="72"/>
      <c r="I857" s="71"/>
      <c r="J857" s="78"/>
      <c r="K857" s="73"/>
      <c r="L857" s="71"/>
      <c r="M857" s="71"/>
      <c r="N857" s="80"/>
      <c r="O857" s="74"/>
      <c r="P857" s="75"/>
      <c r="Q857" s="92"/>
      <c r="Z857" s="16"/>
      <c r="AA857" s="16"/>
      <c r="AB857" s="16"/>
    </row>
    <row r="858" spans="2:28" ht="21.75" customHeight="1">
      <c r="B858" s="68"/>
      <c r="C858" s="69"/>
      <c r="D858" s="77"/>
      <c r="E858" s="72"/>
      <c r="F858" s="70"/>
      <c r="G858" s="71"/>
      <c r="H858" s="77"/>
      <c r="I858" s="71"/>
      <c r="J858" s="106"/>
      <c r="K858" s="71"/>
      <c r="L858" s="71"/>
      <c r="M858" s="71"/>
      <c r="N858" s="80"/>
      <c r="O858" s="74"/>
      <c r="P858" s="75"/>
      <c r="Z858" s="16"/>
      <c r="AA858" s="16"/>
      <c r="AB858" s="16"/>
    </row>
    <row r="859" spans="2:28" ht="21.75" customHeight="1">
      <c r="B859" s="68"/>
      <c r="C859" s="69"/>
      <c r="D859" s="77"/>
      <c r="E859" s="72"/>
      <c r="F859" s="70"/>
      <c r="G859" s="71"/>
      <c r="H859" s="77"/>
      <c r="I859" s="71"/>
      <c r="J859" s="71"/>
      <c r="K859" s="71"/>
      <c r="L859" s="71"/>
      <c r="M859" s="71"/>
      <c r="N859" s="80"/>
      <c r="O859" s="74"/>
      <c r="P859" s="75"/>
      <c r="Q859" s="92"/>
      <c r="Z859" s="16"/>
      <c r="AA859" s="16"/>
      <c r="AB859" s="16"/>
    </row>
    <row r="860" spans="2:28" ht="21.75" customHeight="1">
      <c r="B860" s="68"/>
      <c r="C860" s="69"/>
      <c r="D860" s="77"/>
      <c r="E860" s="72"/>
      <c r="F860" s="70"/>
      <c r="G860" s="71"/>
      <c r="H860" s="77"/>
      <c r="I860" s="71"/>
      <c r="J860" s="78"/>
      <c r="K860" s="71"/>
      <c r="L860" s="71"/>
      <c r="M860" s="71"/>
      <c r="N860" s="80"/>
      <c r="O860" s="74"/>
      <c r="P860" s="75"/>
      <c r="Z860" s="16"/>
      <c r="AA860" s="16"/>
      <c r="AB860" s="16"/>
    </row>
    <row r="861" spans="2:28" ht="21.75" customHeight="1">
      <c r="B861" s="68"/>
      <c r="C861" s="69"/>
      <c r="D861" s="77"/>
      <c r="E861" s="72"/>
      <c r="F861" s="70"/>
      <c r="G861" s="19"/>
      <c r="H861" s="369"/>
      <c r="I861" s="71"/>
      <c r="J861" s="112"/>
      <c r="K861" s="112"/>
      <c r="L861" s="71"/>
      <c r="M861" s="71"/>
      <c r="N861" s="80"/>
      <c r="O861" s="74"/>
      <c r="P861" s="75"/>
      <c r="Z861" s="16"/>
      <c r="AA861" s="16"/>
      <c r="AB861" s="16"/>
    </row>
    <row r="862" spans="2:28" ht="21.75" customHeight="1">
      <c r="B862" s="68"/>
      <c r="C862" s="69"/>
      <c r="D862" s="77"/>
      <c r="E862" s="72"/>
      <c r="F862" s="70"/>
      <c r="G862" s="19"/>
      <c r="H862" s="77"/>
      <c r="I862" s="71"/>
      <c r="J862" s="112"/>
      <c r="K862" s="71"/>
      <c r="L862" s="71"/>
      <c r="M862" s="71"/>
      <c r="N862" s="80"/>
      <c r="O862" s="74"/>
      <c r="P862" s="75"/>
      <c r="Q862" s="88"/>
      <c r="Z862" s="16"/>
      <c r="AA862" s="16"/>
      <c r="AB862" s="16"/>
    </row>
    <row r="863" spans="2:28" ht="21.75" customHeight="1">
      <c r="B863" s="68"/>
      <c r="C863" s="69"/>
      <c r="D863" s="77"/>
      <c r="E863" s="72"/>
      <c r="F863" s="70"/>
      <c r="G863" s="71"/>
      <c r="H863" s="77"/>
      <c r="I863" s="71"/>
      <c r="J863" s="78"/>
      <c r="K863" s="73"/>
      <c r="L863" s="71"/>
      <c r="M863" s="71"/>
      <c r="N863" s="80"/>
      <c r="O863" s="74"/>
      <c r="P863" s="75"/>
      <c r="Z863" s="16"/>
      <c r="AA863" s="16"/>
      <c r="AB863" s="16"/>
    </row>
    <row r="864" spans="2:28" ht="21.75" customHeight="1">
      <c r="B864" s="68"/>
      <c r="C864" s="69"/>
      <c r="D864" s="77"/>
      <c r="E864" s="72"/>
      <c r="F864" s="70"/>
      <c r="G864" s="71"/>
      <c r="H864" s="72"/>
      <c r="I864" s="71"/>
      <c r="J864" s="106"/>
      <c r="K864" s="73"/>
      <c r="L864" s="71"/>
      <c r="M864" s="71"/>
      <c r="N864" s="80"/>
      <c r="O864" s="74"/>
      <c r="P864" s="75"/>
      <c r="Z864" s="16"/>
      <c r="AA864" s="16"/>
      <c r="AB864" s="16"/>
    </row>
    <row r="865" spans="2:28" ht="21.75" customHeight="1">
      <c r="B865" s="68"/>
      <c r="C865" s="69"/>
      <c r="D865" s="77"/>
      <c r="E865" s="72"/>
      <c r="F865" s="70"/>
      <c r="G865" s="71"/>
      <c r="H865" s="77"/>
      <c r="I865" s="71"/>
      <c r="J865" s="112"/>
      <c r="K865" s="78"/>
      <c r="L865" s="71"/>
      <c r="M865" s="71"/>
      <c r="N865" s="80"/>
      <c r="O865" s="74"/>
      <c r="P865" s="75"/>
      <c r="Z865" s="16"/>
      <c r="AA865" s="16"/>
      <c r="AB865" s="16"/>
    </row>
    <row r="866" spans="2:28" ht="21.75" customHeight="1">
      <c r="B866" s="68"/>
      <c r="C866" s="69"/>
      <c r="D866" s="77"/>
      <c r="E866" s="72"/>
      <c r="F866" s="70"/>
      <c r="G866" s="71"/>
      <c r="H866" s="77"/>
      <c r="I866" s="71"/>
      <c r="J866" s="106"/>
      <c r="K866" s="71"/>
      <c r="L866" s="71"/>
      <c r="M866" s="71"/>
      <c r="N866" s="80"/>
      <c r="O866" s="74"/>
      <c r="P866" s="75"/>
      <c r="Z866" s="16"/>
      <c r="AA866" s="16"/>
      <c r="AB866" s="16"/>
    </row>
    <row r="867" spans="2:28" ht="21.75" customHeight="1">
      <c r="B867" s="68"/>
      <c r="C867" s="69"/>
      <c r="D867" s="77"/>
      <c r="E867" s="72"/>
      <c r="F867" s="70"/>
      <c r="G867" s="71"/>
      <c r="H867" s="77"/>
      <c r="I867" s="71"/>
      <c r="J867" s="106"/>
      <c r="K867" s="71"/>
      <c r="L867" s="71"/>
      <c r="M867" s="71"/>
      <c r="N867" s="80"/>
      <c r="O867" s="74"/>
      <c r="P867" s="75"/>
      <c r="Z867" s="16"/>
      <c r="AA867" s="16"/>
      <c r="AB867" s="16"/>
    </row>
    <row r="868" spans="2:28" ht="21.75" customHeight="1">
      <c r="B868" s="68"/>
      <c r="C868" s="69"/>
      <c r="D868" s="77"/>
      <c r="E868" s="72"/>
      <c r="F868" s="70"/>
      <c r="G868" s="19"/>
      <c r="H868" s="369"/>
      <c r="I868" s="71"/>
      <c r="J868" s="175"/>
      <c r="K868" s="112"/>
      <c r="L868" s="71"/>
      <c r="M868" s="71"/>
      <c r="N868" s="80"/>
      <c r="O868" s="375"/>
      <c r="P868" s="75"/>
      <c r="Z868" s="16"/>
      <c r="AA868" s="16"/>
      <c r="AB868" s="16"/>
    </row>
    <row r="869" spans="2:28" ht="21.75" customHeight="1">
      <c r="B869" s="68"/>
      <c r="C869" s="69"/>
      <c r="D869" s="77"/>
      <c r="E869" s="72"/>
      <c r="F869" s="70"/>
      <c r="G869" s="19"/>
      <c r="H869" s="369"/>
      <c r="I869" s="71"/>
      <c r="J869" s="175"/>
      <c r="K869" s="112"/>
      <c r="L869" s="71"/>
      <c r="M869" s="71"/>
      <c r="N869" s="80"/>
      <c r="O869" s="375"/>
      <c r="P869" s="75"/>
      <c r="Z869" s="16"/>
      <c r="AA869" s="16"/>
      <c r="AB869" s="16"/>
    </row>
    <row r="870" spans="2:28" ht="21.75" customHeight="1">
      <c r="B870" s="68"/>
      <c r="C870" s="69"/>
      <c r="D870" s="77"/>
      <c r="E870" s="72"/>
      <c r="F870" s="70"/>
      <c r="G870" s="71"/>
      <c r="H870" s="77"/>
      <c r="I870" s="71"/>
      <c r="J870" s="106"/>
      <c r="K870" s="78"/>
      <c r="L870" s="71"/>
      <c r="M870" s="71"/>
      <c r="N870" s="80"/>
      <c r="O870" s="74"/>
      <c r="P870" s="75"/>
      <c r="Z870" s="16"/>
      <c r="AA870" s="16"/>
      <c r="AB870" s="16"/>
    </row>
    <row r="871" spans="2:28" ht="21.75" customHeight="1">
      <c r="B871" s="68"/>
      <c r="C871" s="69"/>
      <c r="D871" s="77"/>
      <c r="E871" s="72"/>
      <c r="F871" s="70"/>
      <c r="G871" s="71"/>
      <c r="H871" s="77"/>
      <c r="I871" s="71"/>
      <c r="J871" s="106"/>
      <c r="K871" s="71"/>
      <c r="L871" s="71"/>
      <c r="M871" s="71"/>
      <c r="N871" s="80"/>
      <c r="O871" s="74"/>
      <c r="P871" s="75"/>
      <c r="Z871" s="16"/>
      <c r="AA871" s="16"/>
      <c r="AB871" s="16"/>
    </row>
    <row r="872" spans="2:28" ht="21.75" customHeight="1">
      <c r="B872" s="68"/>
      <c r="C872" s="69"/>
      <c r="D872" s="77"/>
      <c r="E872" s="72"/>
      <c r="F872" s="70"/>
      <c r="G872" s="71"/>
      <c r="H872" s="77"/>
      <c r="I872" s="71"/>
      <c r="J872" s="112"/>
      <c r="K872" s="78"/>
      <c r="L872" s="71"/>
      <c r="M872" s="71"/>
      <c r="N872" s="80"/>
      <c r="O872" s="375"/>
      <c r="P872" s="75"/>
      <c r="Z872" s="16"/>
      <c r="AA872" s="16"/>
      <c r="AB872" s="16"/>
    </row>
    <row r="873" spans="2:28" ht="21.75" customHeight="1">
      <c r="B873" s="68"/>
      <c r="C873" s="69"/>
      <c r="D873" s="77"/>
      <c r="E873" s="72"/>
      <c r="F873" s="70"/>
      <c r="G873" s="71"/>
      <c r="H873" s="77"/>
      <c r="I873" s="71"/>
      <c r="J873" s="112"/>
      <c r="K873" s="78"/>
      <c r="L873" s="71"/>
      <c r="M873" s="71"/>
      <c r="N873" s="80"/>
      <c r="O873" s="375"/>
      <c r="P873" s="75"/>
      <c r="Z873" s="16"/>
      <c r="AA873" s="16"/>
      <c r="AB873" s="16"/>
    </row>
    <row r="874" spans="2:28" ht="21.75" customHeight="1">
      <c r="B874" s="376"/>
      <c r="C874" s="377"/>
      <c r="D874" s="378"/>
      <c r="E874" s="379"/>
      <c r="F874" s="380"/>
      <c r="G874" s="342"/>
      <c r="H874" s="378"/>
      <c r="I874" s="342"/>
      <c r="J874" s="112"/>
      <c r="K874" s="343"/>
      <c r="L874" s="342"/>
      <c r="M874" s="71"/>
      <c r="N874" s="381"/>
      <c r="O874" s="295"/>
      <c r="P874" s="75"/>
      <c r="Z874" s="16"/>
      <c r="AA874" s="16"/>
      <c r="AB874" s="16"/>
    </row>
    <row r="875" spans="2:28" ht="21.75" customHeight="1">
      <c r="B875" s="382"/>
      <c r="C875" s="69"/>
      <c r="D875" s="77"/>
      <c r="E875" s="72"/>
      <c r="F875" s="70"/>
      <c r="G875" s="71"/>
      <c r="H875" s="77"/>
      <c r="I875" s="71"/>
      <c r="J875" s="112"/>
      <c r="K875" s="78"/>
      <c r="L875" s="71"/>
      <c r="M875" s="71"/>
      <c r="N875" s="381"/>
      <c r="O875" s="74"/>
      <c r="P875" s="75"/>
      <c r="Z875" s="16"/>
      <c r="AA875" s="16"/>
      <c r="AB875" s="16"/>
    </row>
    <row r="876" spans="2:28" ht="21.75" customHeight="1">
      <c r="B876" s="68"/>
      <c r="C876" s="69"/>
      <c r="D876" s="77"/>
      <c r="E876" s="72"/>
      <c r="F876" s="70"/>
      <c r="G876" s="19"/>
      <c r="H876" s="77"/>
      <c r="I876" s="71"/>
      <c r="J876" s="112"/>
      <c r="K876" s="71"/>
      <c r="L876" s="71"/>
      <c r="M876" s="71"/>
      <c r="N876" s="80"/>
      <c r="O876" s="74"/>
      <c r="P876" s="75"/>
      <c r="Q876" s="92"/>
      <c r="Z876" s="16"/>
      <c r="AA876" s="16"/>
      <c r="AB876" s="16"/>
    </row>
    <row r="877" spans="2:28" ht="21.75" customHeight="1">
      <c r="B877" s="68"/>
      <c r="C877" s="69"/>
      <c r="D877" s="77"/>
      <c r="E877" s="72"/>
      <c r="F877" s="70"/>
      <c r="G877" s="71"/>
      <c r="H877" s="72"/>
      <c r="I877" s="71"/>
      <c r="J877" s="106"/>
      <c r="K877" s="73"/>
      <c r="L877" s="71"/>
      <c r="M877" s="71"/>
      <c r="N877" s="80"/>
      <c r="O877" s="74"/>
      <c r="P877" s="75"/>
      <c r="Z877" s="16"/>
      <c r="AA877" s="16"/>
      <c r="AB877" s="16"/>
    </row>
    <row r="878" spans="2:28" ht="21.75" customHeight="1">
      <c r="B878" s="68"/>
      <c r="C878" s="69"/>
      <c r="D878" s="77"/>
      <c r="E878" s="72"/>
      <c r="F878" s="70"/>
      <c r="G878" s="71"/>
      <c r="H878" s="369"/>
      <c r="I878" s="71"/>
      <c r="J878" s="383"/>
      <c r="K878" s="73"/>
      <c r="L878" s="71"/>
      <c r="M878" s="71"/>
      <c r="N878" s="80"/>
      <c r="O878" s="74"/>
      <c r="P878" s="75"/>
      <c r="Z878" s="16"/>
      <c r="AA878" s="16"/>
      <c r="AB878" s="16"/>
    </row>
    <row r="879" spans="2:28" ht="21.75" customHeight="1">
      <c r="B879" s="376"/>
      <c r="C879" s="377"/>
      <c r="D879" s="378"/>
      <c r="E879" s="379"/>
      <c r="F879" s="380"/>
      <c r="G879" s="342"/>
      <c r="H879" s="379"/>
      <c r="I879" s="71"/>
      <c r="J879" s="176"/>
      <c r="K879" s="384"/>
      <c r="L879" s="342"/>
      <c r="M879" s="71"/>
      <c r="N879" s="80"/>
      <c r="O879" s="74"/>
      <c r="P879" s="75"/>
      <c r="Z879" s="16"/>
      <c r="AA879" s="16"/>
      <c r="AB879" s="16"/>
    </row>
    <row r="880" spans="2:28" ht="21.75" customHeight="1">
      <c r="B880" s="68"/>
      <c r="C880" s="69"/>
      <c r="D880" s="77"/>
      <c r="E880" s="72"/>
      <c r="F880" s="70"/>
      <c r="G880" s="71"/>
      <c r="H880" s="77"/>
      <c r="I880" s="71"/>
      <c r="J880" s="106"/>
      <c r="K880" s="71"/>
      <c r="L880" s="71"/>
      <c r="M880" s="71"/>
      <c r="N880" s="80"/>
      <c r="O880" s="74"/>
      <c r="P880" s="75"/>
      <c r="Z880" s="16"/>
      <c r="AA880" s="16"/>
      <c r="AB880" s="16"/>
    </row>
    <row r="881" spans="2:28" ht="21.75" customHeight="1">
      <c r="B881" s="68"/>
      <c r="C881" s="69"/>
      <c r="D881" s="77"/>
      <c r="E881" s="72"/>
      <c r="F881" s="70"/>
      <c r="G881" s="19"/>
      <c r="H881" s="77"/>
      <c r="I881" s="71"/>
      <c r="J881" s="371"/>
      <c r="K881" s="71"/>
      <c r="L881" s="71"/>
      <c r="M881" s="71"/>
      <c r="N881" s="80"/>
      <c r="O881" s="74"/>
      <c r="P881" s="75"/>
      <c r="Z881" s="16"/>
      <c r="AA881" s="16"/>
      <c r="AB881" s="16"/>
    </row>
    <row r="882" spans="2:28" ht="21.75" customHeight="1">
      <c r="B882" s="68"/>
      <c r="C882" s="69"/>
      <c r="D882" s="77"/>
      <c r="E882" s="72"/>
      <c r="F882" s="70"/>
      <c r="G882" s="19"/>
      <c r="H882" s="369"/>
      <c r="I882" s="71"/>
      <c r="J882" s="112"/>
      <c r="K882" s="112"/>
      <c r="L882" s="71"/>
      <c r="M882" s="71"/>
      <c r="N882" s="80"/>
      <c r="O882" s="74"/>
      <c r="P882" s="75"/>
      <c r="Z882" s="16"/>
      <c r="AA882" s="16"/>
      <c r="AB882" s="16"/>
    </row>
    <row r="883" spans="2:28" ht="21.75" customHeight="1">
      <c r="B883" s="376"/>
      <c r="C883" s="377"/>
      <c r="D883" s="378"/>
      <c r="E883" s="379"/>
      <c r="F883" s="380"/>
      <c r="G883" s="342"/>
      <c r="H883" s="379"/>
      <c r="I883" s="71"/>
      <c r="J883" s="176"/>
      <c r="K883" s="384"/>
      <c r="L883" s="342"/>
      <c r="M883" s="71"/>
      <c r="N883" s="80"/>
      <c r="O883" s="74"/>
      <c r="P883" s="75"/>
      <c r="Z883" s="16"/>
      <c r="AA883" s="16"/>
      <c r="AB883" s="16"/>
    </row>
    <row r="884" spans="2:28" ht="21.75" customHeight="1">
      <c r="B884" s="68"/>
      <c r="C884" s="69"/>
      <c r="D884" s="77"/>
      <c r="E884" s="72"/>
      <c r="F884" s="70"/>
      <c r="G884" s="71"/>
      <c r="H884" s="72"/>
      <c r="I884" s="71"/>
      <c r="J884" s="78"/>
      <c r="K884" s="73"/>
      <c r="L884" s="71"/>
      <c r="M884" s="71"/>
      <c r="N884" s="80"/>
      <c r="O884" s="74"/>
      <c r="P884" s="75"/>
      <c r="Z884" s="16"/>
      <c r="AA884" s="16"/>
      <c r="AB884" s="16"/>
    </row>
    <row r="885" spans="2:28" ht="21.75" customHeight="1">
      <c r="B885" s="68"/>
      <c r="C885" s="69"/>
      <c r="D885" s="77"/>
      <c r="E885" s="72"/>
      <c r="F885" s="70"/>
      <c r="G885" s="71"/>
      <c r="H885" s="77"/>
      <c r="I885" s="71"/>
      <c r="J885" s="112"/>
      <c r="K885" s="78"/>
      <c r="L885" s="71"/>
      <c r="M885" s="71"/>
      <c r="N885" s="80"/>
      <c r="O885" s="375"/>
      <c r="P885" s="75"/>
      <c r="Z885" s="16"/>
      <c r="AA885" s="16"/>
      <c r="AB885" s="16"/>
    </row>
    <row r="886" spans="2:28" ht="21.75" customHeight="1">
      <c r="B886" s="68"/>
      <c r="C886" s="69"/>
      <c r="D886" s="77"/>
      <c r="E886" s="72"/>
      <c r="F886" s="70"/>
      <c r="G886" s="19"/>
      <c r="H886" s="77"/>
      <c r="I886" s="71"/>
      <c r="J886" s="176"/>
      <c r="K886" s="73"/>
      <c r="L886" s="71"/>
      <c r="M886" s="71"/>
      <c r="N886" s="80"/>
      <c r="O886" s="375"/>
      <c r="P886" s="75"/>
      <c r="Z886" s="16"/>
      <c r="AA886" s="16"/>
      <c r="AB886" s="16"/>
    </row>
    <row r="887" spans="2:28" ht="21.75" customHeight="1">
      <c r="B887" s="68"/>
      <c r="C887" s="69"/>
      <c r="D887" s="77"/>
      <c r="E887" s="72"/>
      <c r="F887" s="70"/>
      <c r="G887" s="71"/>
      <c r="H887" s="77"/>
      <c r="I887" s="71"/>
      <c r="J887" s="106"/>
      <c r="K887" s="78"/>
      <c r="L887" s="71"/>
      <c r="M887" s="71"/>
      <c r="N887" s="80"/>
      <c r="O887" s="74"/>
      <c r="P887" s="75"/>
      <c r="Z887" s="16"/>
      <c r="AA887" s="16"/>
      <c r="AB887" s="16"/>
    </row>
    <row r="888" spans="2:28" ht="21.75" customHeight="1">
      <c r="B888" s="68"/>
      <c r="C888" s="69"/>
      <c r="D888" s="77"/>
      <c r="E888" s="72"/>
      <c r="F888" s="70"/>
      <c r="G888" s="71"/>
      <c r="H888" s="77"/>
      <c r="I888" s="71"/>
      <c r="J888" s="371"/>
      <c r="K888" s="78"/>
      <c r="L888" s="71"/>
      <c r="M888" s="71"/>
      <c r="N888" s="80"/>
      <c r="O888" s="375"/>
      <c r="P888" s="75"/>
      <c r="Z888" s="16"/>
      <c r="AA888" s="16"/>
      <c r="AB888" s="16"/>
    </row>
    <row r="889" spans="2:28" ht="21.75" customHeight="1">
      <c r="B889" s="68"/>
      <c r="C889" s="69"/>
      <c r="D889" s="77"/>
      <c r="E889" s="72"/>
      <c r="F889" s="70"/>
      <c r="G889" s="71"/>
      <c r="H889" s="77"/>
      <c r="I889" s="71"/>
      <c r="J889" s="106"/>
      <c r="K889" s="78"/>
      <c r="L889" s="71"/>
      <c r="M889" s="71"/>
      <c r="N889" s="80"/>
      <c r="O889" s="74"/>
      <c r="P889" s="75"/>
      <c r="Z889" s="16"/>
      <c r="AA889" s="16"/>
      <c r="AB889" s="16"/>
    </row>
    <row r="890" spans="2:28" ht="21.75" customHeight="1">
      <c r="B890" s="68"/>
      <c r="C890" s="69"/>
      <c r="D890" s="77"/>
      <c r="E890" s="72"/>
      <c r="F890" s="70"/>
      <c r="G890" s="19"/>
      <c r="H890" s="369"/>
      <c r="I890" s="71"/>
      <c r="J890" s="112"/>
      <c r="K890" s="112"/>
      <c r="L890" s="71"/>
      <c r="M890" s="71"/>
      <c r="N890" s="80"/>
      <c r="O890" s="74"/>
      <c r="P890" s="75"/>
      <c r="Z890" s="16"/>
      <c r="AA890" s="16"/>
      <c r="AB890" s="16"/>
    </row>
    <row r="891" spans="2:28" ht="21.75" customHeight="1">
      <c r="B891" s="68"/>
      <c r="C891" s="69"/>
      <c r="D891" s="77"/>
      <c r="E891" s="72"/>
      <c r="F891" s="70"/>
      <c r="G891" s="19"/>
      <c r="H891" s="369"/>
      <c r="I891" s="71"/>
      <c r="J891" s="112"/>
      <c r="K891" s="112"/>
      <c r="L891" s="71"/>
      <c r="M891" s="71"/>
      <c r="N891" s="80"/>
      <c r="O891" s="74"/>
      <c r="P891" s="75"/>
      <c r="Z891" s="16"/>
      <c r="AA891" s="16"/>
      <c r="AB891" s="16"/>
    </row>
    <row r="892" spans="2:28" ht="21.75" customHeight="1">
      <c r="B892" s="68"/>
      <c r="C892" s="69"/>
      <c r="D892" s="77"/>
      <c r="E892" s="72"/>
      <c r="F892" s="70"/>
      <c r="G892" s="19"/>
      <c r="H892" s="369"/>
      <c r="I892" s="71"/>
      <c r="J892" s="112"/>
      <c r="K892" s="112"/>
      <c r="L892" s="71"/>
      <c r="M892" s="71"/>
      <c r="N892" s="80"/>
      <c r="O892" s="74"/>
      <c r="P892" s="75"/>
      <c r="Z892" s="16"/>
      <c r="AA892" s="16"/>
      <c r="AB892" s="16"/>
    </row>
    <row r="893" spans="2:28" ht="21.75" customHeight="1">
      <c r="B893" s="68"/>
      <c r="C893" s="69"/>
      <c r="D893" s="77"/>
      <c r="E893" s="72"/>
      <c r="F893" s="76"/>
      <c r="G893" s="19"/>
      <c r="H893" s="77"/>
      <c r="I893" s="71"/>
      <c r="J893" s="112"/>
      <c r="K893" s="71"/>
      <c r="L893" s="71"/>
      <c r="M893" s="71"/>
      <c r="N893" s="80"/>
      <c r="O893" s="74"/>
      <c r="P893" s="75"/>
      <c r="Z893" s="16"/>
      <c r="AA893" s="16"/>
      <c r="AB893" s="16"/>
    </row>
    <row r="894" spans="2:28" ht="21.75" customHeight="1">
      <c r="B894" s="68"/>
      <c r="C894" s="69"/>
      <c r="D894" s="77"/>
      <c r="E894" s="72"/>
      <c r="F894" s="76"/>
      <c r="G894" s="19"/>
      <c r="H894" s="369"/>
      <c r="I894" s="71"/>
      <c r="J894" s="112"/>
      <c r="K894" s="112"/>
      <c r="L894" s="71"/>
      <c r="M894" s="71"/>
      <c r="N894" s="80"/>
      <c r="O894" s="74"/>
      <c r="P894" s="75"/>
      <c r="Z894" s="16"/>
      <c r="AA894" s="16"/>
      <c r="AB894" s="16"/>
    </row>
    <row r="895" spans="2:28" ht="21.75" customHeight="1">
      <c r="B895" s="382"/>
      <c r="C895" s="69"/>
      <c r="D895" s="77"/>
      <c r="E895" s="72"/>
      <c r="F895" s="76"/>
      <c r="G895" s="71"/>
      <c r="H895" s="77"/>
      <c r="I895" s="71"/>
      <c r="J895" s="112"/>
      <c r="K895" s="78"/>
      <c r="L895" s="71"/>
      <c r="M895" s="71"/>
      <c r="N895" s="381"/>
      <c r="O895" s="74"/>
      <c r="P895" s="75"/>
      <c r="Z895" s="16"/>
      <c r="AA895" s="16"/>
      <c r="AB895" s="16"/>
    </row>
    <row r="896" spans="2:28" ht="21.75" customHeight="1">
      <c r="B896" s="68"/>
      <c r="C896" s="69"/>
      <c r="D896" s="77"/>
      <c r="E896" s="72"/>
      <c r="F896" s="76"/>
      <c r="G896" s="71"/>
      <c r="H896" s="369"/>
      <c r="I896" s="71"/>
      <c r="J896" s="385"/>
      <c r="K896" s="343"/>
      <c r="L896" s="71"/>
      <c r="M896" s="71"/>
      <c r="N896" s="381"/>
      <c r="O896" s="74"/>
      <c r="P896" s="75"/>
      <c r="Z896" s="16"/>
      <c r="AA896" s="16"/>
      <c r="AB896" s="16"/>
    </row>
    <row r="897" spans="2:29" ht="21.75" customHeight="1">
      <c r="B897" s="68"/>
      <c r="C897" s="69"/>
      <c r="D897" s="77"/>
      <c r="E897" s="72"/>
      <c r="F897" s="76"/>
      <c r="G897" s="71"/>
      <c r="H897" s="77"/>
      <c r="I897" s="71"/>
      <c r="J897" s="371"/>
      <c r="K897" s="73"/>
      <c r="L897" s="71"/>
      <c r="M897" s="71"/>
      <c r="N897" s="80"/>
      <c r="O897" s="74"/>
      <c r="P897" s="75"/>
      <c r="Z897" s="16"/>
      <c r="AA897" s="16"/>
      <c r="AB897" s="16"/>
    </row>
    <row r="898" spans="2:29" ht="21.75" customHeight="1">
      <c r="B898" s="68"/>
      <c r="C898" s="69"/>
      <c r="D898" s="77"/>
      <c r="E898" s="72"/>
      <c r="F898" s="76"/>
      <c r="G898" s="71"/>
      <c r="H898" s="77"/>
      <c r="I898" s="71"/>
      <c r="J898" s="371"/>
      <c r="K898" s="73"/>
      <c r="L898" s="71"/>
      <c r="M898" s="71"/>
      <c r="N898" s="80"/>
      <c r="O898" s="74"/>
      <c r="P898" s="75"/>
      <c r="Z898" s="16"/>
      <c r="AA898" s="16"/>
      <c r="AB898" s="16"/>
    </row>
    <row r="899" spans="2:29" ht="21.75" customHeight="1">
      <c r="B899" s="68"/>
      <c r="C899" s="69"/>
      <c r="D899" s="77"/>
      <c r="E899" s="72"/>
      <c r="F899" s="70"/>
      <c r="G899" s="71"/>
      <c r="H899" s="77"/>
      <c r="I899" s="71"/>
      <c r="J899" s="112"/>
      <c r="K899" s="78"/>
      <c r="L899" s="71"/>
      <c r="M899" s="71"/>
      <c r="N899" s="373"/>
      <c r="O899" s="74"/>
      <c r="P899" s="75"/>
      <c r="Z899" s="16"/>
      <c r="AA899" s="16"/>
      <c r="AB899" s="16"/>
    </row>
    <row r="900" spans="2:29" ht="21.75" customHeight="1">
      <c r="B900" s="382"/>
      <c r="C900" s="69"/>
      <c r="D900" s="77"/>
      <c r="E900" s="72"/>
      <c r="F900" s="70"/>
      <c r="G900" s="71"/>
      <c r="H900" s="77"/>
      <c r="I900" s="71"/>
      <c r="J900" s="112"/>
      <c r="K900" s="78"/>
      <c r="L900" s="71"/>
      <c r="M900" s="71"/>
      <c r="N900" s="381"/>
      <c r="O900" s="74"/>
      <c r="P900" s="75"/>
      <c r="Z900" s="16"/>
      <c r="AA900" s="16"/>
      <c r="AB900" s="16"/>
    </row>
    <row r="901" spans="2:29" ht="21.75" customHeight="1">
      <c r="B901" s="382"/>
      <c r="C901" s="69"/>
      <c r="D901" s="77"/>
      <c r="E901" s="72"/>
      <c r="F901" s="70"/>
      <c r="G901" s="71"/>
      <c r="H901" s="77"/>
      <c r="I901" s="71"/>
      <c r="J901" s="112"/>
      <c r="K901" s="78"/>
      <c r="L901" s="71"/>
      <c r="M901" s="71"/>
      <c r="N901" s="381"/>
      <c r="O901" s="74"/>
      <c r="P901" s="75"/>
      <c r="Z901" s="16"/>
      <c r="AA901" s="16"/>
      <c r="AB901" s="16"/>
    </row>
    <row r="902" spans="2:29" ht="21.75" customHeight="1">
      <c r="B902" s="68"/>
      <c r="C902" s="69"/>
      <c r="D902" s="77"/>
      <c r="E902" s="72"/>
      <c r="F902" s="70"/>
      <c r="G902" s="71"/>
      <c r="H902" s="77"/>
      <c r="I902" s="71"/>
      <c r="J902" s="112"/>
      <c r="K902" s="78"/>
      <c r="L902" s="71"/>
      <c r="M902" s="71"/>
      <c r="N902" s="80"/>
      <c r="O902" s="375"/>
      <c r="P902" s="75"/>
      <c r="Z902" s="16"/>
      <c r="AA902" s="16"/>
      <c r="AB902" s="16"/>
    </row>
    <row r="903" spans="2:29" ht="21.75" customHeight="1">
      <c r="B903" s="68"/>
      <c r="C903" s="69"/>
      <c r="D903" s="77"/>
      <c r="E903" s="72"/>
      <c r="F903" s="70"/>
      <c r="G903" s="71"/>
      <c r="H903" s="77"/>
      <c r="I903" s="71"/>
      <c r="J903" s="112"/>
      <c r="K903" s="78"/>
      <c r="L903" s="71"/>
      <c r="M903" s="71"/>
      <c r="N903" s="373"/>
      <c r="O903" s="74"/>
      <c r="P903" s="75"/>
      <c r="Z903" s="16"/>
      <c r="AA903" s="16"/>
      <c r="AB903" s="16"/>
    </row>
    <row r="904" spans="2:29" ht="21.75" customHeight="1">
      <c r="B904" s="68"/>
      <c r="C904" s="69"/>
      <c r="D904" s="77"/>
      <c r="E904" s="72"/>
      <c r="F904" s="70"/>
      <c r="G904" s="71"/>
      <c r="H904" s="77"/>
      <c r="I904" s="71"/>
      <c r="J904" s="112"/>
      <c r="K904" s="78"/>
      <c r="L904" s="71"/>
      <c r="M904" s="71"/>
      <c r="N904" s="373"/>
      <c r="O904" s="74"/>
      <c r="P904" s="75"/>
      <c r="Z904" s="16"/>
      <c r="AA904" s="16"/>
      <c r="AB904" s="16"/>
    </row>
    <row r="905" spans="2:29" ht="21" customHeight="1">
      <c r="B905" s="376"/>
      <c r="C905" s="377"/>
      <c r="D905" s="378"/>
      <c r="E905" s="379"/>
      <c r="F905" s="380"/>
      <c r="G905" s="342"/>
      <c r="H905" s="379"/>
      <c r="I905" s="71"/>
      <c r="J905" s="176"/>
      <c r="K905" s="384"/>
      <c r="L905" s="342"/>
      <c r="M905" s="71"/>
      <c r="N905" s="80"/>
      <c r="O905" s="295"/>
      <c r="P905" s="75"/>
      <c r="Z905" s="16"/>
      <c r="AA905" s="16"/>
      <c r="AB905" s="16"/>
    </row>
    <row r="906" spans="2:29" ht="21.75" customHeight="1">
      <c r="B906" s="376"/>
      <c r="C906" s="69"/>
      <c r="D906" s="77"/>
      <c r="E906" s="72"/>
      <c r="F906" s="70"/>
      <c r="G906" s="71"/>
      <c r="H906" s="77"/>
      <c r="I906" s="71"/>
      <c r="J906" s="78"/>
      <c r="K906" s="71"/>
      <c r="L906" s="71"/>
      <c r="M906" s="71"/>
      <c r="N906" s="80"/>
      <c r="O906" s="295"/>
      <c r="P906" s="75"/>
      <c r="Z906" s="16"/>
      <c r="AA906" s="16"/>
      <c r="AB906" s="16"/>
    </row>
    <row r="907" spans="2:29" ht="21.75" customHeight="1">
      <c r="B907" s="376"/>
      <c r="C907" s="377"/>
      <c r="D907" s="378"/>
      <c r="E907" s="379"/>
      <c r="F907" s="380"/>
      <c r="G907" s="342"/>
      <c r="H907" s="369"/>
      <c r="I907" s="342"/>
      <c r="J907" s="343"/>
      <c r="K907" s="342"/>
      <c r="L907" s="342"/>
      <c r="M907" s="71"/>
      <c r="N907" s="381"/>
      <c r="O907" s="295"/>
      <c r="P907" s="75"/>
      <c r="Z907" s="16"/>
      <c r="AA907" s="16"/>
      <c r="AB907" s="16"/>
    </row>
    <row r="908" spans="2:29" ht="21.75" customHeight="1">
      <c r="B908" s="68"/>
      <c r="C908" s="69"/>
      <c r="D908" s="77"/>
      <c r="E908" s="72"/>
      <c r="F908" s="70"/>
      <c r="G908" s="71"/>
      <c r="H908" s="77"/>
      <c r="I908" s="71"/>
      <c r="J908" s="106"/>
      <c r="K908" s="71"/>
      <c r="L908" s="71"/>
      <c r="M908" s="71"/>
      <c r="N908" s="381"/>
      <c r="O908" s="74"/>
      <c r="P908" s="75"/>
      <c r="Z908" s="16"/>
      <c r="AA908" s="16"/>
      <c r="AB908" s="16"/>
    </row>
    <row r="909" spans="2:29" ht="21.75" customHeight="1">
      <c r="B909" s="376"/>
      <c r="C909" s="377"/>
      <c r="D909" s="378"/>
      <c r="E909" s="379"/>
      <c r="F909" s="380"/>
      <c r="G909" s="342"/>
      <c r="H909" s="369"/>
      <c r="I909" s="342"/>
      <c r="J909" s="343"/>
      <c r="K909" s="342"/>
      <c r="L909" s="342"/>
      <c r="M909" s="71"/>
      <c r="N909" s="80"/>
      <c r="O909" s="295"/>
      <c r="P909" s="75"/>
      <c r="Z909" s="16"/>
      <c r="AA909" s="16"/>
      <c r="AB909" s="16"/>
    </row>
    <row r="910" spans="2:29" ht="21.75" customHeight="1">
      <c r="B910" s="376"/>
      <c r="C910" s="69"/>
      <c r="D910" s="77"/>
      <c r="E910" s="72"/>
      <c r="F910" s="70"/>
      <c r="G910" s="342"/>
      <c r="H910" s="369"/>
      <c r="I910" s="71"/>
      <c r="J910" s="374"/>
      <c r="K910" s="73"/>
      <c r="L910" s="71"/>
      <c r="M910" s="71"/>
      <c r="N910" s="381"/>
      <c r="O910" s="295"/>
      <c r="P910" s="75"/>
      <c r="Z910" s="16"/>
      <c r="AA910" s="16"/>
      <c r="AB910" s="16"/>
    </row>
    <row r="911" spans="2:29" s="79" customFormat="1" ht="21.75" customHeight="1">
      <c r="B911" s="68"/>
      <c r="C911" s="69"/>
      <c r="D911" s="77"/>
      <c r="E911" s="72"/>
      <c r="F911" s="70"/>
      <c r="G911" s="71"/>
      <c r="H911" s="72"/>
      <c r="I911" s="71"/>
      <c r="J911" s="19"/>
      <c r="K911" s="73"/>
      <c r="L911" s="71"/>
      <c r="M911" s="71"/>
      <c r="N911" s="381"/>
      <c r="O911" s="74"/>
      <c r="P911" s="75"/>
      <c r="Q911" s="105"/>
      <c r="Y911" s="45"/>
      <c r="AC911" s="45"/>
    </row>
    <row r="912" spans="2:29" ht="21.75" customHeight="1">
      <c r="B912" s="68"/>
      <c r="C912" s="69"/>
      <c r="D912" s="77"/>
      <c r="E912" s="72"/>
      <c r="F912" s="70"/>
      <c r="G912" s="71"/>
      <c r="H912" s="77"/>
      <c r="I912" s="71"/>
      <c r="J912" s="78"/>
      <c r="K912" s="73"/>
      <c r="L912" s="71"/>
      <c r="M912" s="71"/>
      <c r="N912" s="80"/>
      <c r="O912" s="74"/>
      <c r="P912" s="75"/>
      <c r="Z912" s="16"/>
      <c r="AA912" s="16"/>
      <c r="AB912" s="16"/>
    </row>
    <row r="913" spans="2:29" ht="21.75" customHeight="1">
      <c r="B913" s="68"/>
      <c r="C913" s="69"/>
      <c r="D913" s="77"/>
      <c r="E913" s="72"/>
      <c r="F913" s="70"/>
      <c r="G913" s="71"/>
      <c r="H913" s="77"/>
      <c r="I913" s="71"/>
      <c r="J913" s="106"/>
      <c r="K913" s="78"/>
      <c r="L913" s="71"/>
      <c r="M913" s="71"/>
      <c r="N913" s="381"/>
      <c r="O913" s="74"/>
      <c r="P913" s="75"/>
      <c r="Z913" s="16"/>
      <c r="AA913" s="16"/>
      <c r="AB913" s="16"/>
    </row>
    <row r="914" spans="2:29" ht="21.75" customHeight="1">
      <c r="B914" s="68"/>
      <c r="C914" s="69"/>
      <c r="D914" s="77"/>
      <c r="E914" s="72"/>
      <c r="F914" s="70"/>
      <c r="G914" s="71"/>
      <c r="H914" s="72"/>
      <c r="I914" s="71"/>
      <c r="J914" s="106"/>
      <c r="K914" s="73"/>
      <c r="L914" s="71"/>
      <c r="M914" s="71"/>
      <c r="N914" s="381"/>
      <c r="O914" s="74"/>
      <c r="P914" s="75"/>
      <c r="Z914" s="16"/>
      <c r="AA914" s="16"/>
      <c r="AB914" s="16"/>
    </row>
    <row r="915" spans="2:29" ht="21.75" customHeight="1">
      <c r="B915" s="68"/>
      <c r="C915" s="69"/>
      <c r="D915" s="77"/>
      <c r="E915" s="72"/>
      <c r="F915" s="70"/>
      <c r="G915" s="71"/>
      <c r="H915" s="72"/>
      <c r="I915" s="71"/>
      <c r="J915" s="78"/>
      <c r="K915" s="73"/>
      <c r="L915" s="71"/>
      <c r="M915" s="71"/>
      <c r="N915" s="80"/>
      <c r="O915" s="74"/>
      <c r="P915" s="75"/>
      <c r="Q915" s="16"/>
      <c r="Z915" s="16"/>
      <c r="AA915" s="16"/>
      <c r="AB915" s="16"/>
    </row>
    <row r="916" spans="2:29" ht="21.75" customHeight="1">
      <c r="B916" s="68"/>
      <c r="C916" s="69"/>
      <c r="D916" s="77"/>
      <c r="E916" s="72"/>
      <c r="F916" s="70"/>
      <c r="G916" s="71"/>
      <c r="H916" s="77"/>
      <c r="I916" s="71"/>
      <c r="J916" s="112"/>
      <c r="K916" s="78"/>
      <c r="L916" s="71"/>
      <c r="M916" s="71"/>
      <c r="N916" s="80"/>
      <c r="O916" s="74"/>
      <c r="P916" s="75"/>
      <c r="Q916" s="16"/>
      <c r="Z916" s="16"/>
      <c r="AA916" s="16"/>
      <c r="AB916" s="16"/>
    </row>
    <row r="917" spans="2:29" ht="21.75" customHeight="1">
      <c r="B917" s="68"/>
      <c r="C917" s="69"/>
      <c r="D917" s="77"/>
      <c r="E917" s="72"/>
      <c r="F917" s="70"/>
      <c r="G917" s="71"/>
      <c r="H917" s="77"/>
      <c r="I917" s="71"/>
      <c r="J917" s="112"/>
      <c r="K917" s="78"/>
      <c r="L917" s="71"/>
      <c r="M917" s="71"/>
      <c r="N917" s="80"/>
      <c r="O917" s="375"/>
      <c r="P917" s="75"/>
      <c r="Z917" s="16"/>
      <c r="AA917" s="16"/>
      <c r="AB917" s="16"/>
    </row>
    <row r="918" spans="2:29" ht="21.75" customHeight="1">
      <c r="B918" s="68"/>
      <c r="C918" s="69"/>
      <c r="D918" s="77"/>
      <c r="E918" s="72"/>
      <c r="F918" s="70"/>
      <c r="G918" s="71"/>
      <c r="H918" s="77"/>
      <c r="I918" s="71"/>
      <c r="J918" s="112"/>
      <c r="K918" s="78"/>
      <c r="L918" s="71"/>
      <c r="M918" s="71"/>
      <c r="N918" s="80"/>
      <c r="O918" s="375"/>
      <c r="P918" s="75"/>
      <c r="Q918" s="16"/>
      <c r="Z918" s="16"/>
      <c r="AA918" s="16"/>
      <c r="AB918" s="16"/>
    </row>
    <row r="919" spans="2:29" ht="21.75" customHeight="1">
      <c r="B919" s="68"/>
      <c r="C919" s="69"/>
      <c r="D919" s="77"/>
      <c r="E919" s="72"/>
      <c r="F919" s="70"/>
      <c r="G919" s="71"/>
      <c r="H919" s="77"/>
      <c r="I919" s="71"/>
      <c r="J919" s="106"/>
      <c r="K919" s="73"/>
      <c r="L919" s="71"/>
      <c r="M919" s="71"/>
      <c r="N919" s="80"/>
      <c r="O919" s="74"/>
      <c r="P919" s="75"/>
      <c r="Q919" s="16"/>
      <c r="Z919" s="16"/>
      <c r="AA919" s="16"/>
      <c r="AB919" s="16"/>
    </row>
    <row r="920" spans="2:29" ht="21.75" customHeight="1">
      <c r="B920" s="68"/>
      <c r="C920" s="69"/>
      <c r="D920" s="77"/>
      <c r="E920" s="72"/>
      <c r="F920" s="70"/>
      <c r="G920" s="19"/>
      <c r="H920" s="77"/>
      <c r="I920" s="71"/>
      <c r="J920" s="112"/>
      <c r="K920" s="71"/>
      <c r="L920" s="71"/>
      <c r="M920" s="71"/>
      <c r="N920" s="80"/>
      <c r="O920" s="74"/>
      <c r="P920" s="75"/>
      <c r="Z920" s="16"/>
      <c r="AA920" s="16"/>
      <c r="AB920" s="16"/>
    </row>
    <row r="921" spans="2:29" ht="21.75" customHeight="1">
      <c r="B921" s="68"/>
      <c r="C921" s="69"/>
      <c r="D921" s="77"/>
      <c r="E921" s="72"/>
      <c r="F921" s="70"/>
      <c r="G921" s="71"/>
      <c r="H921" s="77"/>
      <c r="I921" s="71"/>
      <c r="J921" s="78"/>
      <c r="K921" s="71"/>
      <c r="L921" s="71"/>
      <c r="M921" s="71"/>
      <c r="N921" s="80"/>
      <c r="O921" s="375"/>
      <c r="P921" s="75"/>
      <c r="Z921" s="16"/>
      <c r="AA921" s="16"/>
      <c r="AB921" s="16"/>
    </row>
    <row r="922" spans="2:29" ht="21.75" customHeight="1">
      <c r="B922" s="17"/>
      <c r="C922" s="18"/>
      <c r="D922" s="77"/>
      <c r="E922" s="72"/>
      <c r="F922" s="70"/>
      <c r="G922" s="19"/>
      <c r="H922" s="369"/>
      <c r="I922" s="71"/>
      <c r="J922" s="112"/>
      <c r="K922" s="19"/>
      <c r="L922" s="71"/>
      <c r="M922" s="71"/>
      <c r="N922" s="80"/>
      <c r="O922" s="74"/>
      <c r="P922" s="75"/>
      <c r="Z922" s="16"/>
      <c r="AA922" s="16"/>
      <c r="AB922" s="16"/>
    </row>
    <row r="923" spans="2:29" ht="21.75" customHeight="1">
      <c r="B923" s="68"/>
      <c r="C923" s="69"/>
      <c r="D923" s="77"/>
      <c r="E923" s="72"/>
      <c r="F923" s="76"/>
      <c r="G923" s="19"/>
      <c r="H923" s="77"/>
      <c r="I923" s="71"/>
      <c r="J923" s="112"/>
      <c r="K923" s="71"/>
      <c r="L923" s="71"/>
      <c r="M923" s="71"/>
      <c r="N923" s="80"/>
      <c r="O923" s="375"/>
      <c r="P923" s="75"/>
      <c r="Z923" s="16"/>
      <c r="AA923" s="16"/>
      <c r="AB923" s="16"/>
    </row>
    <row r="924" spans="2:29" ht="21.75" customHeight="1">
      <c r="B924" s="68"/>
      <c r="C924" s="69"/>
      <c r="D924" s="77"/>
      <c r="E924" s="72"/>
      <c r="F924" s="76"/>
      <c r="G924" s="19"/>
      <c r="H924" s="77"/>
      <c r="I924" s="71"/>
      <c r="J924" s="176"/>
      <c r="K924" s="73"/>
      <c r="L924" s="71"/>
      <c r="M924" s="71"/>
      <c r="N924" s="80"/>
      <c r="O924" s="74"/>
      <c r="P924" s="75"/>
      <c r="Z924" s="16"/>
      <c r="AA924" s="16"/>
      <c r="AB924" s="16"/>
    </row>
    <row r="925" spans="2:29" ht="21.75" customHeight="1">
      <c r="B925" s="68"/>
      <c r="C925" s="69"/>
      <c r="D925" s="77"/>
      <c r="E925" s="72"/>
      <c r="F925" s="70"/>
      <c r="G925" s="71"/>
      <c r="H925" s="77"/>
      <c r="I925" s="71"/>
      <c r="J925" s="78"/>
      <c r="K925" s="71"/>
      <c r="L925" s="71"/>
      <c r="M925" s="71"/>
      <c r="N925" s="80"/>
      <c r="O925" s="74"/>
      <c r="P925" s="75"/>
      <c r="Z925" s="16"/>
      <c r="AA925" s="16"/>
      <c r="AB925" s="16"/>
    </row>
    <row r="926" spans="2:29" ht="21.75" customHeight="1">
      <c r="B926" s="68"/>
      <c r="C926" s="69"/>
      <c r="D926" s="77"/>
      <c r="E926" s="72"/>
      <c r="F926" s="70"/>
      <c r="G926" s="71"/>
      <c r="H926" s="77"/>
      <c r="I926" s="71"/>
      <c r="J926" s="371"/>
      <c r="K926" s="78"/>
      <c r="L926" s="71"/>
      <c r="M926" s="71"/>
      <c r="N926" s="80"/>
      <c r="O926" s="74"/>
      <c r="P926" s="75"/>
      <c r="Z926" s="16"/>
      <c r="AA926" s="16"/>
      <c r="AB926" s="16"/>
    </row>
    <row r="927" spans="2:29" s="79" customFormat="1" ht="21.75" customHeight="1">
      <c r="B927" s="68"/>
      <c r="C927" s="69"/>
      <c r="D927" s="77"/>
      <c r="E927" s="72"/>
      <c r="F927" s="70"/>
      <c r="G927" s="71"/>
      <c r="H927" s="77"/>
      <c r="I927" s="71"/>
      <c r="J927" s="371"/>
      <c r="K927" s="78"/>
      <c r="L927" s="71"/>
      <c r="M927" s="71"/>
      <c r="N927" s="80"/>
      <c r="O927" s="74"/>
      <c r="P927" s="75"/>
      <c r="Y927" s="45"/>
      <c r="AC927" s="45"/>
    </row>
    <row r="928" spans="2:29" ht="21.75" customHeight="1">
      <c r="B928" s="68"/>
      <c r="C928" s="69"/>
      <c r="D928" s="77"/>
      <c r="E928" s="72"/>
      <c r="F928" s="70"/>
      <c r="G928" s="71"/>
      <c r="H928" s="369"/>
      <c r="I928" s="71"/>
      <c r="J928" s="371"/>
      <c r="K928" s="73"/>
      <c r="L928" s="71"/>
      <c r="M928" s="71"/>
      <c r="N928" s="80"/>
      <c r="O928" s="74"/>
      <c r="P928" s="75"/>
      <c r="Z928" s="16"/>
      <c r="AA928" s="16"/>
      <c r="AB928" s="16"/>
    </row>
    <row r="929" spans="2:29" ht="21.75" customHeight="1">
      <c r="B929" s="382"/>
      <c r="C929" s="69"/>
      <c r="D929" s="77"/>
      <c r="E929" s="72"/>
      <c r="F929" s="70"/>
      <c r="G929" s="71"/>
      <c r="H929" s="77"/>
      <c r="I929" s="71"/>
      <c r="J929" s="112"/>
      <c r="K929" s="78"/>
      <c r="L929" s="71"/>
      <c r="M929" s="71"/>
      <c r="N929" s="381"/>
      <c r="O929" s="74"/>
      <c r="P929" s="75"/>
      <c r="Z929" s="16"/>
      <c r="AA929" s="16"/>
      <c r="AB929" s="16"/>
    </row>
    <row r="930" spans="2:29" ht="21.75" customHeight="1">
      <c r="B930" s="68"/>
      <c r="C930" s="69"/>
      <c r="D930" s="77"/>
      <c r="E930" s="72"/>
      <c r="F930" s="70"/>
      <c r="G930" s="71"/>
      <c r="H930" s="77"/>
      <c r="I930" s="71"/>
      <c r="J930" s="112"/>
      <c r="K930" s="78"/>
      <c r="L930" s="71"/>
      <c r="M930" s="71"/>
      <c r="N930" s="80"/>
      <c r="O930" s="74"/>
      <c r="P930" s="75"/>
      <c r="Z930" s="16"/>
      <c r="AA930" s="16"/>
      <c r="AB930" s="16"/>
    </row>
    <row r="931" spans="2:29" ht="21.75" customHeight="1">
      <c r="B931" s="382"/>
      <c r="C931" s="69"/>
      <c r="D931" s="77"/>
      <c r="E931" s="72"/>
      <c r="F931" s="70"/>
      <c r="G931" s="71"/>
      <c r="H931" s="77"/>
      <c r="I931" s="71"/>
      <c r="J931" s="112"/>
      <c r="K931" s="78"/>
      <c r="L931" s="71"/>
      <c r="M931" s="71"/>
      <c r="N931" s="80"/>
      <c r="O931" s="74"/>
      <c r="P931" s="75"/>
      <c r="Z931" s="16"/>
      <c r="AA931" s="16"/>
      <c r="AB931" s="16"/>
    </row>
    <row r="932" spans="2:29" ht="21.75" customHeight="1">
      <c r="B932" s="68"/>
      <c r="C932" s="69"/>
      <c r="D932" s="77"/>
      <c r="E932" s="72"/>
      <c r="F932" s="70"/>
      <c r="G932" s="71"/>
      <c r="H932" s="369"/>
      <c r="I932" s="71"/>
      <c r="J932" s="78"/>
      <c r="K932" s="73"/>
      <c r="L932" s="71"/>
      <c r="M932" s="71"/>
      <c r="N932" s="80"/>
      <c r="O932" s="74"/>
      <c r="P932" s="75"/>
      <c r="Z932" s="16"/>
      <c r="AA932" s="16"/>
      <c r="AB932" s="16"/>
    </row>
    <row r="933" spans="2:29" ht="21.75" customHeight="1">
      <c r="B933" s="68"/>
      <c r="C933" s="69"/>
      <c r="D933" s="77"/>
      <c r="E933" s="72"/>
      <c r="F933" s="70"/>
      <c r="G933" s="19"/>
      <c r="H933" s="369"/>
      <c r="I933" s="71"/>
      <c r="J933" s="112"/>
      <c r="K933" s="112"/>
      <c r="L933" s="71"/>
      <c r="M933" s="71"/>
      <c r="N933" s="80"/>
      <c r="O933" s="74"/>
      <c r="P933" s="75"/>
      <c r="Z933" s="16"/>
      <c r="AA933" s="16"/>
      <c r="AB933" s="16"/>
    </row>
    <row r="934" spans="2:29" ht="21.75" customHeight="1">
      <c r="B934" s="68"/>
      <c r="C934" s="69"/>
      <c r="D934" s="77"/>
      <c r="E934" s="72"/>
      <c r="F934" s="70"/>
      <c r="G934" s="71"/>
      <c r="H934" s="77"/>
      <c r="I934" s="71"/>
      <c r="J934" s="112"/>
      <c r="K934" s="78"/>
      <c r="L934" s="71"/>
      <c r="M934" s="71"/>
      <c r="N934" s="80"/>
      <c r="O934" s="74"/>
      <c r="P934" s="75"/>
      <c r="Z934" s="16"/>
      <c r="AA934" s="16"/>
      <c r="AB934" s="16"/>
    </row>
    <row r="935" spans="2:29" ht="21.75" customHeight="1">
      <c r="B935" s="68"/>
      <c r="C935" s="69"/>
      <c r="D935" s="77"/>
      <c r="E935" s="72"/>
      <c r="F935" s="70"/>
      <c r="G935" s="19"/>
      <c r="H935" s="77"/>
      <c r="I935" s="71"/>
      <c r="J935" s="112"/>
      <c r="K935" s="73"/>
      <c r="L935" s="71"/>
      <c r="M935" s="71"/>
      <c r="N935" s="80"/>
      <c r="O935" s="74"/>
      <c r="P935" s="75"/>
      <c r="Z935" s="16"/>
      <c r="AA935" s="16"/>
      <c r="AB935" s="16"/>
    </row>
    <row r="936" spans="2:29" ht="21.75" customHeight="1">
      <c r="B936" s="68"/>
      <c r="C936" s="69"/>
      <c r="D936" s="77"/>
      <c r="E936" s="72"/>
      <c r="F936" s="76"/>
      <c r="G936" s="71"/>
      <c r="H936" s="72"/>
      <c r="I936" s="71"/>
      <c r="J936" s="78"/>
      <c r="K936" s="73"/>
      <c r="L936" s="71"/>
      <c r="M936" s="71"/>
      <c r="N936" s="80"/>
      <c r="O936" s="74"/>
      <c r="P936" s="75"/>
      <c r="Q936" s="92"/>
      <c r="Z936" s="16"/>
      <c r="AA936" s="16"/>
      <c r="AB936" s="16"/>
    </row>
    <row r="937" spans="2:29" ht="21.75" customHeight="1">
      <c r="B937" s="68"/>
      <c r="C937" s="69"/>
      <c r="D937" s="77"/>
      <c r="E937" s="72"/>
      <c r="F937" s="70"/>
      <c r="G937" s="71"/>
      <c r="H937" s="77"/>
      <c r="I937" s="71"/>
      <c r="J937" s="78"/>
      <c r="K937" s="73"/>
      <c r="L937" s="71"/>
      <c r="M937" s="71"/>
      <c r="N937" s="80"/>
      <c r="O937" s="74"/>
      <c r="P937" s="75"/>
      <c r="Z937" s="16"/>
      <c r="AA937" s="16"/>
      <c r="AB937" s="16"/>
    </row>
    <row r="938" spans="2:29" ht="21.75" customHeight="1">
      <c r="B938" s="68"/>
      <c r="C938" s="69"/>
      <c r="D938" s="77"/>
      <c r="E938" s="72"/>
      <c r="F938" s="70"/>
      <c r="G938" s="71"/>
      <c r="H938" s="77"/>
      <c r="I938" s="71"/>
      <c r="J938" s="78"/>
      <c r="K938" s="71"/>
      <c r="L938" s="71"/>
      <c r="M938" s="71"/>
      <c r="N938" s="80"/>
      <c r="O938" s="74"/>
      <c r="P938" s="75"/>
      <c r="Z938" s="16"/>
      <c r="AA938" s="16"/>
      <c r="AB938" s="16"/>
    </row>
    <row r="939" spans="2:29" s="341" customFormat="1" ht="21.75" customHeight="1">
      <c r="B939" s="68"/>
      <c r="C939" s="69"/>
      <c r="D939" s="77"/>
      <c r="E939" s="72"/>
      <c r="F939" s="70"/>
      <c r="G939" s="71"/>
      <c r="H939" s="77"/>
      <c r="I939" s="71"/>
      <c r="J939" s="112"/>
      <c r="K939" s="78"/>
      <c r="L939" s="71"/>
      <c r="M939" s="71"/>
      <c r="N939" s="80"/>
      <c r="O939" s="375"/>
      <c r="P939" s="296"/>
      <c r="Q939" s="92"/>
      <c r="R939"/>
      <c r="S939"/>
      <c r="T939"/>
      <c r="U939"/>
      <c r="V939"/>
      <c r="W939"/>
      <c r="X939"/>
      <c r="Y939" s="45"/>
      <c r="AC939" s="45"/>
    </row>
    <row r="940" spans="2:29" ht="21.75" customHeight="1">
      <c r="B940" s="68"/>
      <c r="C940" s="69"/>
      <c r="D940" s="77"/>
      <c r="E940" s="72"/>
      <c r="F940" s="70"/>
      <c r="G940" s="71"/>
      <c r="H940" s="77"/>
      <c r="I940" s="71"/>
      <c r="J940" s="106"/>
      <c r="K940" s="78"/>
      <c r="L940" s="71"/>
      <c r="M940" s="71"/>
      <c r="N940" s="80"/>
      <c r="O940" s="74"/>
      <c r="P940" s="75"/>
      <c r="Z940" s="16"/>
      <c r="AA940" s="16"/>
      <c r="AB940" s="16"/>
    </row>
    <row r="941" spans="2:29" s="341" customFormat="1" ht="21.75" customHeight="1">
      <c r="B941" s="68"/>
      <c r="C941" s="69"/>
      <c r="D941" s="77"/>
      <c r="E941" s="72"/>
      <c r="F941" s="70"/>
      <c r="G941" s="71"/>
      <c r="H941" s="77"/>
      <c r="I941" s="71"/>
      <c r="J941" s="71"/>
      <c r="K941" s="71"/>
      <c r="L941" s="71"/>
      <c r="M941" s="71"/>
      <c r="N941" s="80"/>
      <c r="O941" s="74"/>
      <c r="P941" s="296"/>
      <c r="Q941"/>
      <c r="R941"/>
      <c r="S941"/>
      <c r="T941"/>
      <c r="U941"/>
      <c r="V941"/>
      <c r="W941"/>
      <c r="X941"/>
      <c r="Y941" s="45"/>
      <c r="AC941" s="45"/>
    </row>
    <row r="942" spans="2:29" ht="21.75" customHeight="1">
      <c r="B942" s="68"/>
      <c r="C942" s="69"/>
      <c r="D942" s="77"/>
      <c r="E942" s="72"/>
      <c r="F942" s="70"/>
      <c r="G942" s="19"/>
      <c r="H942" s="369"/>
      <c r="I942" s="71"/>
      <c r="J942" s="112"/>
      <c r="K942" s="112"/>
      <c r="L942" s="71"/>
      <c r="M942" s="71"/>
      <c r="N942" s="80"/>
      <c r="O942" s="74"/>
      <c r="P942" s="75"/>
      <c r="Z942" s="16"/>
      <c r="AA942" s="16"/>
      <c r="AB942" s="16"/>
    </row>
    <row r="943" spans="2:29" ht="21.75" customHeight="1">
      <c r="B943" s="68"/>
      <c r="C943" s="69"/>
      <c r="D943" s="77"/>
      <c r="E943" s="72"/>
      <c r="F943" s="70"/>
      <c r="G943" s="71"/>
      <c r="H943" s="77"/>
      <c r="I943" s="71"/>
      <c r="J943" s="112"/>
      <c r="K943" s="78"/>
      <c r="L943" s="71"/>
      <c r="M943" s="71"/>
      <c r="N943" s="80"/>
      <c r="O943" s="375"/>
      <c r="P943" s="75"/>
      <c r="Z943" s="16"/>
      <c r="AA943" s="16"/>
      <c r="AB943" s="16"/>
    </row>
    <row r="944" spans="2:29" ht="21.75" customHeight="1">
      <c r="B944" s="68"/>
      <c r="C944" s="69"/>
      <c r="D944" s="77"/>
      <c r="E944" s="72"/>
      <c r="F944" s="70"/>
      <c r="G944" s="71"/>
      <c r="H944" s="77"/>
      <c r="I944" s="71"/>
      <c r="J944" s="112"/>
      <c r="K944" s="78"/>
      <c r="L944" s="71"/>
      <c r="M944" s="71"/>
      <c r="N944" s="80"/>
      <c r="O944" s="375"/>
      <c r="P944" s="75"/>
      <c r="Z944" s="16"/>
      <c r="AA944" s="16"/>
      <c r="AB944" s="16"/>
    </row>
    <row r="945" spans="2:28" ht="21.75" customHeight="1">
      <c r="B945" s="68"/>
      <c r="C945" s="69"/>
      <c r="D945" s="77"/>
      <c r="E945" s="72"/>
      <c r="F945" s="70"/>
      <c r="G945" s="71"/>
      <c r="H945" s="369"/>
      <c r="I945" s="71"/>
      <c r="J945" s="112"/>
      <c r="K945" s="343"/>
      <c r="L945" s="71"/>
      <c r="M945" s="71"/>
      <c r="N945" s="381"/>
      <c r="O945" s="74"/>
      <c r="P945" s="75"/>
      <c r="Z945" s="16"/>
      <c r="AA945" s="16"/>
      <c r="AB945" s="16"/>
    </row>
    <row r="946" spans="2:28" ht="21.75" customHeight="1">
      <c r="B946" s="68"/>
      <c r="C946" s="69"/>
      <c r="D946" s="77"/>
      <c r="E946" s="72"/>
      <c r="F946" s="70"/>
      <c r="G946" s="71"/>
      <c r="H946" s="77"/>
      <c r="I946" s="71"/>
      <c r="J946" s="112"/>
      <c r="K946" s="78"/>
      <c r="L946" s="71"/>
      <c r="M946" s="71"/>
      <c r="N946" s="80"/>
      <c r="O946" s="375"/>
      <c r="P946" s="75"/>
      <c r="Z946" s="16"/>
      <c r="AA946" s="16"/>
      <c r="AB946" s="16"/>
    </row>
    <row r="947" spans="2:28" ht="21.75" customHeight="1">
      <c r="B947" s="68"/>
      <c r="C947" s="69"/>
      <c r="D947" s="77"/>
      <c r="E947" s="72"/>
      <c r="F947" s="70"/>
      <c r="G947" s="71"/>
      <c r="H947" s="72"/>
      <c r="I947" s="71"/>
      <c r="J947" s="78"/>
      <c r="K947" s="73"/>
      <c r="L947" s="71"/>
      <c r="M947" s="71"/>
      <c r="N947" s="80"/>
      <c r="O947" s="74"/>
      <c r="P947" s="75"/>
      <c r="Z947" s="16"/>
      <c r="AA947" s="16"/>
      <c r="AB947" s="16"/>
    </row>
    <row r="948" spans="2:28" ht="22.5" customHeight="1">
      <c r="B948" s="68"/>
      <c r="C948" s="69"/>
      <c r="D948" s="77"/>
      <c r="E948" s="72"/>
      <c r="F948" s="70"/>
      <c r="G948" s="19"/>
      <c r="H948" s="77"/>
      <c r="I948" s="71"/>
      <c r="J948" s="112"/>
      <c r="K948" s="71"/>
      <c r="L948" s="71"/>
      <c r="M948" s="71"/>
      <c r="N948" s="80"/>
      <c r="O948" s="74"/>
      <c r="P948" s="75"/>
      <c r="Z948" s="16"/>
      <c r="AA948" s="16"/>
      <c r="AB948" s="16"/>
    </row>
    <row r="949" spans="2:28" ht="22.5" customHeight="1">
      <c r="B949" s="68"/>
      <c r="C949" s="69"/>
      <c r="D949" s="77"/>
      <c r="E949" s="72"/>
      <c r="F949" s="70"/>
      <c r="G949" s="71"/>
      <c r="H949" s="77"/>
      <c r="I949" s="71"/>
      <c r="J949" s="106"/>
      <c r="K949" s="71"/>
      <c r="L949" s="71"/>
      <c r="M949" s="71"/>
      <c r="N949" s="80"/>
      <c r="O949" s="74"/>
      <c r="P949" s="75"/>
      <c r="Z949" s="16"/>
      <c r="AA949" s="16"/>
      <c r="AB949" s="16"/>
    </row>
    <row r="950" spans="2:28" ht="21.75" customHeight="1">
      <c r="B950" s="68"/>
      <c r="C950" s="69"/>
      <c r="D950" s="77"/>
      <c r="E950" s="72"/>
      <c r="F950" s="70"/>
      <c r="G950" s="71"/>
      <c r="H950" s="77"/>
      <c r="I950" s="71"/>
      <c r="J950" s="371"/>
      <c r="K950" s="71"/>
      <c r="L950" s="71"/>
      <c r="M950" s="71"/>
      <c r="N950" s="80"/>
      <c r="O950" s="74"/>
      <c r="P950" s="75"/>
      <c r="Z950" s="16"/>
      <c r="AA950" s="16"/>
      <c r="AB950" s="16"/>
    </row>
    <row r="951" spans="2:28" ht="21.75" customHeight="1">
      <c r="B951" s="68"/>
      <c r="C951" s="69"/>
      <c r="D951" s="77"/>
      <c r="E951" s="72"/>
      <c r="F951" s="70"/>
      <c r="G951" s="71"/>
      <c r="H951" s="77"/>
      <c r="I951" s="71"/>
      <c r="J951" s="106"/>
      <c r="K951" s="71"/>
      <c r="L951" s="71"/>
      <c r="M951" s="71"/>
      <c r="N951" s="80"/>
      <c r="O951" s="74"/>
      <c r="P951" s="75"/>
      <c r="Z951" s="16"/>
      <c r="AA951" s="16"/>
      <c r="AB951" s="16"/>
    </row>
    <row r="952" spans="2:28" ht="21.75" customHeight="1">
      <c r="B952" s="68"/>
      <c r="C952" s="69"/>
      <c r="D952" s="77"/>
      <c r="E952" s="72"/>
      <c r="F952" s="70"/>
      <c r="G952" s="71"/>
      <c r="H952" s="77"/>
      <c r="I952" s="71"/>
      <c r="J952" s="112"/>
      <c r="K952" s="78"/>
      <c r="L952" s="71"/>
      <c r="M952" s="71"/>
      <c r="N952" s="80"/>
      <c r="O952" s="375"/>
      <c r="P952" s="75"/>
      <c r="Z952" s="16"/>
      <c r="AA952" s="16"/>
      <c r="AB952" s="16"/>
    </row>
    <row r="953" spans="2:28" ht="21.75" customHeight="1">
      <c r="B953" s="68"/>
      <c r="C953" s="69"/>
      <c r="D953" s="77"/>
      <c r="E953" s="72"/>
      <c r="F953" s="70"/>
      <c r="G953" s="71"/>
      <c r="H953" s="77"/>
      <c r="I953" s="71"/>
      <c r="J953" s="372"/>
      <c r="K953" s="71"/>
      <c r="L953" s="71"/>
      <c r="M953" s="71"/>
      <c r="N953" s="80"/>
      <c r="O953" s="375"/>
      <c r="P953" s="75"/>
      <c r="Z953" s="16"/>
      <c r="AA953" s="16"/>
      <c r="AB953" s="16"/>
    </row>
    <row r="954" spans="2:28" ht="21.75" customHeight="1">
      <c r="B954" s="68"/>
      <c r="C954" s="69"/>
      <c r="D954" s="77"/>
      <c r="E954" s="72"/>
      <c r="F954" s="70"/>
      <c r="G954" s="19"/>
      <c r="H954" s="369"/>
      <c r="I954" s="71"/>
      <c r="J954" s="175"/>
      <c r="K954" s="112"/>
      <c r="L954" s="71"/>
      <c r="M954" s="71"/>
      <c r="N954" s="80"/>
      <c r="O954" s="74"/>
      <c r="P954" s="75"/>
      <c r="Z954" s="16"/>
      <c r="AA954" s="16"/>
      <c r="AB954" s="16"/>
    </row>
    <row r="955" spans="2:28" ht="21.75" customHeight="1">
      <c r="B955" s="68"/>
      <c r="C955" s="69"/>
      <c r="D955" s="77"/>
      <c r="E955" s="72"/>
      <c r="F955" s="70"/>
      <c r="G955" s="71"/>
      <c r="H955" s="72"/>
      <c r="I955" s="71"/>
      <c r="J955" s="106"/>
      <c r="K955" s="73"/>
      <c r="L955" s="71"/>
      <c r="M955" s="71"/>
      <c r="N955" s="80"/>
      <c r="O955" s="74"/>
      <c r="P955" s="75"/>
      <c r="Q955" s="308"/>
      <c r="Z955" s="16"/>
      <c r="AA955" s="16"/>
      <c r="AB955" s="16"/>
    </row>
    <row r="956" spans="2:28" ht="21.75" customHeight="1">
      <c r="B956" s="68"/>
      <c r="C956" s="69"/>
      <c r="D956" s="77"/>
      <c r="E956" s="72"/>
      <c r="F956" s="70"/>
      <c r="G956" s="71"/>
      <c r="H956" s="77"/>
      <c r="I956" s="71"/>
      <c r="J956" s="112"/>
      <c r="K956" s="78"/>
      <c r="L956" s="71"/>
      <c r="M956" s="71"/>
      <c r="N956" s="80"/>
      <c r="O956" s="375"/>
      <c r="P956" s="75"/>
      <c r="Q956" s="92"/>
      <c r="Z956" s="16"/>
      <c r="AA956" s="16"/>
      <c r="AB956" s="16"/>
    </row>
    <row r="957" spans="2:28" ht="21.75" customHeight="1">
      <c r="B957" s="68"/>
      <c r="C957" s="69"/>
      <c r="D957" s="77"/>
      <c r="E957" s="72"/>
      <c r="F957" s="70"/>
      <c r="G957" s="71"/>
      <c r="H957" s="77"/>
      <c r="I957" s="71"/>
      <c r="J957" s="112"/>
      <c r="K957" s="78"/>
      <c r="L957" s="71"/>
      <c r="M957" s="71"/>
      <c r="N957" s="80"/>
      <c r="O957" s="74"/>
      <c r="P957" s="75"/>
      <c r="Q957" s="308"/>
      <c r="Z957" s="16"/>
      <c r="AA957" s="16"/>
      <c r="AB957" s="16"/>
    </row>
    <row r="958" spans="2:28" ht="21.75" customHeight="1">
      <c r="B958" s="68"/>
      <c r="C958" s="69"/>
      <c r="D958" s="77"/>
      <c r="E958" s="72"/>
      <c r="F958" s="70"/>
      <c r="G958" s="19"/>
      <c r="H958" s="369"/>
      <c r="I958" s="71"/>
      <c r="J958" s="175"/>
      <c r="K958" s="112"/>
      <c r="L958" s="71"/>
      <c r="M958" s="71"/>
      <c r="N958" s="80"/>
      <c r="O958" s="375"/>
      <c r="P958" s="75"/>
      <c r="Z958" s="16"/>
      <c r="AA958" s="16"/>
      <c r="AB958" s="16"/>
    </row>
    <row r="959" spans="2:28" ht="21.75" customHeight="1">
      <c r="B959" s="68"/>
      <c r="C959" s="69"/>
      <c r="D959" s="77"/>
      <c r="E959" s="72"/>
      <c r="F959" s="70"/>
      <c r="G959" s="19"/>
      <c r="H959" s="77"/>
      <c r="I959" s="71"/>
      <c r="J959" s="112"/>
      <c r="K959" s="73"/>
      <c r="L959" s="71"/>
      <c r="M959" s="71"/>
      <c r="N959" s="80"/>
      <c r="O959" s="375"/>
      <c r="P959" s="75"/>
      <c r="Z959" s="16"/>
      <c r="AA959" s="16"/>
      <c r="AB959" s="16"/>
    </row>
    <row r="960" spans="2:28" ht="21.75" customHeight="1">
      <c r="B960" s="68"/>
      <c r="C960" s="69"/>
      <c r="D960" s="77"/>
      <c r="E960" s="72"/>
      <c r="F960" s="70"/>
      <c r="G960" s="19"/>
      <c r="H960" s="77"/>
      <c r="I960" s="71"/>
      <c r="J960" s="112"/>
      <c r="K960" s="71"/>
      <c r="L960" s="71"/>
      <c r="M960" s="71"/>
      <c r="N960" s="80"/>
      <c r="O960" s="74"/>
      <c r="P960" s="75"/>
      <c r="Z960" s="16"/>
      <c r="AA960" s="16"/>
      <c r="AB960" s="16"/>
    </row>
    <row r="961" spans="2:28" ht="21.75" customHeight="1">
      <c r="B961" s="68"/>
      <c r="C961" s="69"/>
      <c r="D961" s="77"/>
      <c r="E961" s="72"/>
      <c r="F961" s="70"/>
      <c r="G961" s="71"/>
      <c r="H961" s="77"/>
      <c r="I961" s="71"/>
      <c r="J961" s="106"/>
      <c r="K961" s="71"/>
      <c r="L961" s="71"/>
      <c r="M961" s="71"/>
      <c r="N961" s="80"/>
      <c r="O961" s="74"/>
      <c r="P961" s="75"/>
      <c r="Z961" s="16"/>
      <c r="AA961" s="16"/>
      <c r="AB961" s="16"/>
    </row>
    <row r="962" spans="2:28" ht="21.75" customHeight="1">
      <c r="B962" s="68"/>
      <c r="C962" s="69"/>
      <c r="D962" s="77"/>
      <c r="E962" s="72"/>
      <c r="F962" s="70"/>
      <c r="G962" s="19"/>
      <c r="H962" s="77"/>
      <c r="I962" s="342"/>
      <c r="J962" s="112"/>
      <c r="K962" s="73"/>
      <c r="L962" s="71"/>
      <c r="M962" s="71"/>
      <c r="N962" s="80"/>
      <c r="O962" s="74"/>
      <c r="Z962" s="16"/>
      <c r="AA962" s="16"/>
      <c r="AB962" s="16"/>
    </row>
    <row r="963" spans="2:28" ht="21.75" customHeight="1">
      <c r="B963" s="68"/>
      <c r="C963" s="69"/>
      <c r="D963" s="77"/>
      <c r="E963" s="72"/>
      <c r="F963" s="70"/>
      <c r="G963" s="19"/>
      <c r="H963" s="369"/>
      <c r="I963" s="71"/>
      <c r="J963" s="112"/>
      <c r="K963" s="112"/>
      <c r="L963" s="71"/>
      <c r="M963" s="71"/>
      <c r="N963" s="80"/>
      <c r="O963" s="375"/>
      <c r="P963" s="75"/>
      <c r="Z963" s="16"/>
      <c r="AA963" s="16"/>
      <c r="AB963" s="16"/>
    </row>
    <row r="964" spans="2:28" ht="21.75" customHeight="1">
      <c r="B964" s="68"/>
      <c r="C964" s="69"/>
      <c r="D964" s="77"/>
      <c r="E964" s="72"/>
      <c r="F964" s="70"/>
      <c r="G964" s="71"/>
      <c r="H964" s="72"/>
      <c r="I964" s="71"/>
      <c r="J964" s="19"/>
      <c r="K964" s="73"/>
      <c r="L964" s="71"/>
      <c r="M964" s="71"/>
      <c r="N964" s="80"/>
      <c r="O964" s="74"/>
      <c r="P964" s="75"/>
      <c r="Z964" s="16"/>
      <c r="AA964" s="16"/>
      <c r="AB964" s="16"/>
    </row>
    <row r="965" spans="2:28" ht="21.75" customHeight="1">
      <c r="B965" s="68"/>
      <c r="C965" s="69"/>
      <c r="D965" s="77"/>
      <c r="E965" s="72"/>
      <c r="F965" s="70"/>
      <c r="G965" s="71"/>
      <c r="H965" s="72"/>
      <c r="I965" s="71"/>
      <c r="J965" s="112"/>
      <c r="K965" s="78"/>
      <c r="L965" s="71"/>
      <c r="M965" s="71"/>
      <c r="N965" s="373"/>
      <c r="O965" s="74"/>
      <c r="P965" s="75"/>
      <c r="Z965" s="16"/>
      <c r="AA965" s="16"/>
      <c r="AB965" s="16"/>
    </row>
    <row r="966" spans="2:28" ht="21.75" customHeight="1">
      <c r="B966" s="68"/>
      <c r="C966" s="69"/>
      <c r="D966" s="77"/>
      <c r="E966" s="72"/>
      <c r="F966" s="70"/>
      <c r="G966" s="71"/>
      <c r="H966" s="72"/>
      <c r="I966" s="71"/>
      <c r="J966" s="112"/>
      <c r="K966" s="78"/>
      <c r="L966" s="71"/>
      <c r="M966" s="71"/>
      <c r="N966" s="373"/>
      <c r="O966" s="74"/>
      <c r="P966" s="75"/>
      <c r="Z966" s="16"/>
      <c r="AA966" s="16"/>
      <c r="AB966" s="16"/>
    </row>
    <row r="967" spans="2:28" ht="21.75" customHeight="1">
      <c r="B967" s="68"/>
      <c r="C967" s="69"/>
      <c r="D967" s="77"/>
      <c r="E967" s="72"/>
      <c r="F967" s="70"/>
      <c r="G967" s="71"/>
      <c r="H967" s="77"/>
      <c r="I967" s="71"/>
      <c r="J967" s="112"/>
      <c r="K967" s="78"/>
      <c r="L967" s="71"/>
      <c r="M967" s="71"/>
      <c r="N967" s="381"/>
      <c r="O967" s="74"/>
      <c r="P967" s="75"/>
      <c r="Z967" s="16"/>
      <c r="AA967" s="16"/>
      <c r="AB967" s="16"/>
    </row>
    <row r="968" spans="2:28" ht="21.75" customHeight="1">
      <c r="B968" s="68"/>
      <c r="C968" s="69"/>
      <c r="D968" s="77"/>
      <c r="E968" s="72"/>
      <c r="F968" s="70"/>
      <c r="G968" s="71"/>
      <c r="H968" s="72"/>
      <c r="I968" s="71"/>
      <c r="J968" s="106"/>
      <c r="K968" s="73"/>
      <c r="L968" s="71"/>
      <c r="M968" s="71"/>
      <c r="N968" s="80"/>
      <c r="O968" s="74"/>
      <c r="P968" s="75"/>
      <c r="Z968" s="16"/>
      <c r="AA968" s="16"/>
      <c r="AB968" s="16"/>
    </row>
    <row r="969" spans="2:28" ht="21.75" customHeight="1">
      <c r="B969" s="376"/>
      <c r="C969" s="377"/>
      <c r="D969" s="378"/>
      <c r="E969" s="379"/>
      <c r="F969" s="380"/>
      <c r="G969" s="342"/>
      <c r="H969" s="378"/>
      <c r="I969" s="342"/>
      <c r="J969" s="112"/>
      <c r="K969" s="343"/>
      <c r="L969" s="342"/>
      <c r="M969" s="71"/>
      <c r="N969" s="381"/>
      <c r="O969" s="295"/>
      <c r="P969" s="75"/>
      <c r="Q969" s="16"/>
      <c r="Z969" s="16"/>
      <c r="AA969" s="16"/>
      <c r="AB969" s="16"/>
    </row>
    <row r="970" spans="2:28" ht="21.75" customHeight="1">
      <c r="B970" s="68"/>
      <c r="C970" s="69"/>
      <c r="D970" s="77"/>
      <c r="E970" s="72"/>
      <c r="F970" s="70"/>
      <c r="G970" s="71"/>
      <c r="H970" s="369"/>
      <c r="I970" s="71"/>
      <c r="J970" s="112"/>
      <c r="K970" s="343"/>
      <c r="L970" s="71"/>
      <c r="M970" s="71"/>
      <c r="N970" s="381"/>
      <c r="O970" s="74"/>
      <c r="P970" s="75"/>
      <c r="Z970" s="16"/>
      <c r="AA970" s="16"/>
      <c r="AB970" s="16"/>
    </row>
    <row r="971" spans="2:28" ht="21.75" customHeight="1">
      <c r="B971" s="68"/>
      <c r="C971" s="69"/>
      <c r="D971" s="77"/>
      <c r="E971" s="72"/>
      <c r="F971" s="70"/>
      <c r="G971" s="71"/>
      <c r="H971" s="77"/>
      <c r="I971" s="71"/>
      <c r="J971" s="112"/>
      <c r="K971" s="78"/>
      <c r="L971" s="71"/>
      <c r="M971" s="71"/>
      <c r="N971" s="373"/>
      <c r="O971" s="74"/>
      <c r="P971" s="75"/>
      <c r="Z971" s="16"/>
      <c r="AA971" s="16"/>
      <c r="AB971" s="16"/>
    </row>
    <row r="972" spans="2:28" ht="21.75" customHeight="1">
      <c r="B972" s="68"/>
      <c r="C972" s="69"/>
      <c r="D972" s="77"/>
      <c r="E972" s="72"/>
      <c r="F972" s="70"/>
      <c r="G972" s="71"/>
      <c r="H972" s="77"/>
      <c r="I972" s="71"/>
      <c r="J972" s="112"/>
      <c r="K972" s="78"/>
      <c r="L972" s="71"/>
      <c r="M972" s="71"/>
      <c r="N972" s="80"/>
      <c r="O972" s="375"/>
      <c r="P972" s="75"/>
      <c r="Z972" s="16"/>
      <c r="AA972" s="16"/>
      <c r="AB972" s="16"/>
    </row>
    <row r="973" spans="2:28" ht="21.75" customHeight="1">
      <c r="B973" s="68"/>
      <c r="C973" s="69"/>
      <c r="D973" s="77"/>
      <c r="E973" s="72"/>
      <c r="F973" s="70"/>
      <c r="G973" s="71"/>
      <c r="H973" s="77"/>
      <c r="I973" s="71"/>
      <c r="J973" s="112"/>
      <c r="K973" s="78"/>
      <c r="L973" s="71"/>
      <c r="M973" s="71"/>
      <c r="N973" s="80"/>
      <c r="O973" s="375"/>
      <c r="P973" s="75"/>
      <c r="Z973" s="16"/>
      <c r="AA973" s="16"/>
      <c r="AB973" s="16"/>
    </row>
    <row r="974" spans="2:28" ht="21.75" customHeight="1">
      <c r="B974" s="68"/>
      <c r="C974" s="69"/>
      <c r="D974" s="77"/>
      <c r="E974" s="72"/>
      <c r="F974" s="70"/>
      <c r="G974" s="71"/>
      <c r="H974" s="72"/>
      <c r="I974" s="71"/>
      <c r="J974" s="19"/>
      <c r="K974" s="73"/>
      <c r="L974" s="71"/>
      <c r="M974" s="71"/>
      <c r="N974" s="80"/>
      <c r="O974" s="74"/>
      <c r="P974" s="75"/>
      <c r="Z974" s="16"/>
      <c r="AA974" s="16"/>
      <c r="AB974" s="16"/>
    </row>
    <row r="975" spans="2:28" ht="21.75" customHeight="1">
      <c r="B975" s="68"/>
      <c r="C975" s="69"/>
      <c r="D975" s="77"/>
      <c r="E975" s="72"/>
      <c r="F975" s="70"/>
      <c r="G975" s="71"/>
      <c r="H975" s="72"/>
      <c r="I975" s="71"/>
      <c r="J975" s="78"/>
      <c r="K975" s="73"/>
      <c r="L975" s="71"/>
      <c r="M975" s="71"/>
      <c r="N975" s="80"/>
      <c r="O975" s="74"/>
      <c r="P975" s="75"/>
      <c r="Z975" s="16"/>
      <c r="AA975" s="16"/>
      <c r="AB975" s="16"/>
    </row>
    <row r="976" spans="2:28" ht="21.75" customHeight="1">
      <c r="B976" s="68"/>
      <c r="C976" s="69"/>
      <c r="D976" s="77"/>
      <c r="E976" s="72"/>
      <c r="F976" s="70"/>
      <c r="G976" s="71"/>
      <c r="H976" s="72"/>
      <c r="I976" s="71"/>
      <c r="J976" s="78"/>
      <c r="K976" s="73"/>
      <c r="L976" s="71"/>
      <c r="M976" s="71"/>
      <c r="N976" s="80"/>
      <c r="O976" s="74"/>
      <c r="P976" s="75"/>
      <c r="Z976" s="16"/>
      <c r="AA976" s="16"/>
      <c r="AB976" s="16"/>
    </row>
    <row r="977" spans="2:29" ht="21.75" customHeight="1">
      <c r="B977" s="68"/>
      <c r="C977" s="69"/>
      <c r="D977" s="77"/>
      <c r="E977" s="72"/>
      <c r="F977" s="70"/>
      <c r="G977" s="71"/>
      <c r="H977" s="77"/>
      <c r="I977" s="71"/>
      <c r="J977" s="112"/>
      <c r="K977" s="78"/>
      <c r="L977" s="71"/>
      <c r="M977" s="71"/>
      <c r="N977" s="386"/>
      <c r="O977" s="74"/>
      <c r="P977" s="75"/>
      <c r="Z977" s="16"/>
      <c r="AA977" s="16"/>
      <c r="AB977" s="16"/>
    </row>
    <row r="978" spans="2:29" ht="21.75" customHeight="1">
      <c r="B978" s="68"/>
      <c r="C978" s="69"/>
      <c r="D978" s="77"/>
      <c r="E978" s="72"/>
      <c r="F978" s="70"/>
      <c r="G978" s="71"/>
      <c r="H978" s="77"/>
      <c r="I978" s="71"/>
      <c r="J978" s="106"/>
      <c r="K978" s="71"/>
      <c r="L978" s="71"/>
      <c r="M978" s="71"/>
      <c r="N978" s="80"/>
      <c r="O978" s="74"/>
      <c r="P978" s="75"/>
      <c r="Z978" s="16"/>
      <c r="AA978" s="16"/>
      <c r="AB978" s="16"/>
    </row>
    <row r="979" spans="2:29" ht="21.75" customHeight="1">
      <c r="B979" s="68"/>
      <c r="C979" s="69"/>
      <c r="D979" s="77"/>
      <c r="E979" s="72"/>
      <c r="F979" s="70"/>
      <c r="G979" s="19"/>
      <c r="H979" s="77"/>
      <c r="I979" s="71"/>
      <c r="J979" s="371"/>
      <c r="K979" s="71"/>
      <c r="L979" s="71"/>
      <c r="M979" s="71"/>
      <c r="N979" s="80"/>
      <c r="O979" s="74"/>
      <c r="P979" s="75"/>
      <c r="Z979" s="16"/>
      <c r="AA979" s="16"/>
      <c r="AB979" s="16"/>
    </row>
    <row r="980" spans="2:29" ht="21.75" customHeight="1">
      <c r="B980" s="68"/>
      <c r="C980" s="69"/>
      <c r="D980" s="77"/>
      <c r="E980" s="72"/>
      <c r="F980" s="70"/>
      <c r="G980" s="71"/>
      <c r="H980" s="77"/>
      <c r="I980" s="71"/>
      <c r="J980" s="112"/>
      <c r="K980" s="78"/>
      <c r="L980" s="71"/>
      <c r="M980" s="71"/>
      <c r="N980" s="80"/>
      <c r="O980" s="74"/>
      <c r="P980" s="75"/>
      <c r="Z980" s="16"/>
      <c r="AA980" s="16"/>
      <c r="AB980" s="16"/>
    </row>
    <row r="981" spans="2:29" ht="21.75" customHeight="1">
      <c r="B981" s="68"/>
      <c r="C981" s="69"/>
      <c r="D981" s="77"/>
      <c r="E981" s="72"/>
      <c r="F981" s="70"/>
      <c r="G981" s="71"/>
      <c r="H981" s="369"/>
      <c r="I981" s="71"/>
      <c r="J981" s="383"/>
      <c r="K981" s="73"/>
      <c r="L981" s="71"/>
      <c r="M981" s="71"/>
      <c r="N981" s="80"/>
      <c r="O981" s="74"/>
      <c r="P981" s="75"/>
      <c r="Z981" s="16"/>
      <c r="AA981" s="16"/>
      <c r="AB981" s="16"/>
    </row>
    <row r="982" spans="2:29" s="79" customFormat="1" ht="21.75" customHeight="1">
      <c r="B982" s="376"/>
      <c r="C982" s="377"/>
      <c r="D982" s="378"/>
      <c r="E982" s="379"/>
      <c r="F982" s="380"/>
      <c r="G982" s="342"/>
      <c r="H982" s="379"/>
      <c r="I982" s="71"/>
      <c r="J982" s="176"/>
      <c r="K982" s="384"/>
      <c r="L982" s="342"/>
      <c r="M982" s="71"/>
      <c r="N982" s="80"/>
      <c r="O982" s="74"/>
      <c r="P982" s="75"/>
      <c r="Y982" s="45"/>
      <c r="AC982" s="45"/>
    </row>
    <row r="983" spans="2:29" ht="21.75" customHeight="1">
      <c r="B983" s="68"/>
      <c r="C983" s="69"/>
      <c r="D983" s="77"/>
      <c r="E983" s="72"/>
      <c r="F983" s="70"/>
      <c r="G983" s="71"/>
      <c r="H983" s="77"/>
      <c r="I983" s="71"/>
      <c r="J983" s="112"/>
      <c r="K983" s="78"/>
      <c r="L983" s="71"/>
      <c r="M983" s="71"/>
      <c r="N983" s="80"/>
      <c r="O983" s="74"/>
      <c r="P983" s="75"/>
      <c r="Z983" s="16"/>
      <c r="AA983" s="16"/>
      <c r="AB983" s="16"/>
    </row>
    <row r="984" spans="2:29" ht="21.75" customHeight="1">
      <c r="B984" s="68"/>
      <c r="C984" s="69"/>
      <c r="D984" s="77"/>
      <c r="E984" s="72"/>
      <c r="F984" s="70"/>
      <c r="G984" s="71"/>
      <c r="H984" s="77"/>
      <c r="I984" s="71"/>
      <c r="J984" s="106"/>
      <c r="K984" s="78"/>
      <c r="L984" s="71"/>
      <c r="M984" s="71"/>
      <c r="N984" s="80"/>
      <c r="O984" s="74"/>
      <c r="P984" s="75"/>
      <c r="Q984" s="308"/>
      <c r="Z984" s="16"/>
      <c r="AA984" s="16"/>
      <c r="AB984" s="16"/>
    </row>
    <row r="985" spans="2:29" ht="21.75" customHeight="1">
      <c r="B985" s="68"/>
      <c r="C985" s="69"/>
      <c r="D985" s="77"/>
      <c r="E985" s="72"/>
      <c r="F985" s="76"/>
      <c r="G985" s="19"/>
      <c r="H985" s="77"/>
      <c r="I985" s="71"/>
      <c r="J985" s="371"/>
      <c r="K985" s="78"/>
      <c r="L985" s="71"/>
      <c r="M985" s="71"/>
      <c r="N985" s="80"/>
      <c r="O985" s="74"/>
      <c r="P985" s="75"/>
      <c r="Z985" s="16"/>
      <c r="AA985" s="16"/>
      <c r="AB985" s="16"/>
    </row>
    <row r="986" spans="2:29" ht="21.75" customHeight="1">
      <c r="B986" s="68"/>
      <c r="C986" s="69"/>
      <c r="D986" s="77"/>
      <c r="E986" s="72"/>
      <c r="F986" s="70"/>
      <c r="G986" s="19"/>
      <c r="H986" s="77"/>
      <c r="I986" s="71"/>
      <c r="J986" s="112"/>
      <c r="K986" s="71"/>
      <c r="L986" s="71"/>
      <c r="M986" s="71"/>
      <c r="N986" s="80"/>
      <c r="O986" s="74"/>
      <c r="P986" s="75"/>
      <c r="Z986" s="16"/>
      <c r="AA986" s="16"/>
      <c r="AB986" s="16"/>
    </row>
    <row r="987" spans="2:29" ht="19.5" customHeight="1">
      <c r="B987" s="68"/>
      <c r="C987" s="69"/>
      <c r="D987" s="77"/>
      <c r="E987" s="72"/>
      <c r="F987" s="70"/>
      <c r="G987" s="19"/>
      <c r="H987" s="77"/>
      <c r="I987" s="71"/>
      <c r="J987" s="372"/>
      <c r="K987" s="71"/>
      <c r="L987" s="71"/>
      <c r="M987" s="71"/>
      <c r="N987" s="80"/>
      <c r="O987" s="375"/>
      <c r="P987" s="296"/>
      <c r="Z987" s="341"/>
      <c r="AA987" s="341"/>
      <c r="AB987" s="341"/>
    </row>
    <row r="988" spans="2:29" ht="21.75" customHeight="1">
      <c r="B988" s="68"/>
      <c r="C988" s="69"/>
      <c r="D988" s="77"/>
      <c r="E988" s="72"/>
      <c r="F988" s="70"/>
      <c r="G988" s="71"/>
      <c r="H988" s="72"/>
      <c r="I988" s="71"/>
      <c r="J988" s="78"/>
      <c r="K988" s="73"/>
      <c r="L988" s="71"/>
      <c r="M988" s="71"/>
      <c r="N988" s="80"/>
      <c r="O988" s="74"/>
      <c r="P988" s="75"/>
      <c r="Z988" s="16"/>
      <c r="AA988" s="16"/>
      <c r="AB988" s="16"/>
    </row>
    <row r="989" spans="2:29" ht="21.75" customHeight="1">
      <c r="B989" s="68"/>
      <c r="C989" s="69"/>
      <c r="D989" s="77"/>
      <c r="E989" s="72"/>
      <c r="F989" s="70"/>
      <c r="G989" s="71"/>
      <c r="H989" s="77"/>
      <c r="I989" s="71"/>
      <c r="J989" s="371"/>
      <c r="K989" s="78"/>
      <c r="L989" s="71"/>
      <c r="M989" s="71"/>
      <c r="N989" s="80"/>
      <c r="O989" s="74"/>
      <c r="P989" s="75"/>
      <c r="Z989" s="16"/>
      <c r="AA989" s="16"/>
      <c r="AB989" s="16"/>
    </row>
    <row r="990" spans="2:29" ht="21.75" customHeight="1">
      <c r="B990" s="68"/>
      <c r="C990" s="69"/>
      <c r="D990" s="77"/>
      <c r="E990" s="72"/>
      <c r="F990" s="70"/>
      <c r="G990" s="19"/>
      <c r="H990" s="369"/>
      <c r="I990" s="71"/>
      <c r="J990" s="112"/>
      <c r="K990" s="112"/>
      <c r="L990" s="71"/>
      <c r="M990" s="71"/>
      <c r="N990" s="80"/>
      <c r="O990" s="74"/>
      <c r="P990" s="75"/>
      <c r="Z990" s="16"/>
      <c r="AA990" s="16"/>
      <c r="AB990" s="16"/>
    </row>
    <row r="991" spans="2:29" ht="21.75" customHeight="1">
      <c r="B991" s="68"/>
      <c r="C991" s="69"/>
      <c r="D991" s="77"/>
      <c r="E991" s="72"/>
      <c r="F991" s="70"/>
      <c r="G991" s="19"/>
      <c r="H991" s="369"/>
      <c r="I991" s="71"/>
      <c r="J991" s="112"/>
      <c r="K991" s="112"/>
      <c r="L991" s="71"/>
      <c r="M991" s="71"/>
      <c r="N991" s="80"/>
      <c r="O991" s="74"/>
      <c r="P991" s="75"/>
      <c r="Z991" s="16"/>
      <c r="AA991" s="16"/>
      <c r="AB991" s="16"/>
    </row>
    <row r="992" spans="2:29" ht="21.75" customHeight="1">
      <c r="B992" s="68"/>
      <c r="C992" s="69"/>
      <c r="D992" s="77"/>
      <c r="E992" s="72"/>
      <c r="F992" s="70"/>
      <c r="G992" s="19"/>
      <c r="H992" s="77"/>
      <c r="I992" s="71"/>
      <c r="J992" s="175"/>
      <c r="K992" s="71"/>
      <c r="L992" s="71"/>
      <c r="M992" s="71"/>
      <c r="N992" s="80"/>
      <c r="O992" s="74"/>
      <c r="P992" s="75"/>
      <c r="Z992" s="16"/>
      <c r="AA992" s="16"/>
      <c r="AB992" s="16"/>
    </row>
    <row r="993" spans="2:29" ht="21.75" customHeight="1">
      <c r="B993" s="68"/>
      <c r="C993" s="69"/>
      <c r="D993" s="77"/>
      <c r="E993" s="72"/>
      <c r="F993" s="70"/>
      <c r="G993" s="71"/>
      <c r="H993" s="77"/>
      <c r="I993" s="71"/>
      <c r="J993" s="106"/>
      <c r="K993" s="73"/>
      <c r="L993" s="71"/>
      <c r="M993" s="71"/>
      <c r="N993" s="80"/>
      <c r="O993" s="74"/>
      <c r="P993" s="75"/>
      <c r="Z993" s="16"/>
      <c r="AA993" s="16"/>
      <c r="AB993" s="16"/>
    </row>
    <row r="994" spans="2:29" ht="21.75" customHeight="1">
      <c r="B994" s="68"/>
      <c r="C994" s="69"/>
      <c r="D994" s="77"/>
      <c r="E994" s="72"/>
      <c r="F994" s="70"/>
      <c r="G994" s="71"/>
      <c r="H994" s="77"/>
      <c r="I994" s="71"/>
      <c r="J994" s="371"/>
      <c r="K994" s="73"/>
      <c r="L994" s="71"/>
      <c r="M994" s="71"/>
      <c r="N994" s="80"/>
      <c r="O994" s="74"/>
      <c r="P994" s="75"/>
      <c r="Z994" s="16"/>
      <c r="AA994" s="16"/>
      <c r="AB994" s="16"/>
    </row>
    <row r="995" spans="2:29" ht="21.75" customHeight="1">
      <c r="B995" s="68"/>
      <c r="C995" s="69"/>
      <c r="D995" s="77"/>
      <c r="E995" s="72"/>
      <c r="F995" s="70"/>
      <c r="G995" s="71"/>
      <c r="H995" s="77"/>
      <c r="I995" s="71"/>
      <c r="J995" s="371"/>
      <c r="K995" s="73"/>
      <c r="L995" s="71"/>
      <c r="M995" s="71"/>
      <c r="N995" s="80"/>
      <c r="O995" s="74"/>
      <c r="P995" s="75"/>
      <c r="Z995" s="16"/>
      <c r="AA995" s="16"/>
      <c r="AB995" s="16"/>
    </row>
    <row r="996" spans="2:29" ht="21.75" customHeight="1">
      <c r="B996" s="382"/>
      <c r="C996" s="69"/>
      <c r="D996" s="77"/>
      <c r="E996" s="72"/>
      <c r="F996" s="70"/>
      <c r="G996" s="71"/>
      <c r="H996" s="77"/>
      <c r="I996" s="71"/>
      <c r="J996" s="112"/>
      <c r="K996" s="78"/>
      <c r="L996" s="71"/>
      <c r="M996" s="71"/>
      <c r="N996" s="381"/>
      <c r="O996" s="74"/>
      <c r="P996" s="75"/>
      <c r="Z996" s="16"/>
      <c r="AA996" s="16"/>
      <c r="AB996" s="16"/>
    </row>
    <row r="997" spans="2:29" ht="21.75" customHeight="1">
      <c r="B997" s="68"/>
      <c r="C997" s="69"/>
      <c r="D997" s="77"/>
      <c r="E997" s="72"/>
      <c r="F997" s="70"/>
      <c r="G997" s="71"/>
      <c r="H997" s="77"/>
      <c r="I997" s="71"/>
      <c r="J997" s="112"/>
      <c r="K997" s="78"/>
      <c r="L997" s="71"/>
      <c r="M997" s="71"/>
      <c r="N997" s="80"/>
      <c r="O997" s="74"/>
      <c r="P997" s="75"/>
      <c r="Z997" s="16"/>
      <c r="AA997" s="16"/>
      <c r="AB997" s="16"/>
    </row>
    <row r="998" spans="2:29" ht="21.75" customHeight="1">
      <c r="B998" s="68"/>
      <c r="C998" s="69"/>
      <c r="D998" s="77"/>
      <c r="E998" s="72"/>
      <c r="F998" s="70"/>
      <c r="G998" s="71"/>
      <c r="H998" s="72"/>
      <c r="I998" s="71"/>
      <c r="J998" s="385"/>
      <c r="K998" s="73"/>
      <c r="L998" s="71"/>
      <c r="M998" s="71"/>
      <c r="N998" s="80"/>
      <c r="O998" s="74"/>
      <c r="P998" s="75"/>
      <c r="Z998" s="16"/>
      <c r="AA998" s="16"/>
      <c r="AB998" s="16"/>
    </row>
    <row r="999" spans="2:29" ht="21.75" customHeight="1">
      <c r="B999" s="68"/>
      <c r="C999" s="69"/>
      <c r="D999" s="77"/>
      <c r="E999" s="72"/>
      <c r="F999" s="70"/>
      <c r="G999" s="71"/>
      <c r="H999" s="77"/>
      <c r="I999" s="71"/>
      <c r="J999" s="112"/>
      <c r="K999" s="78"/>
      <c r="L999" s="71"/>
      <c r="M999" s="71"/>
      <c r="N999" s="80"/>
      <c r="O999" s="74"/>
      <c r="P999" s="75"/>
      <c r="Z999" s="16"/>
      <c r="AA999" s="16"/>
      <c r="AB999" s="16"/>
    </row>
    <row r="1000" spans="2:29" ht="21.75" customHeight="1">
      <c r="B1000" s="68"/>
      <c r="C1000" s="69"/>
      <c r="D1000" s="77"/>
      <c r="E1000" s="72"/>
      <c r="F1000" s="70"/>
      <c r="G1000" s="19"/>
      <c r="H1000" s="77"/>
      <c r="I1000" s="342"/>
      <c r="J1000" s="112"/>
      <c r="K1000" s="73"/>
      <c r="L1000" s="71"/>
      <c r="M1000" s="71"/>
      <c r="N1000" s="80"/>
      <c r="O1000" s="74"/>
      <c r="P1000" s="75"/>
      <c r="Z1000" s="16"/>
      <c r="AA1000" s="16"/>
      <c r="AB1000" s="16"/>
    </row>
    <row r="1001" spans="2:29" ht="21.75" customHeight="1">
      <c r="B1001" s="68"/>
      <c r="C1001" s="69"/>
      <c r="D1001" s="77"/>
      <c r="E1001" s="72"/>
      <c r="F1001" s="70"/>
      <c r="G1001" s="71"/>
      <c r="H1001" s="77"/>
      <c r="I1001" s="71"/>
      <c r="J1001" s="112"/>
      <c r="K1001" s="78"/>
      <c r="L1001" s="71"/>
      <c r="M1001" s="71"/>
      <c r="N1001" s="373"/>
      <c r="O1001" s="74"/>
      <c r="P1001" s="75"/>
      <c r="Z1001" s="16"/>
      <c r="AA1001" s="16"/>
      <c r="AB1001" s="16"/>
    </row>
    <row r="1002" spans="2:29" ht="21.75" customHeight="1">
      <c r="B1002" s="68"/>
      <c r="C1002" s="69"/>
      <c r="D1002" s="77"/>
      <c r="E1002" s="72"/>
      <c r="F1002" s="70"/>
      <c r="G1002" s="71"/>
      <c r="H1002" s="77"/>
      <c r="I1002" s="71"/>
      <c r="J1002" s="112"/>
      <c r="K1002" s="78"/>
      <c r="L1002" s="71"/>
      <c r="M1002" s="71"/>
      <c r="N1002" s="80"/>
      <c r="O1002" s="375"/>
      <c r="P1002" s="75"/>
      <c r="Z1002" s="16"/>
      <c r="AA1002" s="16"/>
      <c r="AB1002" s="16"/>
    </row>
    <row r="1003" spans="2:29" ht="21.75" customHeight="1">
      <c r="B1003" s="68"/>
      <c r="C1003" s="69"/>
      <c r="D1003" s="77"/>
      <c r="E1003" s="72"/>
      <c r="F1003" s="70"/>
      <c r="G1003" s="71"/>
      <c r="H1003" s="369"/>
      <c r="I1003" s="71"/>
      <c r="J1003" s="371"/>
      <c r="K1003" s="73"/>
      <c r="L1003" s="71"/>
      <c r="M1003" s="71"/>
      <c r="N1003" s="80"/>
      <c r="O1003" s="74"/>
      <c r="P1003" s="75"/>
      <c r="Z1003" s="16"/>
      <c r="AA1003" s="16"/>
      <c r="AB1003" s="16"/>
    </row>
    <row r="1004" spans="2:29" ht="21.75" customHeight="1">
      <c r="B1004" s="68"/>
      <c r="C1004" s="69"/>
      <c r="D1004" s="77"/>
      <c r="E1004" s="72"/>
      <c r="F1004" s="70"/>
      <c r="G1004" s="71"/>
      <c r="H1004" s="77"/>
      <c r="I1004" s="71"/>
      <c r="J1004" s="112"/>
      <c r="K1004" s="78"/>
      <c r="L1004" s="71"/>
      <c r="M1004" s="71"/>
      <c r="N1004" s="80"/>
      <c r="O1004" s="74"/>
      <c r="P1004" s="75"/>
      <c r="Z1004" s="16"/>
      <c r="AA1004" s="16"/>
      <c r="AB1004" s="16"/>
    </row>
    <row r="1005" spans="2:29" ht="21.75" customHeight="1">
      <c r="B1005" s="68"/>
      <c r="C1005" s="69"/>
      <c r="D1005" s="77"/>
      <c r="E1005" s="72"/>
      <c r="F1005" s="70"/>
      <c r="G1005" s="71"/>
      <c r="H1005" s="77"/>
      <c r="I1005" s="71"/>
      <c r="J1005" s="112"/>
      <c r="K1005" s="78"/>
      <c r="L1005" s="71"/>
      <c r="M1005" s="71"/>
      <c r="N1005" s="80"/>
      <c r="O1005" s="74"/>
      <c r="P1005" s="75"/>
      <c r="Z1005" s="16"/>
      <c r="AA1005" s="16"/>
      <c r="AB1005" s="16"/>
    </row>
    <row r="1006" spans="2:29" ht="21.75" customHeight="1">
      <c r="B1006" s="68"/>
      <c r="C1006" s="69"/>
      <c r="D1006" s="77"/>
      <c r="E1006" s="72"/>
      <c r="F1006" s="70"/>
      <c r="G1006" s="71"/>
      <c r="H1006" s="369"/>
      <c r="I1006" s="71"/>
      <c r="J1006" s="112"/>
      <c r="K1006" s="71"/>
      <c r="L1006" s="71"/>
      <c r="M1006" s="71"/>
      <c r="N1006" s="80"/>
      <c r="O1006" s="74"/>
      <c r="P1006" s="75"/>
      <c r="Z1006" s="16"/>
      <c r="AA1006" s="16"/>
      <c r="AB1006" s="16"/>
    </row>
    <row r="1007" spans="2:29" s="79" customFormat="1" ht="21.75" customHeight="1">
      <c r="B1007" s="376"/>
      <c r="C1007" s="377"/>
      <c r="D1007" s="378"/>
      <c r="E1007" s="379"/>
      <c r="F1007" s="380"/>
      <c r="G1007" s="342"/>
      <c r="H1007" s="369"/>
      <c r="I1007" s="342"/>
      <c r="J1007" s="343"/>
      <c r="K1007" s="342"/>
      <c r="L1007" s="342"/>
      <c r="M1007" s="71"/>
      <c r="N1007" s="381"/>
      <c r="O1007" s="295"/>
      <c r="P1007" s="75"/>
      <c r="Y1007" s="45"/>
      <c r="AC1007" s="45"/>
    </row>
    <row r="1008" spans="2:29" ht="21.75" customHeight="1">
      <c r="B1008" s="376"/>
      <c r="C1008" s="377"/>
      <c r="D1008" s="378"/>
      <c r="E1008" s="379"/>
      <c r="F1008" s="380"/>
      <c r="G1008" s="342"/>
      <c r="H1008" s="379"/>
      <c r="I1008" s="71"/>
      <c r="J1008" s="176"/>
      <c r="K1008" s="384"/>
      <c r="L1008" s="342"/>
      <c r="M1008" s="71"/>
      <c r="N1008" s="80"/>
      <c r="O1008" s="295"/>
      <c r="P1008" s="75"/>
      <c r="Z1008" s="16"/>
      <c r="AA1008" s="16"/>
      <c r="AB1008" s="16"/>
    </row>
    <row r="1009" spans="2:29" ht="21.75" customHeight="1">
      <c r="B1009" s="68"/>
      <c r="C1009" s="69"/>
      <c r="D1009" s="77"/>
      <c r="E1009" s="72"/>
      <c r="F1009" s="70"/>
      <c r="G1009" s="71"/>
      <c r="H1009" s="77"/>
      <c r="I1009" s="71"/>
      <c r="J1009" s="106"/>
      <c r="K1009" s="78"/>
      <c r="L1009" s="71"/>
      <c r="M1009" s="71"/>
      <c r="N1009" s="80"/>
      <c r="O1009" s="74"/>
      <c r="P1009" s="75"/>
      <c r="Z1009" s="16"/>
      <c r="AA1009" s="16"/>
      <c r="AB1009" s="16"/>
    </row>
    <row r="1010" spans="2:29" ht="21.75" customHeight="1">
      <c r="B1010" s="68"/>
      <c r="C1010" s="69"/>
      <c r="D1010" s="77"/>
      <c r="E1010" s="72"/>
      <c r="F1010" s="70"/>
      <c r="G1010" s="71"/>
      <c r="H1010" s="77"/>
      <c r="I1010" s="71"/>
      <c r="J1010" s="78"/>
      <c r="K1010" s="73"/>
      <c r="L1010" s="71"/>
      <c r="M1010" s="71"/>
      <c r="N1010" s="80"/>
      <c r="O1010" s="74"/>
      <c r="P1010" s="75"/>
      <c r="Z1010" s="16"/>
      <c r="AA1010" s="16"/>
      <c r="AB1010" s="16"/>
    </row>
    <row r="1011" spans="2:29" s="341" customFormat="1" ht="21.75" customHeight="1">
      <c r="B1011" s="68"/>
      <c r="C1011" s="69"/>
      <c r="D1011" s="77"/>
      <c r="E1011" s="72"/>
      <c r="F1011" s="70"/>
      <c r="G1011" s="71"/>
      <c r="H1011" s="77"/>
      <c r="I1011" s="71"/>
      <c r="J1011" s="106"/>
      <c r="K1011" s="78"/>
      <c r="L1011" s="71"/>
      <c r="M1011" s="71"/>
      <c r="N1011" s="80"/>
      <c r="O1011" s="74"/>
      <c r="P1011" s="296"/>
      <c r="Q1011"/>
      <c r="R1011"/>
      <c r="S1011"/>
      <c r="T1011"/>
      <c r="U1011"/>
      <c r="V1011"/>
      <c r="W1011"/>
      <c r="X1011"/>
      <c r="Y1011" s="45"/>
      <c r="AC1011" s="45"/>
    </row>
    <row r="1012" spans="2:29" s="341" customFormat="1" ht="21.75" customHeight="1">
      <c r="B1012" s="376"/>
      <c r="C1012" s="377"/>
      <c r="D1012" s="378"/>
      <c r="E1012" s="379"/>
      <c r="F1012" s="380"/>
      <c r="G1012" s="342"/>
      <c r="H1012" s="369"/>
      <c r="I1012" s="342"/>
      <c r="J1012" s="343"/>
      <c r="K1012" s="342"/>
      <c r="L1012" s="342"/>
      <c r="M1012" s="71"/>
      <c r="N1012" s="80"/>
      <c r="O1012" s="295"/>
      <c r="P1012" s="296"/>
      <c r="Q1012"/>
      <c r="R1012"/>
      <c r="S1012"/>
      <c r="T1012"/>
      <c r="U1012"/>
      <c r="V1012"/>
      <c r="W1012"/>
      <c r="X1012"/>
      <c r="Y1012" s="45"/>
      <c r="AC1012" s="45"/>
    </row>
    <row r="1013" spans="2:29" s="341" customFormat="1" ht="21.75" customHeight="1">
      <c r="B1013" s="68"/>
      <c r="C1013" s="69"/>
      <c r="D1013" s="77"/>
      <c r="E1013" s="72"/>
      <c r="F1013" s="70"/>
      <c r="G1013" s="19"/>
      <c r="H1013" s="77"/>
      <c r="I1013" s="71"/>
      <c r="J1013" s="372"/>
      <c r="K1013" s="71"/>
      <c r="L1013" s="71"/>
      <c r="M1013" s="71"/>
      <c r="N1013" s="80"/>
      <c r="O1013" s="74"/>
      <c r="P1013" s="296"/>
      <c r="Q1013"/>
      <c r="R1013"/>
      <c r="S1013"/>
      <c r="T1013"/>
      <c r="U1013"/>
      <c r="V1013"/>
      <c r="W1013"/>
      <c r="X1013"/>
      <c r="Y1013" s="45"/>
      <c r="AC1013" s="45"/>
    </row>
    <row r="1014" spans="2:29" s="341" customFormat="1" ht="21.75" customHeight="1">
      <c r="B1014" s="68"/>
      <c r="C1014" s="69"/>
      <c r="D1014" s="77"/>
      <c r="E1014" s="72"/>
      <c r="F1014" s="70"/>
      <c r="G1014" s="71"/>
      <c r="H1014" s="77"/>
      <c r="I1014" s="71"/>
      <c r="J1014" s="112"/>
      <c r="K1014" s="78"/>
      <c r="L1014" s="71"/>
      <c r="M1014" s="71"/>
      <c r="N1014" s="80"/>
      <c r="O1014" s="375"/>
      <c r="P1014" s="296"/>
      <c r="Q1014"/>
      <c r="R1014"/>
      <c r="S1014"/>
      <c r="T1014"/>
      <c r="U1014"/>
      <c r="V1014"/>
      <c r="W1014"/>
      <c r="X1014"/>
      <c r="Y1014" s="45"/>
      <c r="AC1014" s="45"/>
    </row>
    <row r="1015" spans="2:29" s="341" customFormat="1" ht="21.75" customHeight="1">
      <c r="B1015" s="68"/>
      <c r="C1015" s="69"/>
      <c r="D1015" s="77"/>
      <c r="E1015" s="72"/>
      <c r="F1015" s="70"/>
      <c r="G1015" s="19"/>
      <c r="H1015" s="369"/>
      <c r="I1015" s="71"/>
      <c r="J1015" s="112"/>
      <c r="K1015" s="112"/>
      <c r="L1015" s="71"/>
      <c r="M1015" s="71"/>
      <c r="N1015" s="80"/>
      <c r="O1015" s="74"/>
      <c r="P1015" s="296"/>
      <c r="Q1015"/>
      <c r="R1015"/>
      <c r="S1015"/>
      <c r="T1015"/>
      <c r="U1015"/>
      <c r="V1015"/>
      <c r="W1015"/>
      <c r="X1015"/>
      <c r="Y1015" s="45"/>
      <c r="AC1015" s="45"/>
    </row>
    <row r="1016" spans="2:29" ht="21.75" customHeight="1">
      <c r="B1016" s="68"/>
      <c r="C1016" s="18"/>
      <c r="D1016" s="77"/>
      <c r="E1016" s="72"/>
      <c r="F1016" s="70"/>
      <c r="G1016" s="19"/>
      <c r="H1016" s="369"/>
      <c r="I1016" s="71"/>
      <c r="J1016" s="112"/>
      <c r="K1016" s="19"/>
      <c r="L1016" s="71"/>
      <c r="M1016" s="71"/>
      <c r="N1016" s="80"/>
      <c r="O1016" s="74"/>
      <c r="P1016" s="75"/>
      <c r="Z1016" s="16"/>
      <c r="AA1016" s="16"/>
      <c r="AB1016" s="16"/>
    </row>
    <row r="1017" spans="2:29" ht="21.75" customHeight="1">
      <c r="B1017" s="68"/>
      <c r="C1017" s="69"/>
      <c r="D1017" s="77"/>
      <c r="E1017" s="72"/>
      <c r="F1017" s="70"/>
      <c r="G1017" s="71"/>
      <c r="H1017" s="77"/>
      <c r="I1017" s="71"/>
      <c r="J1017" s="112"/>
      <c r="K1017" s="71"/>
      <c r="L1017" s="71"/>
      <c r="M1017" s="71"/>
      <c r="N1017" s="80"/>
      <c r="O1017" s="74"/>
      <c r="P1017" s="75"/>
      <c r="Z1017" s="16"/>
      <c r="AA1017" s="16"/>
      <c r="AB1017" s="16"/>
    </row>
    <row r="1018" spans="2:29" ht="21.75" customHeight="1">
      <c r="B1018" s="68"/>
      <c r="C1018" s="69"/>
      <c r="D1018" s="77"/>
      <c r="E1018" s="72"/>
      <c r="F1018" s="70"/>
      <c r="G1018" s="71"/>
      <c r="H1018" s="77"/>
      <c r="I1018" s="71"/>
      <c r="J1018" s="78"/>
      <c r="K1018" s="71"/>
      <c r="L1018" s="71"/>
      <c r="M1018" s="71"/>
      <c r="N1018" s="80"/>
      <c r="O1018" s="295"/>
      <c r="P1018" s="75"/>
      <c r="Z1018" s="16"/>
      <c r="AA1018" s="16"/>
      <c r="AB1018" s="16"/>
    </row>
    <row r="1019" spans="2:29" ht="21.75" customHeight="1">
      <c r="B1019" s="68"/>
      <c r="C1019" s="69"/>
      <c r="D1019" s="77"/>
      <c r="E1019" s="72"/>
      <c r="F1019" s="70"/>
      <c r="G1019" s="71"/>
      <c r="H1019" s="77"/>
      <c r="I1019" s="71"/>
      <c r="J1019" s="106"/>
      <c r="K1019" s="78"/>
      <c r="L1019" s="71"/>
      <c r="M1019" s="71"/>
      <c r="N1019" s="80"/>
      <c r="O1019" s="74"/>
      <c r="P1019" s="75"/>
      <c r="Z1019" s="16"/>
      <c r="AA1019" s="16"/>
      <c r="AB1019" s="16"/>
    </row>
    <row r="1020" spans="2:29" ht="21.75" customHeight="1">
      <c r="B1020" s="68"/>
      <c r="C1020" s="69"/>
      <c r="D1020" s="77"/>
      <c r="E1020" s="72"/>
      <c r="F1020" s="70"/>
      <c r="G1020" s="71"/>
      <c r="H1020" s="77"/>
      <c r="I1020" s="71"/>
      <c r="J1020" s="106"/>
      <c r="K1020" s="78"/>
      <c r="L1020" s="71"/>
      <c r="M1020" s="71"/>
      <c r="N1020" s="80"/>
      <c r="O1020" s="74"/>
      <c r="P1020" s="75"/>
      <c r="Z1020" s="16"/>
      <c r="AA1020" s="16"/>
      <c r="AB1020" s="16"/>
    </row>
    <row r="1021" spans="2:29" ht="21.75" customHeight="1">
      <c r="B1021" s="68"/>
      <c r="C1021" s="69"/>
      <c r="D1021" s="77"/>
      <c r="E1021" s="72"/>
      <c r="F1021" s="70"/>
      <c r="G1021" s="71"/>
      <c r="H1021" s="72"/>
      <c r="I1021" s="71"/>
      <c r="J1021" s="106"/>
      <c r="K1021" s="73"/>
      <c r="L1021" s="71"/>
      <c r="M1021" s="71"/>
      <c r="N1021" s="80"/>
      <c r="O1021" s="74"/>
      <c r="P1021" s="75"/>
      <c r="Z1021" s="16"/>
      <c r="AA1021" s="16"/>
      <c r="AB1021" s="16"/>
    </row>
    <row r="1022" spans="2:29" ht="21.75" customHeight="1">
      <c r="B1022" s="68"/>
      <c r="C1022" s="69"/>
      <c r="D1022" s="77"/>
      <c r="E1022" s="72"/>
      <c r="F1022" s="70"/>
      <c r="G1022" s="19"/>
      <c r="H1022" s="77"/>
      <c r="I1022" s="71"/>
      <c r="J1022" s="176"/>
      <c r="K1022" s="73"/>
      <c r="L1022" s="71"/>
      <c r="M1022" s="71"/>
      <c r="N1022" s="80"/>
      <c r="O1022" s="74"/>
      <c r="P1022" s="75"/>
      <c r="Z1022" s="16"/>
      <c r="AA1022" s="16"/>
      <c r="AB1022" s="16"/>
    </row>
    <row r="1023" spans="2:29" ht="21.75" customHeight="1">
      <c r="B1023" s="382"/>
      <c r="C1023" s="69"/>
      <c r="D1023" s="77"/>
      <c r="E1023" s="72"/>
      <c r="F1023" s="70"/>
      <c r="G1023" s="71"/>
      <c r="H1023" s="77"/>
      <c r="I1023" s="71"/>
      <c r="J1023" s="112"/>
      <c r="K1023" s="78"/>
      <c r="L1023" s="71"/>
      <c r="M1023" s="71"/>
      <c r="N1023" s="381"/>
      <c r="O1023" s="74"/>
      <c r="P1023" s="75"/>
      <c r="Z1023" s="16"/>
      <c r="AA1023" s="16"/>
      <c r="AB1023" s="16"/>
    </row>
    <row r="1024" spans="2:29" s="79" customFormat="1" ht="21.75" customHeight="1">
      <c r="B1024" s="68"/>
      <c r="C1024" s="69"/>
      <c r="D1024" s="77"/>
      <c r="E1024" s="72"/>
      <c r="F1024" s="70"/>
      <c r="G1024" s="19"/>
      <c r="H1024" s="77"/>
      <c r="I1024" s="71"/>
      <c r="J1024" s="371"/>
      <c r="K1024" s="71"/>
      <c r="L1024" s="71"/>
      <c r="M1024" s="71"/>
      <c r="N1024" s="80"/>
      <c r="O1024" s="74"/>
      <c r="P1024" s="75"/>
      <c r="Y1024" s="45"/>
      <c r="AC1024" s="45"/>
    </row>
    <row r="1025" spans="2:29" s="341" customFormat="1" ht="21.75" customHeight="1">
      <c r="B1025" s="68"/>
      <c r="C1025" s="69"/>
      <c r="D1025" s="77"/>
      <c r="E1025" s="72"/>
      <c r="F1025" s="70"/>
      <c r="G1025" s="71"/>
      <c r="H1025" s="77"/>
      <c r="I1025" s="71"/>
      <c r="J1025" s="78"/>
      <c r="K1025" s="71"/>
      <c r="L1025" s="71"/>
      <c r="M1025" s="71"/>
      <c r="N1025" s="80"/>
      <c r="O1025" s="74"/>
      <c r="P1025" s="296"/>
      <c r="Q1025"/>
      <c r="R1025"/>
      <c r="S1025"/>
      <c r="T1025"/>
      <c r="U1025"/>
      <c r="V1025"/>
      <c r="W1025"/>
      <c r="X1025"/>
      <c r="Y1025" s="45"/>
      <c r="AC1025" s="45"/>
    </row>
    <row r="1026" spans="2:29" s="341" customFormat="1" ht="21.75" customHeight="1">
      <c r="B1026" s="382"/>
      <c r="C1026" s="69"/>
      <c r="D1026" s="77"/>
      <c r="E1026" s="72"/>
      <c r="F1026" s="70"/>
      <c r="G1026" s="71"/>
      <c r="H1026" s="77"/>
      <c r="I1026" s="71"/>
      <c r="J1026" s="112"/>
      <c r="K1026" s="78"/>
      <c r="L1026" s="71"/>
      <c r="M1026" s="71"/>
      <c r="N1026" s="381"/>
      <c r="O1026" s="74"/>
      <c r="P1026" s="296"/>
      <c r="Q1026"/>
      <c r="R1026"/>
      <c r="S1026"/>
      <c r="T1026"/>
      <c r="U1026"/>
      <c r="V1026"/>
      <c r="W1026"/>
      <c r="X1026"/>
      <c r="Y1026" s="45"/>
      <c r="AC1026" s="45"/>
    </row>
    <row r="1027" spans="2:29" ht="21.75" customHeight="1">
      <c r="B1027" s="68"/>
      <c r="C1027" s="69"/>
      <c r="D1027" s="77"/>
      <c r="E1027" s="72"/>
      <c r="F1027" s="70"/>
      <c r="G1027" s="71"/>
      <c r="H1027" s="369"/>
      <c r="I1027" s="71"/>
      <c r="J1027" s="371"/>
      <c r="K1027" s="73"/>
      <c r="L1027" s="71"/>
      <c r="M1027" s="71"/>
      <c r="N1027" s="80"/>
      <c r="O1027" s="74"/>
      <c r="P1027" s="75"/>
      <c r="Z1027" s="16"/>
      <c r="AA1027" s="16"/>
      <c r="AB1027" s="16"/>
    </row>
    <row r="1028" spans="2:29" ht="21.75" customHeight="1">
      <c r="B1028" s="68"/>
      <c r="C1028" s="69"/>
      <c r="D1028" s="77"/>
      <c r="E1028" s="72"/>
      <c r="F1028" s="70"/>
      <c r="G1028" s="19"/>
      <c r="H1028" s="77"/>
      <c r="I1028" s="71"/>
      <c r="J1028" s="371"/>
      <c r="K1028" s="78"/>
      <c r="L1028" s="71"/>
      <c r="M1028" s="71"/>
      <c r="N1028" s="80"/>
      <c r="O1028" s="74"/>
      <c r="P1028" s="75"/>
      <c r="Z1028" s="16"/>
      <c r="AA1028" s="16"/>
      <c r="AB1028" s="16"/>
    </row>
    <row r="1029" spans="2:29" ht="21.75" customHeight="1">
      <c r="B1029" s="68"/>
      <c r="C1029" s="69"/>
      <c r="D1029" s="77"/>
      <c r="E1029" s="72"/>
      <c r="F1029" s="70"/>
      <c r="G1029" s="71"/>
      <c r="H1029" s="77"/>
      <c r="I1029" s="71"/>
      <c r="J1029" s="106"/>
      <c r="K1029" s="78"/>
      <c r="L1029" s="71"/>
      <c r="M1029" s="71"/>
      <c r="N1029" s="80"/>
      <c r="O1029" s="74"/>
      <c r="P1029" s="75"/>
      <c r="Z1029" s="16"/>
      <c r="AA1029" s="16"/>
      <c r="AB1029" s="16"/>
    </row>
    <row r="1030" spans="2:29" s="341" customFormat="1" ht="21.75" customHeight="1">
      <c r="B1030" s="68"/>
      <c r="C1030" s="69"/>
      <c r="D1030" s="77"/>
      <c r="E1030" s="72"/>
      <c r="F1030" s="70"/>
      <c r="G1030" s="71"/>
      <c r="H1030" s="369"/>
      <c r="I1030" s="71"/>
      <c r="J1030" s="78"/>
      <c r="K1030" s="73"/>
      <c r="L1030" s="71"/>
      <c r="M1030" s="71"/>
      <c r="N1030" s="80"/>
      <c r="O1030" s="74"/>
      <c r="P1030" s="296"/>
      <c r="Q1030"/>
      <c r="R1030"/>
      <c r="S1030"/>
      <c r="T1030"/>
      <c r="U1030"/>
      <c r="V1030"/>
      <c r="W1030"/>
      <c r="X1030"/>
      <c r="Y1030" s="45"/>
      <c r="AC1030" s="45"/>
    </row>
    <row r="1031" spans="2:29" s="79" customFormat="1" ht="21.75" customHeight="1">
      <c r="B1031" s="68"/>
      <c r="C1031" s="69"/>
      <c r="D1031" s="77"/>
      <c r="E1031" s="72"/>
      <c r="F1031" s="70"/>
      <c r="G1031" s="19"/>
      <c r="H1031" s="77"/>
      <c r="I1031" s="71"/>
      <c r="J1031" s="366"/>
      <c r="K1031" s="78"/>
      <c r="L1031" s="71"/>
      <c r="M1031" s="71"/>
      <c r="N1031" s="80"/>
      <c r="O1031" s="295"/>
      <c r="P1031" s="75"/>
      <c r="Y1031" s="45"/>
      <c r="AC1031" s="45"/>
    </row>
    <row r="1032" spans="2:29" s="79" customFormat="1" ht="21.75" customHeight="1">
      <c r="B1032" s="68"/>
      <c r="C1032" s="69"/>
      <c r="D1032" s="77"/>
      <c r="E1032" s="72"/>
      <c r="F1032" s="70"/>
      <c r="G1032" s="71"/>
      <c r="H1032" s="77"/>
      <c r="I1032" s="71"/>
      <c r="J1032" s="71"/>
      <c r="K1032" s="78"/>
      <c r="L1032" s="71"/>
      <c r="M1032" s="71"/>
      <c r="N1032" s="80"/>
      <c r="O1032" s="74"/>
      <c r="P1032" s="75"/>
      <c r="Y1032" s="45"/>
      <c r="AC1032" s="45"/>
    </row>
    <row r="1033" spans="2:29" s="79" customFormat="1" ht="21.75" customHeight="1">
      <c r="B1033" s="68"/>
      <c r="C1033" s="69"/>
      <c r="D1033" s="77"/>
      <c r="E1033" s="72"/>
      <c r="F1033" s="70"/>
      <c r="G1033" s="19"/>
      <c r="H1033" s="77"/>
      <c r="I1033" s="71"/>
      <c r="J1033" s="372"/>
      <c r="K1033" s="71"/>
      <c r="L1033" s="71"/>
      <c r="M1033" s="71"/>
      <c r="N1033" s="80"/>
      <c r="O1033" s="74"/>
      <c r="P1033" s="75"/>
      <c r="Y1033" s="45"/>
      <c r="AC1033" s="45"/>
    </row>
    <row r="1034" spans="2:29" s="79" customFormat="1" ht="21.75" customHeight="1">
      <c r="B1034" s="68"/>
      <c r="C1034" s="69"/>
      <c r="D1034" s="77"/>
      <c r="E1034" s="72"/>
      <c r="F1034" s="70"/>
      <c r="G1034" s="19"/>
      <c r="H1034" s="77"/>
      <c r="I1034" s="71"/>
      <c r="J1034" s="106"/>
      <c r="K1034" s="71"/>
      <c r="L1034" s="71"/>
      <c r="M1034" s="71"/>
      <c r="N1034" s="80"/>
      <c r="O1034" s="74"/>
      <c r="P1034" s="75"/>
      <c r="Y1034" s="45"/>
      <c r="AC1034" s="45"/>
    </row>
    <row r="1035" spans="2:29" s="341" customFormat="1" ht="21.75" customHeight="1">
      <c r="B1035" s="68"/>
      <c r="C1035" s="69"/>
      <c r="D1035" s="77"/>
      <c r="E1035" s="72"/>
      <c r="F1035" s="70"/>
      <c r="G1035" s="71"/>
      <c r="H1035" s="77"/>
      <c r="I1035" s="71"/>
      <c r="J1035" s="371"/>
      <c r="K1035" s="78"/>
      <c r="L1035" s="71"/>
      <c r="M1035" s="71"/>
      <c r="N1035" s="80"/>
      <c r="O1035" s="74"/>
      <c r="P1035" s="296"/>
      <c r="Q1035"/>
      <c r="R1035"/>
      <c r="S1035"/>
      <c r="T1035"/>
      <c r="U1035"/>
      <c r="V1035"/>
      <c r="W1035"/>
      <c r="X1035"/>
      <c r="Y1035" s="45"/>
      <c r="AC1035" s="45"/>
    </row>
    <row r="1036" spans="2:29" s="341" customFormat="1" ht="21.75" customHeight="1">
      <c r="B1036" s="68"/>
      <c r="C1036" s="69"/>
      <c r="D1036" s="77"/>
      <c r="E1036" s="72"/>
      <c r="F1036" s="70"/>
      <c r="G1036" s="71"/>
      <c r="H1036" s="77"/>
      <c r="I1036" s="71"/>
      <c r="J1036" s="371"/>
      <c r="K1036" s="78"/>
      <c r="L1036" s="71"/>
      <c r="M1036" s="71"/>
      <c r="N1036" s="80"/>
      <c r="O1036" s="74"/>
      <c r="P1036" s="296"/>
      <c r="Q1036"/>
      <c r="R1036"/>
      <c r="S1036"/>
      <c r="T1036"/>
      <c r="U1036"/>
      <c r="V1036"/>
      <c r="W1036"/>
      <c r="X1036"/>
      <c r="Y1036" s="45"/>
      <c r="AC1036" s="45"/>
    </row>
    <row r="1037" spans="2:29" s="341" customFormat="1" ht="21.75" customHeight="1">
      <c r="B1037" s="68"/>
      <c r="C1037" s="69"/>
      <c r="D1037" s="77"/>
      <c r="E1037" s="72"/>
      <c r="F1037" s="70"/>
      <c r="G1037" s="71"/>
      <c r="H1037" s="77"/>
      <c r="I1037" s="71"/>
      <c r="J1037" s="106"/>
      <c r="K1037" s="71"/>
      <c r="L1037" s="71"/>
      <c r="M1037" s="71"/>
      <c r="N1037" s="80"/>
      <c r="O1037" s="74"/>
      <c r="P1037" s="296"/>
      <c r="R1037"/>
      <c r="S1037"/>
      <c r="T1037"/>
      <c r="U1037"/>
      <c r="V1037"/>
      <c r="W1037"/>
      <c r="X1037"/>
      <c r="Y1037" s="45"/>
      <c r="AC1037" s="45"/>
    </row>
    <row r="1038" spans="2:29" s="341" customFormat="1" ht="21.75" customHeight="1">
      <c r="B1038" s="376"/>
      <c r="C1038" s="377"/>
      <c r="D1038" s="378"/>
      <c r="E1038" s="379"/>
      <c r="F1038" s="380"/>
      <c r="G1038" s="342"/>
      <c r="H1038" s="369"/>
      <c r="I1038" s="342"/>
      <c r="J1038" s="367"/>
      <c r="K1038" s="384"/>
      <c r="L1038" s="343"/>
      <c r="M1038" s="342"/>
      <c r="N1038" s="381"/>
      <c r="O1038" s="295"/>
      <c r="P1038" s="296"/>
      <c r="Q1038"/>
      <c r="R1038"/>
      <c r="S1038"/>
      <c r="T1038"/>
      <c r="U1038"/>
      <c r="V1038"/>
      <c r="W1038"/>
      <c r="X1038"/>
      <c r="Y1038" s="45"/>
      <c r="AC1038" s="45"/>
    </row>
    <row r="1039" spans="2:29" s="341" customFormat="1" ht="21.75" customHeight="1">
      <c r="B1039" s="68"/>
      <c r="C1039" s="69"/>
      <c r="D1039" s="77"/>
      <c r="E1039" s="72"/>
      <c r="F1039" s="70"/>
      <c r="G1039" s="71"/>
      <c r="H1039" s="77"/>
      <c r="I1039" s="71"/>
      <c r="J1039" s="106"/>
      <c r="K1039" s="71"/>
      <c r="L1039" s="71"/>
      <c r="M1039" s="71"/>
      <c r="N1039" s="80"/>
      <c r="O1039" s="74"/>
      <c r="P1039" s="296"/>
      <c r="Q1039"/>
      <c r="R1039"/>
      <c r="S1039"/>
      <c r="T1039"/>
      <c r="U1039"/>
      <c r="V1039"/>
      <c r="W1039"/>
      <c r="X1039"/>
      <c r="Y1039" s="45"/>
      <c r="AC1039" s="45"/>
    </row>
    <row r="1040" spans="2:29" s="341" customFormat="1" ht="21.75" customHeight="1">
      <c r="B1040" s="68"/>
      <c r="C1040" s="69"/>
      <c r="D1040" s="77"/>
      <c r="E1040" s="72"/>
      <c r="F1040" s="70"/>
      <c r="G1040" s="71"/>
      <c r="H1040" s="77"/>
      <c r="I1040" s="71"/>
      <c r="J1040" s="112"/>
      <c r="K1040" s="73"/>
      <c r="L1040" s="71"/>
      <c r="M1040" s="71"/>
      <c r="N1040" s="80"/>
      <c r="O1040" s="74"/>
      <c r="P1040" s="296"/>
      <c r="Q1040"/>
      <c r="R1040"/>
      <c r="S1040"/>
      <c r="T1040"/>
      <c r="U1040"/>
      <c r="V1040"/>
      <c r="W1040"/>
      <c r="X1040"/>
      <c r="Y1040" s="45"/>
      <c r="AC1040" s="45"/>
    </row>
    <row r="1041" spans="2:29" s="341" customFormat="1" ht="21.75" customHeight="1">
      <c r="B1041" s="68"/>
      <c r="C1041" s="69"/>
      <c r="D1041" s="77"/>
      <c r="E1041" s="72"/>
      <c r="F1041" s="70"/>
      <c r="G1041" s="19"/>
      <c r="H1041" s="77"/>
      <c r="I1041" s="71"/>
      <c r="J1041" s="71"/>
      <c r="K1041" s="71"/>
      <c r="L1041" s="71"/>
      <c r="M1041" s="71"/>
      <c r="N1041" s="80"/>
      <c r="O1041" s="74"/>
      <c r="P1041" s="296"/>
      <c r="Q1041"/>
      <c r="R1041"/>
      <c r="S1041"/>
      <c r="T1041"/>
      <c r="U1041"/>
      <c r="V1041"/>
      <c r="W1041"/>
      <c r="X1041"/>
      <c r="Y1041" s="45"/>
      <c r="AC1041" s="45"/>
    </row>
    <row r="1042" spans="2:29" ht="21.75" customHeight="1">
      <c r="B1042" s="68"/>
      <c r="C1042" s="69"/>
      <c r="D1042" s="77"/>
      <c r="E1042" s="72"/>
      <c r="F1042" s="76"/>
      <c r="G1042" s="71"/>
      <c r="H1042" s="72"/>
      <c r="I1042" s="71"/>
      <c r="J1042" s="342"/>
      <c r="K1042" s="73"/>
      <c r="L1042" s="71"/>
      <c r="M1042" s="71"/>
      <c r="N1042" s="80"/>
      <c r="O1042" s="295"/>
      <c r="P1042" s="75"/>
      <c r="Z1042" s="16"/>
      <c r="AA1042" s="16"/>
      <c r="AB1042" s="16"/>
    </row>
    <row r="1043" spans="2:29" ht="21.75" customHeight="1">
      <c r="B1043" s="68"/>
      <c r="C1043" s="69"/>
      <c r="D1043" s="77"/>
      <c r="E1043" s="72"/>
      <c r="F1043" s="76"/>
      <c r="G1043" s="71"/>
      <c r="H1043" s="77"/>
      <c r="I1043" s="71"/>
      <c r="J1043" s="71"/>
      <c r="K1043" s="71"/>
      <c r="L1043" s="71"/>
      <c r="M1043" s="71"/>
      <c r="N1043" s="80"/>
      <c r="O1043" s="74"/>
      <c r="P1043" s="75"/>
      <c r="Z1043" s="16"/>
      <c r="AA1043" s="16"/>
      <c r="AB1043" s="16"/>
    </row>
    <row r="1044" spans="2:29" ht="21.75" customHeight="1">
      <c r="B1044" s="68"/>
      <c r="C1044" s="69"/>
      <c r="D1044" s="77"/>
      <c r="E1044" s="72"/>
      <c r="F1044" s="76"/>
      <c r="G1044" s="78"/>
      <c r="H1044" s="77"/>
      <c r="I1044" s="71"/>
      <c r="J1044" s="71"/>
      <c r="K1044" s="78"/>
      <c r="L1044" s="71"/>
      <c r="M1044" s="71"/>
      <c r="N1044" s="80"/>
      <c r="O1044" s="74"/>
      <c r="P1044" s="75"/>
      <c r="Z1044" s="16"/>
      <c r="AA1044" s="16"/>
      <c r="AB1044" s="16"/>
    </row>
    <row r="1045" spans="2:29" ht="21.75" customHeight="1">
      <c r="B1045" s="68"/>
      <c r="C1045" s="69"/>
      <c r="D1045" s="77"/>
      <c r="E1045" s="72"/>
      <c r="F1045" s="76"/>
      <c r="G1045" s="71"/>
      <c r="H1045" s="77"/>
      <c r="I1045" s="71"/>
      <c r="J1045" s="71"/>
      <c r="K1045" s="76"/>
      <c r="L1045" s="76"/>
      <c r="M1045" s="71"/>
      <c r="N1045" s="80"/>
      <c r="O1045" s="82"/>
      <c r="P1045" s="75"/>
      <c r="Z1045" s="16"/>
      <c r="AA1045" s="16"/>
      <c r="AB1045" s="16"/>
    </row>
    <row r="1046" spans="2:29" ht="21.75" customHeight="1">
      <c r="B1046" s="68"/>
      <c r="C1046" s="69"/>
      <c r="D1046" s="77"/>
      <c r="E1046" s="72"/>
      <c r="F1046" s="76"/>
      <c r="G1046" s="71"/>
      <c r="H1046" s="77"/>
      <c r="I1046" s="71"/>
      <c r="J1046" s="71"/>
      <c r="K1046" s="71"/>
      <c r="L1046" s="71"/>
      <c r="M1046" s="71"/>
      <c r="N1046" s="80"/>
      <c r="O1046" s="74"/>
      <c r="P1046" s="75"/>
      <c r="Z1046" s="16"/>
      <c r="AA1046" s="16"/>
      <c r="AB1046" s="16"/>
    </row>
    <row r="1047" spans="2:29" ht="21.75" customHeight="1">
      <c r="B1047" s="68"/>
      <c r="C1047" s="69"/>
      <c r="D1047" s="77"/>
      <c r="E1047" s="72"/>
      <c r="F1047" s="76"/>
      <c r="G1047" s="71"/>
      <c r="H1047" s="77"/>
      <c r="I1047" s="71"/>
      <c r="J1047" s="71"/>
      <c r="K1047" s="71"/>
      <c r="L1047" s="71"/>
      <c r="M1047" s="71"/>
      <c r="N1047" s="80"/>
      <c r="O1047" s="74"/>
      <c r="P1047" s="75"/>
      <c r="Z1047" s="16"/>
      <c r="AA1047" s="16"/>
      <c r="AB1047" s="16"/>
    </row>
    <row r="1048" spans="2:29" ht="21.75" customHeight="1">
      <c r="B1048" s="68"/>
      <c r="C1048" s="69"/>
      <c r="D1048" s="77"/>
      <c r="E1048" s="72"/>
      <c r="F1048" s="76"/>
      <c r="G1048" s="71"/>
      <c r="H1048" s="77"/>
      <c r="I1048" s="71"/>
      <c r="J1048" s="71"/>
      <c r="K1048" s="71"/>
      <c r="L1048" s="71"/>
      <c r="M1048" s="71"/>
      <c r="N1048" s="80"/>
      <c r="O1048" s="74"/>
      <c r="P1048" s="75"/>
      <c r="Z1048" s="16"/>
      <c r="AA1048" s="16"/>
      <c r="AB1048" s="16"/>
    </row>
    <row r="1049" spans="2:29" ht="21.75" customHeight="1">
      <c r="B1049" s="68"/>
      <c r="C1049" s="69"/>
      <c r="D1049" s="77"/>
      <c r="E1049" s="72"/>
      <c r="F1049" s="76"/>
      <c r="G1049" s="71"/>
      <c r="H1049" s="72"/>
      <c r="I1049" s="71"/>
      <c r="J1049" s="71"/>
      <c r="K1049" s="73"/>
      <c r="L1049" s="73"/>
      <c r="M1049" s="71"/>
      <c r="N1049" s="80"/>
      <c r="O1049" s="74"/>
      <c r="P1049" s="75"/>
      <c r="Z1049" s="16"/>
      <c r="AA1049" s="16"/>
      <c r="AB1049" s="16"/>
    </row>
    <row r="1050" spans="2:29" ht="21.75" customHeight="1">
      <c r="B1050" s="68"/>
      <c r="C1050" s="69"/>
      <c r="D1050" s="77"/>
      <c r="E1050" s="72"/>
      <c r="F1050" s="76"/>
      <c r="G1050" s="71"/>
      <c r="H1050" s="72"/>
      <c r="I1050" s="71"/>
      <c r="J1050" s="71"/>
      <c r="K1050" s="73"/>
      <c r="L1050" s="73"/>
      <c r="M1050" s="71"/>
      <c r="N1050" s="80"/>
      <c r="O1050" s="74"/>
      <c r="P1050" s="75"/>
      <c r="Z1050" s="16"/>
      <c r="AA1050" s="16"/>
      <c r="AB1050" s="16"/>
    </row>
    <row r="1051" spans="2:29" ht="21.75" customHeight="1">
      <c r="B1051" s="68"/>
      <c r="C1051" s="69"/>
      <c r="D1051" s="77"/>
      <c r="E1051" s="72"/>
      <c r="F1051" s="76"/>
      <c r="G1051" s="71"/>
      <c r="H1051" s="77"/>
      <c r="I1051" s="71"/>
      <c r="J1051" s="71"/>
      <c r="K1051" s="78"/>
      <c r="L1051" s="71"/>
      <c r="M1051" s="71"/>
      <c r="N1051" s="80"/>
      <c r="O1051" s="74"/>
      <c r="P1051" s="75"/>
      <c r="Z1051" s="16"/>
      <c r="AA1051" s="16"/>
      <c r="AB1051" s="16"/>
    </row>
    <row r="1052" spans="2:29" ht="21.75" customHeight="1">
      <c r="B1052" s="68"/>
      <c r="C1052" s="69"/>
      <c r="D1052" s="77"/>
      <c r="E1052" s="72"/>
      <c r="F1052" s="76"/>
      <c r="G1052" s="71"/>
      <c r="H1052" s="77"/>
      <c r="I1052" s="71"/>
      <c r="J1052" s="71"/>
      <c r="K1052" s="73"/>
      <c r="L1052" s="71"/>
      <c r="M1052" s="71"/>
      <c r="N1052" s="80"/>
      <c r="O1052" s="74"/>
      <c r="P1052" s="75"/>
      <c r="Z1052" s="16"/>
      <c r="AA1052" s="16"/>
      <c r="AB1052" s="16"/>
    </row>
    <row r="1053" spans="2:29" ht="21.75" customHeight="1">
      <c r="B1053" s="68"/>
      <c r="C1053" s="69"/>
      <c r="D1053" s="77"/>
      <c r="E1053" s="72"/>
      <c r="F1053" s="76"/>
      <c r="G1053" s="71"/>
      <c r="H1053" s="72"/>
      <c r="I1053" s="71"/>
      <c r="J1053" s="71"/>
      <c r="K1053" s="73"/>
      <c r="L1053" s="73"/>
      <c r="M1053" s="71"/>
      <c r="N1053" s="80"/>
      <c r="O1053" s="74"/>
      <c r="P1053" s="75"/>
      <c r="Z1053" s="16"/>
      <c r="AA1053" s="16"/>
      <c r="AB1053" s="16"/>
    </row>
    <row r="1054" spans="2:29" ht="21.75" customHeight="1">
      <c r="B1054" s="68"/>
      <c r="C1054" s="69"/>
      <c r="D1054" s="77"/>
      <c r="E1054" s="72"/>
      <c r="F1054" s="76"/>
      <c r="G1054" s="71"/>
      <c r="H1054" s="77"/>
      <c r="I1054" s="71"/>
      <c r="J1054" s="71"/>
      <c r="K1054" s="71"/>
      <c r="L1054" s="71"/>
      <c r="M1054" s="71"/>
      <c r="N1054" s="80"/>
      <c r="O1054" s="74"/>
      <c r="P1054" s="75"/>
      <c r="Z1054" s="16"/>
      <c r="AA1054" s="16"/>
      <c r="AB1054" s="16"/>
    </row>
    <row r="1055" spans="2:29" ht="21.75" customHeight="1">
      <c r="B1055" s="68"/>
      <c r="C1055" s="69"/>
      <c r="D1055" s="77"/>
      <c r="E1055" s="72"/>
      <c r="F1055" s="76"/>
      <c r="G1055" s="71"/>
      <c r="H1055" s="77"/>
      <c r="I1055" s="71"/>
      <c r="J1055" s="71"/>
      <c r="K1055" s="71"/>
      <c r="L1055" s="71"/>
      <c r="M1055" s="71"/>
      <c r="N1055" s="80"/>
      <c r="O1055" s="74"/>
      <c r="P1055" s="75"/>
      <c r="Z1055" s="16"/>
      <c r="AA1055" s="16"/>
      <c r="AB1055" s="16"/>
    </row>
    <row r="1056" spans="2:29" ht="21.75" customHeight="1">
      <c r="B1056" s="68"/>
      <c r="C1056" s="69"/>
      <c r="D1056" s="77"/>
      <c r="E1056" s="72"/>
      <c r="F1056" s="76"/>
      <c r="G1056" s="71"/>
      <c r="H1056" s="77"/>
      <c r="I1056" s="71"/>
      <c r="J1056" s="71"/>
      <c r="K1056" s="73"/>
      <c r="L1056" s="73"/>
      <c r="M1056" s="71"/>
      <c r="N1056" s="80"/>
      <c r="O1056" s="74"/>
      <c r="P1056" s="75"/>
      <c r="Z1056" s="16"/>
      <c r="AA1056" s="16"/>
      <c r="AB1056" s="16"/>
    </row>
    <row r="1057" spans="2:28" ht="21.75" customHeight="1">
      <c r="B1057" s="68"/>
      <c r="C1057" s="69"/>
      <c r="D1057" s="77"/>
      <c r="E1057" s="72"/>
      <c r="F1057" s="76"/>
      <c r="G1057" s="71"/>
      <c r="H1057" s="77"/>
      <c r="I1057" s="71"/>
      <c r="J1057" s="71"/>
      <c r="K1057" s="71"/>
      <c r="L1057" s="71"/>
      <c r="M1057" s="71"/>
      <c r="N1057" s="80"/>
      <c r="O1057" s="74"/>
      <c r="P1057" s="75"/>
      <c r="Z1057" s="16"/>
      <c r="AA1057" s="16"/>
      <c r="AB1057" s="16"/>
    </row>
    <row r="1058" spans="2:28" ht="21.75" customHeight="1">
      <c r="B1058" s="68"/>
      <c r="C1058" s="69"/>
      <c r="D1058" s="77"/>
      <c r="E1058" s="72"/>
      <c r="F1058" s="76"/>
      <c r="G1058" s="71"/>
      <c r="H1058" s="77"/>
      <c r="I1058" s="71"/>
      <c r="J1058" s="71"/>
      <c r="K1058" s="76"/>
      <c r="L1058" s="76"/>
      <c r="M1058" s="71"/>
      <c r="N1058" s="80"/>
      <c r="O1058" s="82"/>
      <c r="P1058" s="75"/>
      <c r="Z1058" s="16"/>
      <c r="AA1058" s="16"/>
      <c r="AB1058" s="16"/>
    </row>
    <row r="1059" spans="2:28" ht="21.75" customHeight="1">
      <c r="B1059" s="68"/>
      <c r="C1059" s="69"/>
      <c r="D1059" s="77"/>
      <c r="E1059" s="72"/>
      <c r="F1059" s="76"/>
      <c r="G1059" s="71"/>
      <c r="H1059" s="72"/>
      <c r="I1059" s="71"/>
      <c r="J1059" s="71"/>
      <c r="K1059" s="73"/>
      <c r="L1059" s="73"/>
      <c r="M1059" s="71"/>
      <c r="N1059" s="80"/>
      <c r="O1059" s="74"/>
      <c r="P1059" s="75"/>
      <c r="Z1059" s="16"/>
      <c r="AA1059" s="16"/>
      <c r="AB1059" s="16"/>
    </row>
    <row r="1060" spans="2:28" ht="21.75" customHeight="1">
      <c r="B1060" s="68"/>
      <c r="C1060" s="69"/>
      <c r="D1060" s="77"/>
      <c r="E1060" s="72"/>
      <c r="F1060" s="70"/>
      <c r="G1060" s="71"/>
      <c r="H1060" s="77"/>
      <c r="I1060" s="71"/>
      <c r="J1060" s="71"/>
      <c r="K1060" s="71"/>
      <c r="L1060" s="71"/>
      <c r="M1060" s="71"/>
      <c r="N1060" s="80"/>
      <c r="O1060" s="74"/>
      <c r="P1060" s="75"/>
      <c r="Z1060" s="16"/>
      <c r="AA1060" s="16"/>
      <c r="AB1060" s="16"/>
    </row>
    <row r="1061" spans="2:28" ht="21.75" customHeight="1">
      <c r="B1061" s="68"/>
      <c r="C1061" s="69"/>
      <c r="D1061" s="77"/>
      <c r="E1061" s="72"/>
      <c r="F1061" s="76"/>
      <c r="G1061" s="71"/>
      <c r="H1061" s="77"/>
      <c r="I1061" s="71"/>
      <c r="J1061" s="71"/>
      <c r="K1061" s="78"/>
      <c r="L1061" s="71"/>
      <c r="M1061" s="71"/>
      <c r="N1061" s="80"/>
      <c r="O1061" s="74"/>
      <c r="P1061" s="75"/>
      <c r="Z1061" s="16"/>
      <c r="AA1061" s="16"/>
      <c r="AB1061" s="16"/>
    </row>
    <row r="1062" spans="2:28" ht="21.75" customHeight="1">
      <c r="B1062" s="68"/>
      <c r="C1062" s="69"/>
      <c r="D1062" s="77"/>
      <c r="E1062" s="72"/>
      <c r="F1062" s="76"/>
      <c r="G1062" s="71"/>
      <c r="H1062" s="77"/>
      <c r="I1062" s="71"/>
      <c r="J1062" s="71"/>
      <c r="K1062" s="76"/>
      <c r="L1062" s="76"/>
      <c r="M1062" s="71"/>
      <c r="N1062" s="80"/>
      <c r="O1062" s="82"/>
      <c r="P1062" s="75"/>
      <c r="Z1062" s="16"/>
      <c r="AA1062" s="16"/>
      <c r="AB1062" s="16"/>
    </row>
    <row r="1063" spans="2:28" ht="21.75" customHeight="1">
      <c r="B1063" s="68"/>
      <c r="C1063" s="69"/>
      <c r="D1063" s="77"/>
      <c r="E1063" s="72"/>
      <c r="F1063" s="76"/>
      <c r="G1063" s="78"/>
      <c r="H1063" s="72"/>
      <c r="I1063" s="71"/>
      <c r="J1063" s="71"/>
      <c r="K1063" s="78"/>
      <c r="L1063" s="71"/>
      <c r="M1063" s="71"/>
      <c r="N1063" s="80"/>
      <c r="O1063" s="74"/>
      <c r="P1063" s="75"/>
      <c r="Z1063" s="16"/>
      <c r="AA1063" s="16"/>
      <c r="AB1063" s="16"/>
    </row>
    <row r="1064" spans="2:28" ht="21.75" customHeight="1">
      <c r="B1064" s="68"/>
      <c r="C1064" s="69"/>
      <c r="D1064" s="77"/>
      <c r="E1064" s="72"/>
      <c r="F1064" s="76"/>
      <c r="G1064" s="71"/>
      <c r="H1064" s="77"/>
      <c r="I1064" s="71"/>
      <c r="J1064" s="71"/>
      <c r="K1064" s="76"/>
      <c r="L1064" s="76"/>
      <c r="M1064" s="71"/>
      <c r="N1064" s="80"/>
      <c r="O1064" s="82"/>
      <c r="P1064" s="75"/>
      <c r="Z1064" s="16"/>
      <c r="AA1064" s="16"/>
      <c r="AB1064" s="16"/>
    </row>
    <row r="1065" spans="2:28" ht="21.75" customHeight="1">
      <c r="B1065" s="68"/>
      <c r="C1065" s="69"/>
      <c r="D1065" s="77"/>
      <c r="E1065" s="72"/>
      <c r="F1065" s="76"/>
      <c r="G1065" s="71"/>
      <c r="H1065" s="77"/>
      <c r="I1065" s="71"/>
      <c r="J1065" s="71"/>
      <c r="K1065" s="76"/>
      <c r="L1065" s="76"/>
      <c r="M1065" s="71"/>
      <c r="N1065" s="80"/>
      <c r="O1065" s="82"/>
      <c r="P1065" s="75"/>
      <c r="Z1065" s="16"/>
      <c r="AA1065" s="16"/>
      <c r="AB1065" s="16"/>
    </row>
    <row r="1066" spans="2:28" ht="21.75" customHeight="1">
      <c r="B1066" s="68"/>
      <c r="C1066" s="69"/>
      <c r="D1066" s="77"/>
      <c r="E1066" s="72"/>
      <c r="F1066" s="76"/>
      <c r="G1066" s="71"/>
      <c r="H1066" s="77"/>
      <c r="I1066" s="71"/>
      <c r="J1066" s="71"/>
      <c r="K1066" s="76"/>
      <c r="L1066" s="76"/>
      <c r="M1066" s="71"/>
      <c r="N1066" s="80"/>
      <c r="O1066" s="82"/>
      <c r="P1066" s="75"/>
      <c r="Z1066" s="16"/>
      <c r="AA1066" s="16"/>
      <c r="AB1066" s="16"/>
    </row>
    <row r="1067" spans="2:28" ht="21.75" customHeight="1">
      <c r="B1067" s="68"/>
      <c r="C1067" s="69"/>
      <c r="D1067" s="77"/>
      <c r="E1067" s="72"/>
      <c r="F1067" s="76"/>
      <c r="G1067" s="71"/>
      <c r="H1067" s="77"/>
      <c r="I1067" s="71"/>
      <c r="J1067" s="71"/>
      <c r="K1067" s="76"/>
      <c r="L1067" s="76"/>
      <c r="M1067" s="71"/>
      <c r="N1067" s="80"/>
      <c r="O1067" s="82"/>
      <c r="P1067" s="75"/>
      <c r="Z1067" s="16"/>
      <c r="AA1067" s="16"/>
      <c r="AB1067" s="16"/>
    </row>
    <row r="1068" spans="2:28" ht="21.75" customHeight="1">
      <c r="B1068" s="68"/>
      <c r="C1068" s="69"/>
      <c r="D1068" s="77"/>
      <c r="E1068" s="72"/>
      <c r="F1068" s="76"/>
      <c r="G1068" s="71"/>
      <c r="H1068" s="77"/>
      <c r="I1068" s="71"/>
      <c r="J1068" s="71"/>
      <c r="K1068" s="76"/>
      <c r="L1068" s="76"/>
      <c r="M1068" s="71"/>
      <c r="N1068" s="80"/>
      <c r="O1068" s="82"/>
      <c r="P1068" s="75"/>
      <c r="Z1068" s="16"/>
      <c r="AA1068" s="16"/>
      <c r="AB1068" s="16"/>
    </row>
    <row r="1069" spans="2:28" ht="21.75" customHeight="1">
      <c r="B1069" s="68"/>
      <c r="C1069" s="69"/>
      <c r="D1069" s="77"/>
      <c r="E1069" s="72"/>
      <c r="F1069" s="76"/>
      <c r="G1069" s="71"/>
      <c r="H1069" s="77"/>
      <c r="I1069" s="71"/>
      <c r="J1069" s="71"/>
      <c r="K1069" s="71"/>
      <c r="L1069" s="71"/>
      <c r="M1069" s="71"/>
      <c r="N1069" s="80"/>
      <c r="O1069" s="74"/>
      <c r="P1069" s="75"/>
      <c r="Z1069" s="16"/>
      <c r="AA1069" s="16"/>
      <c r="AB1069" s="16"/>
    </row>
    <row r="1070" spans="2:28" ht="21.75" customHeight="1">
      <c r="B1070" s="68"/>
      <c r="C1070" s="69"/>
      <c r="D1070" s="77"/>
      <c r="E1070" s="72"/>
      <c r="F1070" s="76"/>
      <c r="G1070" s="71"/>
      <c r="H1070" s="77"/>
      <c r="I1070" s="71"/>
      <c r="J1070" s="71"/>
      <c r="K1070" s="71"/>
      <c r="L1070" s="71"/>
      <c r="M1070" s="71"/>
      <c r="N1070" s="80"/>
      <c r="O1070" s="74"/>
      <c r="P1070" s="75"/>
      <c r="Z1070" s="16"/>
      <c r="AA1070" s="16"/>
      <c r="AB1070" s="16"/>
    </row>
    <row r="1071" spans="2:28" ht="21.75" customHeight="1">
      <c r="B1071" s="68"/>
      <c r="C1071" s="69"/>
      <c r="D1071" s="77"/>
      <c r="E1071" s="72"/>
      <c r="F1071" s="76"/>
      <c r="G1071" s="71"/>
      <c r="H1071" s="77"/>
      <c r="I1071" s="71"/>
      <c r="J1071" s="71"/>
      <c r="K1071" s="71"/>
      <c r="L1071" s="71"/>
      <c r="M1071" s="71"/>
      <c r="N1071" s="80"/>
      <c r="O1071" s="74"/>
      <c r="P1071" s="75"/>
      <c r="Z1071" s="16"/>
      <c r="AA1071" s="16"/>
      <c r="AB1071" s="16"/>
    </row>
    <row r="1072" spans="2:28" ht="21.75" customHeight="1">
      <c r="B1072" s="68"/>
      <c r="C1072" s="69"/>
      <c r="D1072" s="77"/>
      <c r="E1072" s="72"/>
      <c r="F1072" s="76"/>
      <c r="G1072" s="71"/>
      <c r="H1072" s="77"/>
      <c r="I1072" s="71"/>
      <c r="J1072" s="71"/>
      <c r="K1072" s="71"/>
      <c r="L1072" s="71"/>
      <c r="M1072" s="71"/>
      <c r="N1072" s="80"/>
      <c r="O1072" s="74"/>
      <c r="P1072" s="75"/>
      <c r="Z1072" s="16"/>
      <c r="AA1072" s="16"/>
      <c r="AB1072" s="16"/>
    </row>
    <row r="1073" spans="2:28" ht="21.75" customHeight="1">
      <c r="B1073" s="68"/>
      <c r="C1073" s="69"/>
      <c r="D1073" s="77"/>
      <c r="E1073" s="72"/>
      <c r="F1073" s="76"/>
      <c r="G1073" s="71"/>
      <c r="H1073" s="77"/>
      <c r="I1073" s="71"/>
      <c r="J1073" s="71"/>
      <c r="K1073" s="71"/>
      <c r="L1073" s="71"/>
      <c r="M1073" s="71"/>
      <c r="N1073" s="80"/>
      <c r="O1073" s="74"/>
      <c r="P1073" s="75"/>
      <c r="Z1073" s="16"/>
      <c r="AA1073" s="16"/>
      <c r="AB1073" s="16"/>
    </row>
    <row r="1074" spans="2:28" ht="21.75" customHeight="1">
      <c r="B1074" s="68"/>
      <c r="C1074" s="69"/>
      <c r="D1074" s="77"/>
      <c r="E1074" s="72"/>
      <c r="F1074" s="76"/>
      <c r="G1074" s="71"/>
      <c r="H1074" s="72"/>
      <c r="I1074" s="71"/>
      <c r="J1074" s="71"/>
      <c r="K1074" s="73"/>
      <c r="L1074" s="73"/>
      <c r="M1074" s="71"/>
      <c r="N1074" s="80"/>
      <c r="O1074" s="74"/>
      <c r="P1074" s="75"/>
      <c r="Z1074" s="16"/>
      <c r="AA1074" s="16"/>
      <c r="AB1074" s="16"/>
    </row>
    <row r="1075" spans="2:28" ht="21.75" customHeight="1">
      <c r="B1075" s="68"/>
      <c r="C1075" s="69"/>
      <c r="D1075" s="77"/>
      <c r="E1075" s="72"/>
      <c r="F1075" s="76"/>
      <c r="G1075" s="71"/>
      <c r="H1075" s="77"/>
      <c r="I1075" s="71"/>
      <c r="J1075" s="71"/>
      <c r="K1075" s="71"/>
      <c r="L1075" s="71"/>
      <c r="M1075" s="71"/>
      <c r="N1075" s="80"/>
      <c r="O1075" s="74"/>
      <c r="P1075" s="75"/>
      <c r="Z1075" s="16"/>
      <c r="AA1075" s="16"/>
      <c r="AB1075" s="16"/>
    </row>
    <row r="1076" spans="2:28" ht="21.75" customHeight="1">
      <c r="B1076" s="68"/>
      <c r="C1076" s="69"/>
      <c r="D1076" s="77"/>
      <c r="E1076" s="72"/>
      <c r="F1076" s="76"/>
      <c r="G1076" s="71"/>
      <c r="H1076" s="77"/>
      <c r="I1076" s="71"/>
      <c r="J1076" s="71"/>
      <c r="K1076" s="71"/>
      <c r="L1076" s="71"/>
      <c r="M1076" s="71"/>
      <c r="N1076" s="80"/>
      <c r="O1076" s="74"/>
      <c r="P1076" s="75"/>
      <c r="Z1076" s="16"/>
      <c r="AA1076" s="16"/>
      <c r="AB1076" s="16"/>
    </row>
    <row r="1077" spans="2:28" ht="21.75" customHeight="1">
      <c r="B1077" s="68"/>
      <c r="C1077" s="69"/>
      <c r="D1077" s="77"/>
      <c r="E1077" s="72"/>
      <c r="F1077" s="76"/>
      <c r="G1077" s="71"/>
      <c r="H1077" s="77"/>
      <c r="I1077" s="71"/>
      <c r="J1077" s="71"/>
      <c r="K1077" s="71"/>
      <c r="L1077" s="71"/>
      <c r="M1077" s="71"/>
      <c r="N1077" s="80"/>
      <c r="O1077" s="74"/>
      <c r="P1077" s="75"/>
      <c r="Z1077" s="16"/>
      <c r="AA1077" s="16"/>
      <c r="AB1077" s="16"/>
    </row>
    <row r="1078" spans="2:28" ht="21.75" customHeight="1">
      <c r="B1078" s="68"/>
      <c r="C1078" s="69"/>
      <c r="D1078" s="77"/>
      <c r="E1078" s="72"/>
      <c r="F1078" s="76"/>
      <c r="G1078" s="71"/>
      <c r="H1078" s="77"/>
      <c r="I1078" s="71"/>
      <c r="J1078" s="71"/>
      <c r="K1078" s="71"/>
      <c r="L1078" s="71"/>
      <c r="M1078" s="71"/>
      <c r="N1078" s="80"/>
      <c r="O1078" s="74"/>
      <c r="P1078" s="75"/>
      <c r="Z1078" s="16"/>
      <c r="AA1078" s="16"/>
      <c r="AB1078" s="16"/>
    </row>
    <row r="1079" spans="2:28" ht="21.75" customHeight="1">
      <c r="B1079" s="68"/>
      <c r="C1079" s="69"/>
      <c r="D1079" s="77"/>
      <c r="E1079" s="72"/>
      <c r="F1079" s="76"/>
      <c r="G1079" s="71"/>
      <c r="H1079" s="77"/>
      <c r="I1079" s="71"/>
      <c r="J1079" s="71"/>
      <c r="K1079" s="71"/>
      <c r="L1079" s="71"/>
      <c r="M1079" s="71"/>
      <c r="N1079" s="80"/>
      <c r="O1079" s="74"/>
      <c r="P1079" s="75"/>
      <c r="Z1079" s="16"/>
      <c r="AA1079" s="16"/>
      <c r="AB1079" s="16"/>
    </row>
    <row r="1080" spans="2:28" ht="21.75" customHeight="1">
      <c r="B1080" s="68"/>
      <c r="C1080" s="69"/>
      <c r="D1080" s="77"/>
      <c r="E1080" s="72"/>
      <c r="F1080" s="76"/>
      <c r="G1080" s="71"/>
      <c r="H1080" s="77"/>
      <c r="I1080" s="71"/>
      <c r="J1080" s="71"/>
      <c r="K1080" s="76"/>
      <c r="L1080" s="76"/>
      <c r="M1080" s="71"/>
      <c r="N1080" s="80"/>
      <c r="O1080" s="82"/>
      <c r="P1080" s="75"/>
      <c r="Z1080" s="16"/>
      <c r="AA1080" s="16"/>
      <c r="AB1080" s="16"/>
    </row>
    <row r="1081" spans="2:28" ht="21.75" customHeight="1">
      <c r="B1081" s="68"/>
      <c r="C1081" s="69"/>
      <c r="D1081" s="77"/>
      <c r="E1081" s="72"/>
      <c r="F1081" s="76"/>
      <c r="G1081" s="71"/>
      <c r="H1081" s="77"/>
      <c r="I1081" s="71"/>
      <c r="J1081" s="71"/>
      <c r="K1081" s="71"/>
      <c r="L1081" s="71"/>
      <c r="M1081" s="71"/>
      <c r="N1081" s="80"/>
      <c r="O1081" s="74"/>
      <c r="P1081" s="75"/>
      <c r="Z1081" s="16"/>
      <c r="AA1081" s="16"/>
      <c r="AB1081" s="16"/>
    </row>
    <row r="1082" spans="2:28" ht="21.75" customHeight="1">
      <c r="B1082" s="68"/>
      <c r="C1082" s="69"/>
      <c r="D1082" s="77"/>
      <c r="E1082" s="72"/>
      <c r="F1082" s="76"/>
      <c r="G1082" s="71"/>
      <c r="H1082" s="77"/>
      <c r="I1082" s="71"/>
      <c r="J1082" s="71"/>
      <c r="K1082" s="76"/>
      <c r="L1082" s="71"/>
      <c r="M1082" s="71"/>
      <c r="N1082" s="80"/>
      <c r="O1082" s="82"/>
      <c r="P1082" s="75"/>
      <c r="Z1082" s="16"/>
      <c r="AA1082" s="16"/>
      <c r="AB1082" s="16"/>
    </row>
    <row r="1083" spans="2:28" ht="21.75" customHeight="1">
      <c r="B1083" s="68"/>
      <c r="C1083" s="69"/>
      <c r="D1083" s="77"/>
      <c r="E1083" s="72"/>
      <c r="F1083" s="76"/>
      <c r="G1083" s="71"/>
      <c r="H1083" s="77"/>
      <c r="I1083" s="71"/>
      <c r="J1083" s="71"/>
      <c r="K1083" s="76"/>
      <c r="L1083" s="71"/>
      <c r="M1083" s="71"/>
      <c r="N1083" s="80"/>
      <c r="O1083" s="82"/>
      <c r="P1083" s="75"/>
      <c r="Z1083" s="16"/>
      <c r="AA1083" s="16"/>
      <c r="AB1083" s="16"/>
    </row>
    <row r="1084" spans="2:28" ht="21.75" customHeight="1">
      <c r="B1084" s="68"/>
      <c r="C1084" s="69"/>
      <c r="D1084" s="77"/>
      <c r="E1084" s="72"/>
      <c r="F1084" s="76"/>
      <c r="G1084" s="71"/>
      <c r="H1084" s="72"/>
      <c r="I1084" s="71"/>
      <c r="J1084" s="71"/>
      <c r="K1084" s="73"/>
      <c r="L1084" s="73"/>
      <c r="M1084" s="71"/>
      <c r="N1084" s="80"/>
      <c r="O1084" s="74"/>
      <c r="P1084" s="75"/>
      <c r="Z1084" s="16"/>
      <c r="AA1084" s="16"/>
      <c r="AB1084" s="16"/>
    </row>
    <row r="1085" spans="2:28" ht="21.75" customHeight="1">
      <c r="B1085" s="83"/>
      <c r="C1085" s="84"/>
      <c r="D1085" s="77"/>
      <c r="E1085" s="72"/>
      <c r="F1085" s="85"/>
      <c r="G1085" s="85"/>
      <c r="H1085" s="86"/>
      <c r="I1085" s="85"/>
      <c r="J1085" s="85"/>
      <c r="K1085" s="87"/>
      <c r="L1085" s="87"/>
      <c r="M1085" s="71"/>
      <c r="N1085" s="80"/>
      <c r="O1085" s="326"/>
      <c r="P1085" s="75"/>
      <c r="Z1085" s="16"/>
      <c r="AA1085" s="16"/>
      <c r="AB1085" s="16"/>
    </row>
    <row r="1086" spans="2:28" ht="21.75" customHeight="1">
      <c r="B1086" s="68"/>
      <c r="C1086" s="69"/>
      <c r="D1086" s="77"/>
      <c r="E1086" s="72"/>
      <c r="F1086" s="76"/>
      <c r="G1086" s="71"/>
      <c r="H1086" s="77"/>
      <c r="I1086" s="71"/>
      <c r="J1086" s="71"/>
      <c r="K1086" s="76"/>
      <c r="L1086" s="76"/>
      <c r="M1086" s="71"/>
      <c r="N1086" s="80"/>
      <c r="O1086" s="82"/>
      <c r="P1086" s="75"/>
      <c r="Z1086" s="16"/>
      <c r="AA1086" s="16"/>
      <c r="AB1086" s="16"/>
    </row>
    <row r="1087" spans="2:28" ht="21.75" customHeight="1">
      <c r="B1087" s="68"/>
      <c r="C1087" s="69"/>
      <c r="D1087" s="77"/>
      <c r="E1087" s="72"/>
      <c r="F1087" s="76"/>
      <c r="G1087" s="71"/>
      <c r="H1087" s="77"/>
      <c r="I1087" s="71"/>
      <c r="J1087" s="71"/>
      <c r="K1087" s="71"/>
      <c r="L1087" s="71"/>
      <c r="M1087" s="71"/>
      <c r="N1087" s="80"/>
      <c r="O1087" s="74"/>
      <c r="Z1087" s="16"/>
      <c r="AA1087" s="16"/>
      <c r="AB1087" s="16"/>
    </row>
    <row r="1088" spans="2:28" ht="21.75" customHeight="1">
      <c r="B1088" s="68"/>
      <c r="C1088" s="69"/>
      <c r="D1088" s="77"/>
      <c r="E1088" s="72"/>
      <c r="F1088" s="76"/>
      <c r="G1088" s="71"/>
      <c r="H1088" s="77"/>
      <c r="I1088" s="71"/>
      <c r="J1088" s="71"/>
      <c r="K1088" s="71"/>
      <c r="L1088" s="71"/>
      <c r="M1088" s="71"/>
      <c r="N1088" s="80"/>
      <c r="O1088" s="74"/>
      <c r="Z1088" s="16"/>
      <c r="AA1088" s="16"/>
      <c r="AB1088" s="16"/>
    </row>
    <row r="1089" spans="2:29" ht="21.75" customHeight="1">
      <c r="B1089" s="68"/>
      <c r="C1089" s="69"/>
      <c r="D1089" s="77"/>
      <c r="E1089" s="72"/>
      <c r="F1089" s="76"/>
      <c r="G1089" s="71"/>
      <c r="H1089" s="77"/>
      <c r="I1089" s="71"/>
      <c r="J1089" s="71"/>
      <c r="K1089" s="71"/>
      <c r="L1089" s="71"/>
      <c r="M1089" s="71"/>
      <c r="N1089" s="80"/>
      <c r="O1089" s="74"/>
      <c r="Z1089" s="16"/>
      <c r="AA1089" s="16"/>
      <c r="AB1089" s="16"/>
    </row>
    <row r="1090" spans="2:29" ht="21.75" customHeight="1">
      <c r="B1090" s="68"/>
      <c r="C1090" s="69"/>
      <c r="D1090" s="77"/>
      <c r="E1090" s="72"/>
      <c r="F1090" s="76"/>
      <c r="G1090" s="71"/>
      <c r="H1090" s="77"/>
      <c r="I1090" s="71"/>
      <c r="J1090" s="71"/>
      <c r="K1090" s="78"/>
      <c r="L1090" s="71"/>
      <c r="M1090" s="71"/>
      <c r="N1090" s="80"/>
      <c r="O1090" s="74"/>
      <c r="Z1090" s="16"/>
      <c r="AA1090" s="16"/>
      <c r="AB1090" s="16"/>
    </row>
    <row r="1091" spans="2:29" ht="21.75" customHeight="1">
      <c r="B1091" s="68"/>
      <c r="C1091" s="69"/>
      <c r="D1091" s="77"/>
      <c r="E1091" s="72"/>
      <c r="F1091" s="76"/>
      <c r="G1091" s="71"/>
      <c r="H1091" s="77"/>
      <c r="I1091" s="71"/>
      <c r="J1091" s="71"/>
      <c r="K1091" s="76"/>
      <c r="L1091" s="71"/>
      <c r="M1091" s="71"/>
      <c r="N1091" s="80"/>
      <c r="O1091" s="82"/>
      <c r="Z1091" s="16"/>
      <c r="AA1091" s="16"/>
      <c r="AB1091" s="16"/>
    </row>
    <row r="1092" spans="2:29" ht="21.75" customHeight="1">
      <c r="B1092" s="68"/>
      <c r="C1092" s="69"/>
      <c r="D1092" s="77"/>
      <c r="E1092" s="72"/>
      <c r="F1092" s="76"/>
      <c r="G1092" s="71"/>
      <c r="H1092" s="77"/>
      <c r="I1092" s="71"/>
      <c r="J1092" s="71"/>
      <c r="K1092" s="78"/>
      <c r="L1092" s="71"/>
      <c r="M1092" s="71"/>
      <c r="N1092" s="80"/>
      <c r="O1092" s="74"/>
      <c r="Z1092" s="16"/>
      <c r="AA1092" s="16"/>
      <c r="AB1092" s="16"/>
    </row>
    <row r="1093" spans="2:29" ht="21.75" customHeight="1">
      <c r="B1093" s="68"/>
      <c r="C1093" s="69"/>
      <c r="D1093" s="77"/>
      <c r="E1093" s="72"/>
      <c r="F1093" s="76"/>
      <c r="G1093" s="78"/>
      <c r="H1093" s="77"/>
      <c r="I1093" s="71"/>
      <c r="J1093" s="71"/>
      <c r="K1093" s="78"/>
      <c r="L1093" s="71"/>
      <c r="M1093" s="71"/>
      <c r="N1093" s="80"/>
      <c r="O1093" s="74"/>
      <c r="Z1093" s="16"/>
      <c r="AA1093" s="16"/>
      <c r="AB1093" s="16"/>
    </row>
    <row r="1094" spans="2:29" ht="21.75" customHeight="1">
      <c r="B1094" s="68"/>
      <c r="C1094" s="69"/>
      <c r="D1094" s="77"/>
      <c r="E1094" s="72"/>
      <c r="F1094" s="76"/>
      <c r="G1094" s="78"/>
      <c r="H1094" s="77"/>
      <c r="I1094" s="71"/>
      <c r="J1094" s="71"/>
      <c r="K1094" s="78"/>
      <c r="L1094" s="71"/>
      <c r="M1094" s="71"/>
      <c r="N1094" s="80"/>
      <c r="O1094" s="74"/>
      <c r="Z1094" s="16"/>
      <c r="AA1094" s="16"/>
      <c r="AB1094" s="16"/>
    </row>
    <row r="1095" spans="2:29" s="79" customFormat="1" ht="21.75" customHeight="1">
      <c r="B1095" s="68"/>
      <c r="C1095" s="69"/>
      <c r="D1095" s="77"/>
      <c r="E1095" s="72"/>
      <c r="F1095" s="76"/>
      <c r="G1095" s="78"/>
      <c r="H1095" s="77"/>
      <c r="I1095" s="71"/>
      <c r="J1095" s="71"/>
      <c r="K1095" s="78"/>
      <c r="L1095" s="71"/>
      <c r="M1095" s="71"/>
      <c r="N1095" s="80"/>
      <c r="O1095" s="74"/>
      <c r="P1095" s="75"/>
      <c r="Y1095" s="45"/>
      <c r="AC1095" s="45"/>
    </row>
    <row r="1096" spans="2:29" ht="21.75" customHeight="1">
      <c r="B1096" s="68"/>
      <c r="C1096" s="69"/>
      <c r="D1096" s="77"/>
      <c r="E1096" s="72"/>
      <c r="F1096" s="76"/>
      <c r="G1096" s="78"/>
      <c r="H1096" s="77"/>
      <c r="I1096" s="71"/>
      <c r="J1096" s="71"/>
      <c r="K1096" s="78"/>
      <c r="L1096" s="71"/>
      <c r="M1096" s="71"/>
      <c r="N1096" s="80"/>
      <c r="O1096" s="74"/>
      <c r="Z1096" s="16"/>
      <c r="AA1096" s="16"/>
      <c r="AB1096" s="16"/>
    </row>
    <row r="1097" spans="2:29" ht="21.75" customHeight="1">
      <c r="B1097" s="68"/>
      <c r="C1097" s="69"/>
      <c r="D1097" s="77"/>
      <c r="E1097" s="72"/>
      <c r="F1097" s="76"/>
      <c r="G1097" s="71"/>
      <c r="H1097" s="77"/>
      <c r="I1097" s="71"/>
      <c r="J1097" s="71"/>
      <c r="K1097" s="76"/>
      <c r="L1097" s="76"/>
      <c r="M1097" s="71"/>
      <c r="N1097" s="80"/>
      <c r="O1097" s="82"/>
      <c r="Z1097" s="16"/>
      <c r="AA1097" s="16"/>
      <c r="AB1097" s="16"/>
    </row>
    <row r="1098" spans="2:29" ht="21.75" customHeight="1">
      <c r="B1098" s="68"/>
      <c r="C1098" s="69"/>
      <c r="D1098" s="77"/>
      <c r="E1098" s="72"/>
      <c r="F1098" s="76"/>
      <c r="G1098" s="71"/>
      <c r="H1098" s="77"/>
      <c r="I1098" s="71"/>
      <c r="J1098" s="71"/>
      <c r="K1098" s="76"/>
      <c r="L1098" s="76"/>
      <c r="M1098" s="71"/>
      <c r="N1098" s="80"/>
      <c r="O1098" s="82"/>
      <c r="Z1098" s="16"/>
      <c r="AA1098" s="16"/>
      <c r="AB1098" s="16"/>
    </row>
    <row r="1099" spans="2:29" ht="21.75" customHeight="1">
      <c r="B1099" s="68"/>
      <c r="C1099" s="69"/>
      <c r="D1099" s="77"/>
      <c r="E1099" s="72"/>
      <c r="F1099" s="70"/>
      <c r="G1099" s="71"/>
      <c r="H1099" s="77"/>
      <c r="I1099" s="71"/>
      <c r="J1099" s="71"/>
      <c r="K1099" s="71"/>
      <c r="L1099" s="71"/>
      <c r="M1099" s="71"/>
      <c r="N1099" s="80"/>
      <c r="O1099" s="74"/>
      <c r="P1099" s="75"/>
      <c r="Z1099" s="16"/>
      <c r="AA1099" s="16"/>
      <c r="AB1099" s="16"/>
    </row>
    <row r="1100" spans="2:29" ht="21.75" customHeight="1">
      <c r="B1100" s="68"/>
      <c r="C1100" s="69"/>
      <c r="D1100" s="77"/>
      <c r="E1100" s="72"/>
      <c r="F1100" s="70"/>
      <c r="G1100" s="71"/>
      <c r="H1100" s="77"/>
      <c r="I1100" s="71"/>
      <c r="J1100" s="71"/>
      <c r="K1100" s="71"/>
      <c r="L1100" s="71"/>
      <c r="M1100" s="71"/>
      <c r="N1100" s="80"/>
      <c r="O1100" s="74"/>
      <c r="P1100" s="75"/>
      <c r="Z1100" s="16"/>
      <c r="AA1100" s="16"/>
      <c r="AB1100" s="16"/>
    </row>
    <row r="1101" spans="2:29" ht="19.5" customHeight="1">
      <c r="N1101" s="45"/>
      <c r="Z1101" s="16"/>
      <c r="AA1101" s="16"/>
      <c r="AB1101" s="16"/>
    </row>
    <row r="1103" spans="2:29" ht="19.5" customHeight="1">
      <c r="Z1103" s="16"/>
      <c r="AA1103" s="16"/>
      <c r="AB1103" s="16"/>
    </row>
    <row r="1105" spans="15:28" ht="19.5" customHeight="1">
      <c r="O1105" s="327"/>
      <c r="Z1105" s="16"/>
      <c r="AA1105" s="16"/>
      <c r="AB1105" s="16"/>
    </row>
    <row r="1106" spans="15:28" ht="19.5" customHeight="1">
      <c r="O1106" s="327"/>
      <c r="Z1106" s="16"/>
      <c r="AA1106" s="16"/>
      <c r="AB1106" s="16"/>
    </row>
    <row r="1107" spans="15:28" ht="19.5" customHeight="1">
      <c r="Z1107" s="16"/>
      <c r="AA1107" s="16"/>
      <c r="AB1107" s="16"/>
    </row>
    <row r="1108" spans="15:28" ht="19.5" customHeight="1">
      <c r="Z1108" s="16"/>
      <c r="AA1108" s="16"/>
      <c r="AB1108" s="16"/>
    </row>
    <row r="1109" spans="15:28" ht="19.5" customHeight="1">
      <c r="Z1109" s="16"/>
      <c r="AA1109" s="16"/>
      <c r="AB1109" s="16"/>
    </row>
    <row r="1110" spans="15:28" ht="19.5" customHeight="1">
      <c r="Z1110" s="16"/>
      <c r="AA1110" s="16"/>
      <c r="AB1110" s="16"/>
    </row>
    <row r="1111" spans="15:28" ht="19.5" customHeight="1">
      <c r="Z1111" s="16"/>
      <c r="AA1111" s="16"/>
      <c r="AB1111" s="16"/>
    </row>
  </sheetData>
  <autoFilter ref="B5:O809" xr:uid="{C0AFCB7D-9335-482D-89D1-63957585681C}">
    <filterColumn colId="1">
      <filters>
        <filter val="Maio"/>
      </filters>
    </filterColumn>
    <sortState xmlns:xlrd2="http://schemas.microsoft.com/office/spreadsheetml/2017/richdata2" ref="B6:O809">
      <sortCondition ref="B5:B809"/>
    </sortState>
  </autoFilter>
  <mergeCells count="1">
    <mergeCell ref="B3:O3"/>
  </mergeCells>
  <phoneticPr fontId="65" type="noConversion"/>
  <conditionalFormatting sqref="N6:N280">
    <cfRule type="containsText" dxfId="104" priority="353" operator="containsText" text="A receber">
      <formula>NOT(ISERROR(SEARCH("A receber",N6)))</formula>
    </cfRule>
    <cfRule type="containsText" dxfId="103" priority="357" operator="containsText" text=" Provisionado DV">
      <formula>NOT(ISERROR(SEARCH(" Provisionado DV",N6)))</formula>
    </cfRule>
    <cfRule type="containsText" dxfId="102" priority="359" operator="containsText" text="A resgatar">
      <formula>NOT(ISERROR(SEARCH("A resgatar",N6)))</formula>
    </cfRule>
    <cfRule type="containsText" dxfId="101" priority="360" operator="containsText" text="A aplicar">
      <formula>NOT(ISERROR(SEARCH("A aplicar",N6)))</formula>
    </cfRule>
    <cfRule type="containsText" dxfId="100" priority="361" operator="containsText" text="A repassar">
      <formula>NOT(ISERROR(SEARCH("A repassar",N6)))</formula>
    </cfRule>
    <cfRule type="containsText" dxfId="99" priority="362" operator="containsText" text="A pagar">
      <formula>NOT(ISERROR(SEARCH("A pagar",N6)))</formula>
    </cfRule>
    <cfRule type="containsText" dxfId="98" priority="363" operator="containsText" text="Resgatado">
      <formula>NOT(ISERROR(SEARCH("Resgatado",N6)))</formula>
    </cfRule>
    <cfRule type="containsText" dxfId="97" priority="364" operator="containsText" text="Aplicado">
      <formula>NOT(ISERROR(SEARCH("Aplicado",N6)))</formula>
    </cfRule>
    <cfRule type="containsText" dxfId="96" priority="365" operator="containsText" text="Repassado">
      <formula>NOT(ISERROR(SEARCH("Repassado",N6)))</formula>
    </cfRule>
    <cfRule type="containsText" dxfId="95" priority="366" operator="containsText" text="Pago">
      <formula>NOT(ISERROR(SEARCH("Pago",N6)))</formula>
    </cfRule>
    <cfRule type="containsText" dxfId="94" priority="367" operator="containsText" text="Recebido">
      <formula>NOT(ISERROR(SEARCH("Recebido",N6)))</formula>
    </cfRule>
    <cfRule type="containsText" dxfId="93" priority="368" operator="containsText" text="Saldo Inicial">
      <formula>NOT(ISERROR(SEARCH("Saldo Inicial",N6)))</formula>
    </cfRule>
  </conditionalFormatting>
  <conditionalFormatting sqref="N6:N281">
    <cfRule type="containsText" dxfId="92" priority="354" operator="containsText" text="Resgate">
      <formula>NOT(ISERROR(SEARCH("Resgate",N6)))</formula>
    </cfRule>
    <cfRule type="containsText" dxfId="91" priority="355" operator="containsText" text="Aplicação">
      <formula>NOT(ISERROR(SEARCH("Aplicação",N6)))</formula>
    </cfRule>
    <cfRule type="containsText" dxfId="90" priority="356" operator="containsText" text="Provisionado DL">
      <formula>NOT(ISERROR(SEARCH("Provisionado DL",N6)))</formula>
    </cfRule>
    <cfRule type="containsText" dxfId="89" priority="358" operator="containsText" text="Provisionado">
      <formula>NOT(ISERROR(SEARCH("Provisionado",N6)))</formula>
    </cfRule>
  </conditionalFormatting>
  <conditionalFormatting sqref="N281">
    <cfRule type="containsText" dxfId="88" priority="3381" operator="containsText" text="Provisionado DV">
      <formula>NOT(ISERROR(SEARCH("Provisionado DV",N281)))</formula>
    </cfRule>
    <cfRule type="containsText" dxfId="87" priority="3382" operator="containsText" text="A resgatar">
      <formula>NOT(ISERROR(SEARCH("A resgatar",N281)))</formula>
    </cfRule>
    <cfRule type="containsText" dxfId="86" priority="3383" operator="containsText" text="A aplicar">
      <formula>NOT(ISERROR(SEARCH("A aplicar",N281)))</formula>
    </cfRule>
    <cfRule type="containsText" dxfId="85" priority="3384" operator="containsText" text="A repassar">
      <formula>NOT(ISERROR(SEARCH("A repassar",N281)))</formula>
    </cfRule>
    <cfRule type="containsText" dxfId="84" priority="3385" operator="containsText" text="A pagar">
      <formula>NOT(ISERROR(SEARCH("A pagar",N281)))</formula>
    </cfRule>
    <cfRule type="containsText" dxfId="83" priority="3387" operator="containsText" text="Resgatado">
      <formula>NOT(ISERROR(SEARCH("Resgatado",N281)))</formula>
    </cfRule>
    <cfRule type="containsText" dxfId="82" priority="3388" operator="containsText" text="Aplicado">
      <formula>NOT(ISERROR(SEARCH("Aplicado",N281)))</formula>
    </cfRule>
    <cfRule type="containsText" dxfId="81" priority="3389" operator="containsText" text="Repassado">
      <formula>NOT(ISERROR(SEARCH("Repassado",N281)))</formula>
    </cfRule>
    <cfRule type="containsText" dxfId="80" priority="3390" operator="containsText" text="Pago">
      <formula>NOT(ISERROR(SEARCH("Pago",N281)))</formula>
    </cfRule>
    <cfRule type="containsText" dxfId="79" priority="3391" operator="containsText" text="Recebido">
      <formula>NOT(ISERROR(SEARCH("Recebido",N281)))</formula>
    </cfRule>
    <cfRule type="containsText" dxfId="78" priority="3392" operator="containsText" text="Saldo Inicial">
      <formula>NOT(ISERROR(SEARCH("Saldo Inicial",N281)))</formula>
    </cfRule>
  </conditionalFormatting>
  <conditionalFormatting sqref="N281:N284">
    <cfRule type="containsText" dxfId="77" priority="3386" operator="containsText" text="A receber">
      <formula>NOT(ISERROR(SEARCH("A receber",N281)))</formula>
    </cfRule>
  </conditionalFormatting>
  <conditionalFormatting sqref="N282:N284">
    <cfRule type="containsText" dxfId="76" priority="3394" operator="containsText" text="Resgate">
      <formula>NOT(ISERROR(SEARCH("Resgate",N282)))</formula>
    </cfRule>
    <cfRule type="containsText" dxfId="75" priority="3395" operator="containsText" text="Aplicação">
      <formula>NOT(ISERROR(SEARCH("Aplicação",N282)))</formula>
    </cfRule>
    <cfRule type="containsText" dxfId="74" priority="3396" operator="containsText" text="Provisionado DL">
      <formula>NOT(ISERROR(SEARCH("Provisionado DL",N282)))</formula>
    </cfRule>
    <cfRule type="containsText" dxfId="73" priority="3397" operator="containsText" text=" Provisionado DV">
      <formula>NOT(ISERROR(SEARCH(" Provisionado DV",N282)))</formula>
    </cfRule>
    <cfRule type="containsText" dxfId="72" priority="3398" operator="containsText" text="Provisionado">
      <formula>NOT(ISERROR(SEARCH("Provisionado",N282)))</formula>
    </cfRule>
    <cfRule type="containsText" dxfId="71" priority="3399" operator="containsText" text="A resgatar">
      <formula>NOT(ISERROR(SEARCH("A resgatar",N282)))</formula>
    </cfRule>
    <cfRule type="containsText" dxfId="70" priority="3400" operator="containsText" text="A aplicar">
      <formula>NOT(ISERROR(SEARCH("A aplicar",N282)))</formula>
    </cfRule>
    <cfRule type="containsText" dxfId="69" priority="3401" operator="containsText" text="A repassar">
      <formula>NOT(ISERROR(SEARCH("A repassar",N282)))</formula>
    </cfRule>
    <cfRule type="containsText" dxfId="68" priority="3402" operator="containsText" text="A pagar">
      <formula>NOT(ISERROR(SEARCH("A pagar",N282)))</formula>
    </cfRule>
    <cfRule type="containsText" dxfId="67" priority="3403" operator="containsText" text="Resgatado">
      <formula>NOT(ISERROR(SEARCH("Resgatado",N282)))</formula>
    </cfRule>
    <cfRule type="containsText" dxfId="66" priority="3404" operator="containsText" text="Aplicado">
      <formula>NOT(ISERROR(SEARCH("Aplicado",N282)))</formula>
    </cfRule>
    <cfRule type="containsText" dxfId="65" priority="3405" operator="containsText" text="Repassado">
      <formula>NOT(ISERROR(SEARCH("Repassado",N282)))</formula>
    </cfRule>
    <cfRule type="containsText" dxfId="64" priority="3406" operator="containsText" text="Pago">
      <formula>NOT(ISERROR(SEARCH("Pago",N282)))</formula>
    </cfRule>
    <cfRule type="containsText" dxfId="63" priority="3407" operator="containsText" text="Recebido">
      <formula>NOT(ISERROR(SEARCH("Recebido",N282)))</formula>
    </cfRule>
    <cfRule type="containsText" dxfId="62" priority="3408" operator="containsText" text="Saldo Inicial">
      <formula>NOT(ISERROR(SEARCH("Saldo Inicial",N282)))</formula>
    </cfRule>
  </conditionalFormatting>
  <conditionalFormatting sqref="N285:N1100">
    <cfRule type="containsText" dxfId="61" priority="1" operator="containsText" text="A receber">
      <formula>NOT(ISERROR(SEARCH("A receber",N285)))</formula>
    </cfRule>
    <cfRule type="containsText" dxfId="60" priority="2" operator="containsText" text="Resgate">
      <formula>NOT(ISERROR(SEARCH("Resgate",N285)))</formula>
    </cfRule>
    <cfRule type="containsText" dxfId="59" priority="3" operator="containsText" text="Aplicação">
      <formula>NOT(ISERROR(SEARCH("Aplicação",N285)))</formula>
    </cfRule>
    <cfRule type="containsText" dxfId="58" priority="4" operator="containsText" text="Provisionado DL">
      <formula>NOT(ISERROR(SEARCH("Provisionado DL",N285)))</formula>
    </cfRule>
    <cfRule type="containsText" dxfId="57" priority="5" operator="containsText" text=" Provisionado DV">
      <formula>NOT(ISERROR(SEARCH(" Provisionado DV",N285)))</formula>
    </cfRule>
    <cfRule type="containsText" dxfId="56" priority="6" operator="containsText" text="Provisionado">
      <formula>NOT(ISERROR(SEARCH("Provisionado",N285)))</formula>
    </cfRule>
    <cfRule type="containsText" dxfId="55" priority="7" operator="containsText" text="A resgatar">
      <formula>NOT(ISERROR(SEARCH("A resgatar",N285)))</formula>
    </cfRule>
    <cfRule type="containsText" dxfId="54" priority="8" operator="containsText" text="A aplicar">
      <formula>NOT(ISERROR(SEARCH("A aplicar",N285)))</formula>
    </cfRule>
    <cfRule type="containsText" dxfId="53" priority="9" operator="containsText" text="A repassar">
      <formula>NOT(ISERROR(SEARCH("A repassar",N285)))</formula>
    </cfRule>
    <cfRule type="containsText" dxfId="52" priority="10" operator="containsText" text="A pagar">
      <formula>NOT(ISERROR(SEARCH("A pagar",N285)))</formula>
    </cfRule>
    <cfRule type="containsText" dxfId="51" priority="11" operator="containsText" text="Resgatado">
      <formula>NOT(ISERROR(SEARCH("Resgatado",N285)))</formula>
    </cfRule>
    <cfRule type="containsText" dxfId="50" priority="12" operator="containsText" text="Aplicado">
      <formula>NOT(ISERROR(SEARCH("Aplicado",N285)))</formula>
    </cfRule>
    <cfRule type="containsText" dxfId="49" priority="13" operator="containsText" text="Repassado">
      <formula>NOT(ISERROR(SEARCH("Repassado",N285)))</formula>
    </cfRule>
    <cfRule type="containsText" dxfId="48" priority="14" operator="containsText" text="Pago">
      <formula>NOT(ISERROR(SEARCH("Pago",N285)))</formula>
    </cfRule>
    <cfRule type="containsText" dxfId="47" priority="15" operator="containsText" text="Recebido">
      <formula>NOT(ISERROR(SEARCH("Recebido",N285)))</formula>
    </cfRule>
    <cfRule type="containsText" dxfId="46" priority="16" operator="containsText" text="Saldo Inicial">
      <formula>NOT(ISERROR(SEARCH("Saldo Inicial",N285)))</formula>
    </cfRule>
  </conditionalFormatting>
  <pageMargins left="0.21" right="0" top="0.17" bottom="0.05" header="0.13" footer="0.02"/>
  <pageSetup paperSize="9" scale="25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733617D-32DB-4D4F-8CBF-58A2BDECAC16}">
          <x14:formula1>
            <xm:f>'Classificação Financeira'!$I$9:$I$10</xm:f>
          </x14:formula1>
          <xm:sqref>F1088:F1098 F1075 F1047</xm:sqref>
        </x14:dataValidation>
        <x14:dataValidation type="list" allowBlank="1" showInputMessage="1" showErrorMessage="1" xr:uid="{AABFA994-B524-4AB1-B466-3A47E9EE3F0A}">
          <x14:formula1>
            <xm:f>'Classificação Financeira'!$I$9:$I$12</xm:f>
          </x14:formula1>
          <xm:sqref>F1016:F1024 F1076:F1087 F54:F97 F1031:F1034 F1099:F1100 F1048:F1074 F639:F641 F114:F135 F946:F1010 F940 F942:F944 F1027:F1029 F340:F386 F16:F18 F107:F112 F46:F47 F49:F51 F30:F32 F1042:F1046 F6:F10 F397:F398 F194:F206 F649:F653 F656 F20:F27 F14 F181:F192 F659:F665 F165:F177 F148:F163 F667:F670 F621:F637 F682:F683 F686:F692 F332 F697:F698 F99 F208:F234 F700:F711 F138:F146 F713:F715 F389:F395 F732:F735 F334:F337 F725:F729 F238:F316 F676:F680 F785:F938 F737:F763 F768:F783 F401:F451 F472:F495 F460:F467 F469:F470 F497:F509 F511:F515 F517:F520 F522:F541 F543:F546 F548:F578 F580:F584 F586:F619 F673:F674 F453:F457</xm:sqref>
        </x14:dataValidation>
        <x14:dataValidation type="list" allowBlank="1" showInputMessage="1" showErrorMessage="1" xr:uid="{BDCAB0D6-DC37-48B6-8E46-98C86747A6AC}">
          <x14:formula1>
            <xm:f>'Classificação Financeira'!$E$9:$E$30</xm:f>
          </x14:formula1>
          <xm:sqref>D926:D927 D165:D177 D138:D146 D621:D637 D915:D919 D785:D831 D114:D135 D682:D683 D14 D967:D976 D99 D725:D763 D908:D912 D940 D923:D924 D929:D938 D978:D1010 D921 D942:D965 D835:D906 D389:D395 D340:D386 D1016:D1024 D1027:D1029 D56:D97 D16:D18 D107:D112 D46:D47 D49:D51 D30:D32 D1031:D1034 D1042 D656 D6:D10 D194:D206 D649:D653 D20:D27 D691:D693 D713:D715 D181:D192 D659:D670 D148:D163 D686:D689 D697:D698 D332 D208:D234 D700:D711 D719 D54 D334:D337 D238:D316 D676:D680 D397:D399 D768:D783 D640:D641 D401:D451 D472:D495 D460:D467 D469:D470 D497:D509 D511:D515 D517:D520 D522:D541 D543:D546 D548:D578 D580:D584 D586:D619 D673:D674 D453:D457</xm:sqref>
        </x14:dataValidation>
        <x14:dataValidation type="list" allowBlank="1" showInputMessage="1" showErrorMessage="1" xr:uid="{DD2BAA50-2F7F-4F00-A680-37008D410D29}">
          <x14:formula1>
            <xm:f>'Classificação Financeira'!$G$9:$G$102</xm:f>
          </x14:formula1>
          <xm:sqref>E785:E938 E719 E768:E783 E397:E399 E165:E177 E940 E942:E1010 E682:E683 E340:E386 E1016:E1024 E1027:E1029 E54:E97 E16:E18 E107:E112 E46:E47 E49:E51 E30:E32 E1031:E1034 E1042 E6:E10 E138:E146 E194:E206 E649:E653 E656 E20:E27 E14 E181:E192 E659:E670 E148:E163 E621:E637 E686:E689 E691:E693 E332 E697:E698 E99 E208:E234 E700:E711 E713:E715 E389:E395 E676:E680 E334:E337 E238:E316 E114:E135 E725:E763 E640:E641 E401:E451 E472:E495 E460:E467 E469:E470 E497:E509 E511:E515 E517:E520 E522:E541 E543:E546 E548:E578 E580:E584 E586:E619 E673:E674 E453:E457</xm:sqref>
        </x14:dataValidation>
        <x14:dataValidation type="list" allowBlank="1" showInputMessage="1" showErrorMessage="1" xr:uid="{0C72228A-5AB0-4A78-942C-DA5DFDF0BCE0}">
          <x14:formula1>
            <xm:f>'Classificação Financeira'!$K$8:$K$15</xm:f>
          </x14:formula1>
          <xm:sqref>L639:L642 L107:L135 L682:L683 L49:L51 L348:L349 L940:L1010 L1016:L1024 L58:L97 L16:L18 L1027:L1029 L46:L47 L30:L32 L1031:L1034 L1037 L1042:L1100 L355:L369 L621:L637 L644 L34:L39 L388:L398 L20:L27 L14 L54:L56 L181:L192 L659:L665 L194:L206 L165:L177 L148:L163 L667:L670 L649:L656 L686:L692 L332 L697:L698 L99 L208:L234 L700:L711 L138:L146 L676:L680 L334:L337 L713:L729 L340:L342 L238:L316 L6:L10 L732:L735 L401:L418 L737:L744 L372:L386 L781:L938 L746:L763 L768:L779 L326 L421:L451 L472:L495 L460:L467 L469:L470 L497:L509 L511:L515 L517:L520 L522:L541 L543:L546 L548:L578 L580:L584 L586:L619 L646:L647 L673:L674 L453:L457</xm:sqref>
        </x14:dataValidation>
        <x14:dataValidation type="list" allowBlank="1" showInputMessage="1" showErrorMessage="1" xr:uid="{77423107-55E6-488D-A9EB-F6C72E806ADE}">
          <x14:formula1>
            <xm:f>'Classificação Financeira'!$M$8:$M$10</xm:f>
          </x14:formula1>
          <xm:sqref>M49:M51 M208:M386 M114:M136 M1016:M1024 M16:M18 M107:M112 M1026:M1029 M194:M206 M1031:M1100 M45:M47 M389:M398 M53:M97 M644 M621:M641 M656 M20:M27 M12:M14 M180:M192 M659:M665 M30:M39 M138:M177 M667:M670 M649:M653 M682:M683 M686:M692 M99 M697:M711 M732:M735 M713:M729 M6:M10 M401:M451 M768:M1010 M737:M765 M472:M495 M460:M467 M469:M470 M497:M509 M511:M515 M517:M520 M522:M541 M543:M546 M548:M578 M580:M584 M586:M619 M646:M647 M673:M674 M676:M680 M453:M457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EFB6-5DA4-4E8C-80AE-FF75FFDF5D99}">
  <sheetPr codeName="Planilha2">
    <tabColor theme="4" tint="-0.499984740745262"/>
    <pageSetUpPr fitToPage="1"/>
  </sheetPr>
  <dimension ref="B3:BL501"/>
  <sheetViews>
    <sheetView showGridLines="0" zoomScaleNormal="100" workbookViewId="0">
      <pane xSplit="1" ySplit="15" topLeftCell="B16" activePane="bottomRight" state="frozen"/>
      <selection activeCell="H33" sqref="H33"/>
      <selection pane="topRight" activeCell="H33" sqref="H33"/>
      <selection pane="bottomLeft" activeCell="H33" sqref="H33"/>
      <selection pane="bottomRight" activeCell="O34" sqref="O34"/>
    </sheetView>
  </sheetViews>
  <sheetFormatPr defaultRowHeight="12.75" customHeight="1"/>
  <cols>
    <col min="1" max="1" width="2.7109375" style="28" customWidth="1"/>
    <col min="2" max="2" width="36.28515625" style="34" bestFit="1" customWidth="1"/>
    <col min="3" max="3" width="19.140625" style="28" bestFit="1" customWidth="1"/>
    <col min="4" max="4" width="12.85546875" style="28" bestFit="1" customWidth="1"/>
    <col min="5" max="6" width="14" style="28" bestFit="1" customWidth="1"/>
    <col min="7" max="9" width="12.85546875" style="28" bestFit="1" customWidth="1"/>
    <col min="10" max="14" width="14" style="28" bestFit="1" customWidth="1"/>
    <col min="15" max="16" width="15.5703125" style="28" bestFit="1" customWidth="1"/>
    <col min="17" max="20" width="12.85546875" style="28" bestFit="1" customWidth="1"/>
    <col min="21" max="21" width="28.7109375" style="28" bestFit="1" customWidth="1"/>
    <col min="22" max="22" width="25.28515625" style="28" bestFit="1" customWidth="1"/>
    <col min="23" max="33" width="12.85546875" style="28" bestFit="1" customWidth="1"/>
    <col min="34" max="34" width="25.7109375" style="28" bestFit="1" customWidth="1"/>
    <col min="35" max="35" width="32.85546875" style="28" bestFit="1" customWidth="1"/>
    <col min="36" max="46" width="12.85546875" style="28" bestFit="1" customWidth="1"/>
    <col min="47" max="47" width="31.85546875" style="28" bestFit="1" customWidth="1"/>
    <col min="48" max="48" width="15.5703125" style="28" bestFit="1" customWidth="1"/>
    <col min="49" max="49" width="26.5703125" style="28" bestFit="1" customWidth="1"/>
    <col min="50" max="50" width="26.140625" style="28" bestFit="1" customWidth="1"/>
    <col min="51" max="51" width="31.7109375" style="28" bestFit="1" customWidth="1"/>
    <col min="52" max="52" width="28.7109375" style="28" bestFit="1" customWidth="1"/>
    <col min="53" max="53" width="25.28515625" style="28" bestFit="1" customWidth="1"/>
    <col min="54" max="54" width="19.28515625" style="28" bestFit="1" customWidth="1"/>
    <col min="55" max="55" width="13.85546875" style="28" bestFit="1" customWidth="1"/>
    <col min="56" max="56" width="16" style="28" bestFit="1" customWidth="1"/>
    <col min="57" max="57" width="15.5703125" style="28" bestFit="1" customWidth="1"/>
    <col min="58" max="58" width="43.7109375" style="28" bestFit="1" customWidth="1"/>
    <col min="59" max="59" width="41.5703125" style="28" bestFit="1" customWidth="1"/>
    <col min="60" max="60" width="34.28515625" style="28" bestFit="1" customWidth="1"/>
    <col min="61" max="61" width="19" style="28" bestFit="1" customWidth="1"/>
    <col min="62" max="62" width="19.42578125" style="28" bestFit="1" customWidth="1"/>
    <col min="63" max="63" width="16.7109375" style="28" bestFit="1" customWidth="1"/>
    <col min="64" max="64" width="18.42578125" style="28" bestFit="1" customWidth="1"/>
    <col min="65" max="66" width="12.85546875" style="28" bestFit="1" customWidth="1"/>
    <col min="67" max="68" width="10.28515625" style="28" bestFit="1" customWidth="1"/>
    <col min="69" max="69" width="31.7109375" style="28" bestFit="1" customWidth="1"/>
    <col min="70" max="70" width="27.7109375" style="28" bestFit="1" customWidth="1"/>
    <col min="71" max="71" width="24.5703125" style="28" bestFit="1" customWidth="1"/>
    <col min="72" max="73" width="25.7109375" style="28" bestFit="1" customWidth="1"/>
    <col min="74" max="74" width="28.140625" style="28" bestFit="1" customWidth="1"/>
    <col min="75" max="75" width="35" style="28" bestFit="1" customWidth="1"/>
    <col min="76" max="76" width="13.85546875" style="28" bestFit="1" customWidth="1"/>
    <col min="77" max="77" width="14.28515625" style="28" bestFit="1" customWidth="1"/>
    <col min="78" max="79" width="52.85546875" style="28" bestFit="1" customWidth="1"/>
    <col min="80" max="80" width="32" style="28" bestFit="1" customWidth="1"/>
    <col min="81" max="81" width="25.7109375" style="28" bestFit="1" customWidth="1"/>
    <col min="82" max="82" width="32.85546875" style="28" bestFit="1" customWidth="1"/>
    <col min="83" max="83" width="19.28515625" style="28" bestFit="1" customWidth="1"/>
    <col min="84" max="84" width="12.7109375" style="28" bestFit="1" customWidth="1"/>
    <col min="85" max="85" width="17.5703125" style="28" bestFit="1" customWidth="1"/>
    <col min="86" max="86" width="19.42578125" style="28" bestFit="1" customWidth="1"/>
    <col min="87" max="87" width="18.42578125" style="28" bestFit="1" customWidth="1"/>
    <col min="88" max="88" width="11.85546875" style="28" bestFit="1" customWidth="1"/>
    <col min="89" max="89" width="13.85546875" style="28" bestFit="1" customWidth="1"/>
    <col min="90" max="90" width="12.85546875" style="28" bestFit="1" customWidth="1"/>
    <col min="91" max="91" width="14.28515625" style="28" bestFit="1" customWidth="1"/>
    <col min="92" max="93" width="18.28515625" style="28" bestFit="1" customWidth="1"/>
    <col min="94" max="94" width="11.42578125" style="28" bestFit="1" customWidth="1"/>
    <col min="95" max="95" width="17.7109375" style="28" bestFit="1" customWidth="1"/>
    <col min="96" max="96" width="13.5703125" style="28" bestFit="1" customWidth="1"/>
    <col min="97" max="97" width="13.28515625" style="28" bestFit="1" customWidth="1"/>
    <col min="98" max="98" width="14.28515625" style="28" bestFit="1" customWidth="1"/>
    <col min="99" max="99" width="11.85546875" style="28" bestFit="1" customWidth="1"/>
    <col min="100" max="100" width="29" style="28" bestFit="1" customWidth="1"/>
    <col min="101" max="101" width="31.85546875" style="28" bestFit="1" customWidth="1"/>
    <col min="102" max="102" width="15.5703125" style="28" bestFit="1" customWidth="1"/>
    <col min="103" max="16384" width="9.140625" style="28"/>
  </cols>
  <sheetData>
    <row r="3" spans="2:64" ht="12.75" customHeight="1">
      <c r="M3"/>
      <c r="N3"/>
      <c r="O3"/>
      <c r="P3"/>
    </row>
    <row r="4" spans="2:64" ht="12.75" customHeight="1">
      <c r="M4"/>
      <c r="N4"/>
      <c r="O4"/>
      <c r="P4"/>
    </row>
    <row r="5" spans="2:64" ht="12.75" customHeight="1">
      <c r="M5"/>
      <c r="N5"/>
      <c r="O5"/>
      <c r="P5"/>
    </row>
    <row r="6" spans="2:64" ht="12.75" customHeight="1">
      <c r="M6"/>
      <c r="N6"/>
      <c r="O6"/>
      <c r="P6"/>
    </row>
    <row r="7" spans="2:64" ht="12.75" customHeight="1">
      <c r="M7"/>
      <c r="N7"/>
      <c r="O7"/>
      <c r="P7"/>
    </row>
    <row r="11" spans="2:64" ht="13.5">
      <c r="B11"/>
      <c r="C11"/>
    </row>
    <row r="12" spans="2:64" ht="13.5">
      <c r="B12" s="257" t="s">
        <v>11</v>
      </c>
      <c r="C12" s="28" t="s">
        <v>156</v>
      </c>
    </row>
    <row r="14" spans="2:64" ht="13.5">
      <c r="B14" s="258" t="s">
        <v>25</v>
      </c>
      <c r="C14" s="31" t="s">
        <v>3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</row>
    <row r="15" spans="2:64" ht="15">
      <c r="B15" s="31" t="s">
        <v>4</v>
      </c>
      <c r="C15" s="46" t="s">
        <v>1427</v>
      </c>
      <c r="D15" s="46" t="s">
        <v>1428</v>
      </c>
      <c r="E15" s="46" t="s">
        <v>901</v>
      </c>
      <c r="F15" s="46" t="s">
        <v>902</v>
      </c>
      <c r="G15" s="46" t="s">
        <v>1325</v>
      </c>
      <c r="H15" s="46" t="s">
        <v>1326</v>
      </c>
      <c r="I15" s="46" t="s">
        <v>1327</v>
      </c>
      <c r="J15" s="46" t="s">
        <v>1328</v>
      </c>
      <c r="K15" s="46" t="s">
        <v>1329</v>
      </c>
      <c r="L15" s="46" t="s">
        <v>1330</v>
      </c>
      <c r="M15" s="46" t="s">
        <v>1331</v>
      </c>
      <c r="N15" s="46" t="s">
        <v>1380</v>
      </c>
      <c r="O15" s="46" t="s">
        <v>5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</row>
    <row r="16" spans="2:64" ht="13.5">
      <c r="B16" s="529" t="s">
        <v>223</v>
      </c>
      <c r="C16" s="530">
        <v>28593.56</v>
      </c>
      <c r="D16" s="530">
        <v>29781.4</v>
      </c>
      <c r="E16" s="530">
        <v>33242.19</v>
      </c>
      <c r="F16" s="530">
        <v>54266.64</v>
      </c>
      <c r="G16" s="530">
        <v>2200</v>
      </c>
      <c r="H16" s="530">
        <v>28205.72</v>
      </c>
      <c r="I16" s="530">
        <v>26876.230000000003</v>
      </c>
      <c r="J16" s="530">
        <v>26876.230000000003</v>
      </c>
      <c r="K16" s="530">
        <v>26876.230000000003</v>
      </c>
      <c r="L16" s="530">
        <v>26876.230000000003</v>
      </c>
      <c r="M16" s="530">
        <v>26876.230000000003</v>
      </c>
      <c r="N16" s="530">
        <v>26876.230000000003</v>
      </c>
      <c r="O16" s="530">
        <v>337546.89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</row>
    <row r="17" spans="2:64" ht="13.5">
      <c r="B17" s="529" t="s">
        <v>224</v>
      </c>
      <c r="C17" s="530">
        <v>3504.84</v>
      </c>
      <c r="D17" s="530">
        <v>10445.880000000001</v>
      </c>
      <c r="E17" s="530">
        <v>757.8</v>
      </c>
      <c r="F17" s="530">
        <v>6804.32</v>
      </c>
      <c r="G17" s="530"/>
      <c r="H17" s="530">
        <v>3944</v>
      </c>
      <c r="I17" s="530">
        <v>3944</v>
      </c>
      <c r="J17" s="530">
        <v>3944</v>
      </c>
      <c r="K17" s="530">
        <v>3944</v>
      </c>
      <c r="L17" s="530">
        <v>3944</v>
      </c>
      <c r="M17" s="530">
        <v>5944</v>
      </c>
      <c r="N17" s="530">
        <v>4944</v>
      </c>
      <c r="O17" s="530">
        <v>52120.84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</row>
    <row r="18" spans="2:64" ht="13.5">
      <c r="B18" s="529" t="s">
        <v>225</v>
      </c>
      <c r="C18" s="530">
        <v>22415.989999999998</v>
      </c>
      <c r="D18" s="530">
        <v>40468.25</v>
      </c>
      <c r="E18" s="530">
        <v>111423.25</v>
      </c>
      <c r="F18" s="530">
        <v>59936.5</v>
      </c>
      <c r="G18" s="530"/>
      <c r="H18" s="530">
        <v>48568.25</v>
      </c>
      <c r="I18" s="530">
        <v>21968.25</v>
      </c>
      <c r="J18" s="530">
        <v>131223.25</v>
      </c>
      <c r="K18" s="530">
        <v>74168.25</v>
      </c>
      <c r="L18" s="530">
        <v>101168.25</v>
      </c>
      <c r="M18" s="530">
        <v>67968.25</v>
      </c>
      <c r="N18" s="530">
        <v>84168.25</v>
      </c>
      <c r="O18" s="530">
        <v>763476.74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</row>
    <row r="19" spans="2:64" ht="13.5">
      <c r="B19" s="529" t="s">
        <v>226</v>
      </c>
      <c r="C19" s="530">
        <v>16836.03</v>
      </c>
      <c r="D19" s="530">
        <v>1177.76</v>
      </c>
      <c r="E19" s="530">
        <v>2190.0699999999997</v>
      </c>
      <c r="F19" s="530">
        <v>9989.44</v>
      </c>
      <c r="G19" s="530">
        <v>20903.84</v>
      </c>
      <c r="H19" s="530">
        <v>3454.77</v>
      </c>
      <c r="I19" s="530">
        <v>3254.77</v>
      </c>
      <c r="J19" s="530">
        <v>2493.13</v>
      </c>
      <c r="K19" s="530">
        <v>2554.77</v>
      </c>
      <c r="L19" s="530">
        <v>2254.77</v>
      </c>
      <c r="M19" s="530">
        <v>8960.77</v>
      </c>
      <c r="N19" s="530">
        <v>6206.2</v>
      </c>
      <c r="O19" s="530">
        <v>80276.319999999978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2:64" ht="13.5">
      <c r="B20" s="529" t="s">
        <v>227</v>
      </c>
      <c r="C20" s="530">
        <v>13250.880000000001</v>
      </c>
      <c r="D20" s="530">
        <v>12456.41</v>
      </c>
      <c r="E20" s="530">
        <v>9622.2099999999991</v>
      </c>
      <c r="F20" s="530">
        <v>19958.130000000005</v>
      </c>
      <c r="G20" s="530">
        <v>4610.91</v>
      </c>
      <c r="H20" s="530">
        <v>8992.25</v>
      </c>
      <c r="I20" s="530">
        <v>15354.49</v>
      </c>
      <c r="J20" s="530">
        <v>12997.53</v>
      </c>
      <c r="K20" s="530">
        <v>13527.880000000001</v>
      </c>
      <c r="L20" s="530">
        <v>11290.02</v>
      </c>
      <c r="M20" s="530">
        <v>12252.25</v>
      </c>
      <c r="N20" s="530">
        <v>12492.25</v>
      </c>
      <c r="O20" s="530">
        <v>146805.21000000002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</row>
    <row r="21" spans="2:64" ht="13.5">
      <c r="B21" s="529" t="s">
        <v>228</v>
      </c>
      <c r="C21" s="530"/>
      <c r="D21" s="530"/>
      <c r="E21" s="530">
        <v>278995.53600000002</v>
      </c>
      <c r="F21" s="530">
        <v>278995.53000000003</v>
      </c>
      <c r="G21" s="530"/>
      <c r="H21" s="530"/>
      <c r="I21" s="530"/>
      <c r="J21" s="530"/>
      <c r="K21" s="530"/>
      <c r="L21" s="530"/>
      <c r="M21" s="530"/>
      <c r="N21" s="530"/>
      <c r="O21" s="530">
        <v>557991.06600000011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</row>
    <row r="22" spans="2:64" ht="13.5">
      <c r="B22" s="36" t="s">
        <v>5</v>
      </c>
      <c r="C22" s="37">
        <v>84601.3</v>
      </c>
      <c r="D22" s="37">
        <v>94329.7</v>
      </c>
      <c r="E22" s="37">
        <v>436231.05599999998</v>
      </c>
      <c r="F22" s="37">
        <v>429950.56000000006</v>
      </c>
      <c r="G22" s="37">
        <v>27714.75</v>
      </c>
      <c r="H22" s="37">
        <v>93164.99</v>
      </c>
      <c r="I22" s="37">
        <v>71397.740000000005</v>
      </c>
      <c r="J22" s="37">
        <v>177534.14</v>
      </c>
      <c r="K22" s="37">
        <v>121071.13000000002</v>
      </c>
      <c r="L22" s="37">
        <v>145533.26999999999</v>
      </c>
      <c r="M22" s="37">
        <v>122001.50000000001</v>
      </c>
      <c r="N22" s="37">
        <v>134686.93</v>
      </c>
      <c r="O22" s="37">
        <v>1938217.0660000001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</row>
    <row r="23" spans="2:64" ht="13.5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</row>
    <row r="24" spans="2:64" ht="13.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</row>
    <row r="25" spans="2:64" ht="13.5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</row>
    <row r="26" spans="2:64" ht="13.5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</row>
    <row r="27" spans="2:64" ht="13.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</row>
    <row r="28" spans="2:64" ht="13.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</row>
    <row r="29" spans="2:64" ht="13.5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</row>
    <row r="30" spans="2:64" ht="13.5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</row>
    <row r="31" spans="2:64" ht="13.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</row>
    <row r="32" spans="2:64" ht="13.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</row>
    <row r="33" spans="2:64" ht="13.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</row>
    <row r="34" spans="2:64" ht="13.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</row>
    <row r="35" spans="2:64" ht="13.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</row>
    <row r="36" spans="2:64" ht="13.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</row>
    <row r="37" spans="2:64" ht="13.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</row>
    <row r="38" spans="2:64" ht="13.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</row>
    <row r="39" spans="2:64" ht="13.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</row>
    <row r="40" spans="2:64" ht="13.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</row>
    <row r="41" spans="2:64" ht="13.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</row>
    <row r="42" spans="2:64" ht="13.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</row>
    <row r="43" spans="2:64" ht="13.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</row>
    <row r="44" spans="2:64" ht="13.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</row>
    <row r="45" spans="2:64" ht="13.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</row>
    <row r="46" spans="2:64" ht="13.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</row>
    <row r="47" spans="2:64" ht="13.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</row>
    <row r="48" spans="2:64" ht="13.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</row>
    <row r="49" spans="2:64" ht="13.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</row>
    <row r="50" spans="2:64" ht="13.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</row>
    <row r="51" spans="2:64" ht="13.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</row>
    <row r="52" spans="2:64" ht="13.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 spans="2:64" ht="13.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</row>
    <row r="54" spans="2:64" ht="13.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</row>
    <row r="55" spans="2:64" ht="13.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</row>
    <row r="56" spans="2:64" ht="13.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</row>
    <row r="57" spans="2:64" ht="13.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 spans="2:64" ht="13.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59" spans="2:64" ht="13.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</row>
    <row r="60" spans="2:64" ht="13.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</row>
    <row r="61" spans="2:64" ht="13.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</row>
    <row r="62" spans="2:64" ht="13.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</row>
    <row r="63" spans="2:64" ht="13.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</row>
    <row r="64" spans="2:64" ht="13.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</row>
    <row r="65" spans="2:64" ht="13.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</row>
    <row r="66" spans="2:64" ht="13.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</row>
    <row r="67" spans="2:64" ht="13.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</row>
    <row r="68" spans="2:64" ht="13.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</row>
    <row r="69" spans="2:64" ht="13.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</row>
    <row r="70" spans="2:64" ht="13.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</row>
    <row r="71" spans="2:64" ht="13.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</row>
    <row r="72" spans="2:64" ht="13.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</row>
    <row r="73" spans="2:64" ht="13.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</row>
    <row r="74" spans="2:64" ht="13.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</row>
    <row r="75" spans="2:64" ht="13.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</row>
    <row r="76" spans="2:64" ht="13.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</row>
    <row r="77" spans="2:64" ht="13.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</row>
    <row r="78" spans="2:64" ht="13.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</row>
    <row r="79" spans="2:64" ht="13.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</row>
    <row r="80" spans="2:64" ht="13.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</row>
    <row r="81" spans="2:64" ht="13.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</row>
    <row r="82" spans="2:64" ht="13.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</row>
    <row r="83" spans="2:64" ht="13.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</row>
    <row r="84" spans="2:64" ht="13.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</row>
    <row r="85" spans="2:64" ht="13.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</row>
    <row r="86" spans="2:64" ht="13.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</row>
    <row r="87" spans="2:64" ht="13.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</row>
    <row r="88" spans="2:64" ht="13.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</row>
    <row r="89" spans="2:64" ht="13.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</row>
    <row r="90" spans="2:64" ht="13.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</row>
    <row r="91" spans="2:64" ht="13.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</row>
    <row r="92" spans="2:64" ht="13.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</row>
    <row r="93" spans="2:64" ht="13.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</row>
    <row r="94" spans="2:64" ht="13.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</row>
    <row r="95" spans="2:64" ht="13.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</row>
    <row r="96" spans="2:64" ht="13.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</row>
    <row r="97" spans="2:15" ht="13.5"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2:15" ht="13.5"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2:15" ht="13.5"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2:15" ht="13.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2:15" ht="13.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2:15" ht="13.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2:15" ht="13.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2:15" ht="13.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2:15" ht="13.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2:15" ht="13.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2:15" ht="13.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2:15" ht="13.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2:15" ht="13.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2:15" ht="13.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2:15" ht="13.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2:15" ht="13.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2:15" ht="13.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2:15" ht="13.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2:15" ht="13.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2:15" ht="13.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2:15" ht="13.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2:15" ht="13.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2:15" ht="13.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2:15" ht="13.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2:15" ht="13.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2:15" ht="13.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2:15" ht="13.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2:15" ht="13.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2:15" ht="13.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2:15" ht="13.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2:15" ht="13.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2:15" ht="13.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2:15" ht="13.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2:15" ht="13.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2:15" ht="13.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2:15" ht="13.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2:15" ht="13.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2:15" ht="13.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2:15" ht="13.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2:15" ht="13.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2:15" ht="13.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2:15" ht="13.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2:15" ht="13.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2:15" ht="13.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2:15" ht="13.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2:15" ht="13.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2:15" ht="13.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2:15" ht="13.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2:15" ht="13.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2:15" ht="13.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2:15" ht="13.5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2:15" ht="13.5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2:15" ht="13.5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2:15" ht="13.5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2:15" ht="13.5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2:15" ht="13.5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2:15" ht="13.5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2:15" ht="13.5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2:15" ht="13.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2:15" ht="13.5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2:15" ht="13.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2:15" ht="13.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2:15" ht="13.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2:15" ht="13.5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2:15" ht="13.5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2:15" ht="13.5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2:15" ht="13.5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2:15" ht="13.5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2:15" ht="13.5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2:15" ht="13.5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2:15" ht="13.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2:15" ht="13.5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2:15" ht="13.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2:15" ht="13.5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2:15" ht="13.5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2:15" ht="13.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2:15" ht="13.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2:15" ht="13.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2:15" ht="13.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2:15" ht="13.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2:15" ht="13.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2:15" ht="13.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2:15" ht="13.5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2:15" ht="13.5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2:15" ht="13.5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2:15" ht="13.5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2:15" ht="13.5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2:15" ht="13.5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2:15" ht="13.5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2:15" ht="13.5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2:15" ht="13.5">
      <c r="B187" s="256"/>
      <c r="C187"/>
      <c r="D187"/>
      <c r="E187"/>
      <c r="F187"/>
      <c r="G187"/>
    </row>
    <row r="188" spans="2:15" ht="13.5">
      <c r="B188" s="256"/>
      <c r="C188"/>
      <c r="D188"/>
      <c r="E188"/>
      <c r="F188"/>
      <c r="G188"/>
    </row>
    <row r="189" spans="2:15" ht="13.5">
      <c r="B189" s="256"/>
      <c r="C189"/>
      <c r="D189"/>
      <c r="E189"/>
      <c r="F189"/>
      <c r="G189"/>
    </row>
    <row r="190" spans="2:15" ht="13.5">
      <c r="B190" s="256"/>
      <c r="C190"/>
      <c r="D190"/>
      <c r="E190"/>
      <c r="F190"/>
      <c r="G190"/>
    </row>
    <row r="191" spans="2:15" ht="13.5">
      <c r="B191" s="256"/>
      <c r="C191"/>
      <c r="D191"/>
      <c r="E191"/>
      <c r="F191"/>
      <c r="G191"/>
    </row>
    <row r="192" spans="2:15" ht="13.5">
      <c r="B192" s="256"/>
      <c r="C192"/>
      <c r="D192"/>
      <c r="E192"/>
      <c r="F192"/>
      <c r="G192"/>
    </row>
    <row r="193" spans="2:7" ht="13.5">
      <c r="B193" s="256"/>
      <c r="C193"/>
      <c r="D193"/>
      <c r="E193"/>
      <c r="F193"/>
      <c r="G193"/>
    </row>
    <row r="194" spans="2:7" ht="13.5">
      <c r="B194" s="256"/>
      <c r="C194"/>
      <c r="D194"/>
      <c r="E194"/>
      <c r="F194"/>
      <c r="G194"/>
    </row>
    <row r="195" spans="2:7" ht="13.5">
      <c r="B195" s="256"/>
      <c r="C195"/>
      <c r="D195"/>
      <c r="E195"/>
      <c r="F195"/>
      <c r="G195"/>
    </row>
    <row r="196" spans="2:7" ht="13.5">
      <c r="B196" s="256"/>
      <c r="C196"/>
      <c r="D196"/>
      <c r="E196"/>
      <c r="F196"/>
      <c r="G196"/>
    </row>
    <row r="197" spans="2:7" ht="13.5">
      <c r="B197" s="256"/>
      <c r="C197"/>
      <c r="D197"/>
      <c r="E197"/>
      <c r="F197"/>
      <c r="G197"/>
    </row>
    <row r="198" spans="2:7" ht="13.5">
      <c r="B198" s="256"/>
      <c r="C198"/>
      <c r="D198"/>
      <c r="E198"/>
      <c r="F198"/>
      <c r="G198"/>
    </row>
    <row r="199" spans="2:7" ht="13.5">
      <c r="B199" s="256"/>
      <c r="C199"/>
      <c r="D199"/>
      <c r="E199"/>
      <c r="F199"/>
      <c r="G199"/>
    </row>
    <row r="200" spans="2:7" ht="13.5">
      <c r="B200" s="256"/>
      <c r="C200"/>
      <c r="D200"/>
      <c r="E200"/>
      <c r="F200"/>
      <c r="G200"/>
    </row>
    <row r="201" spans="2:7" ht="13.5">
      <c r="B201" s="256"/>
      <c r="C201"/>
      <c r="D201"/>
      <c r="E201"/>
      <c r="F201"/>
      <c r="G201"/>
    </row>
    <row r="202" spans="2:7" ht="13.5">
      <c r="B202" s="256"/>
      <c r="C202"/>
      <c r="D202"/>
      <c r="E202"/>
      <c r="F202"/>
      <c r="G202"/>
    </row>
    <row r="203" spans="2:7" ht="13.5">
      <c r="B203" s="256"/>
      <c r="C203"/>
      <c r="D203"/>
      <c r="E203"/>
      <c r="F203"/>
      <c r="G203"/>
    </row>
    <row r="204" spans="2:7" ht="13.5">
      <c r="B204" s="256"/>
      <c r="C204"/>
      <c r="D204"/>
      <c r="E204"/>
      <c r="F204"/>
      <c r="G204"/>
    </row>
    <row r="205" spans="2:7" ht="13.5">
      <c r="B205" s="256"/>
      <c r="C205"/>
      <c r="D205"/>
      <c r="E205"/>
      <c r="F205"/>
      <c r="G205"/>
    </row>
    <row r="206" spans="2:7" ht="13.5">
      <c r="B206" s="256"/>
      <c r="C206"/>
      <c r="D206"/>
      <c r="E206"/>
      <c r="F206"/>
      <c r="G206"/>
    </row>
    <row r="207" spans="2:7" ht="13.5">
      <c r="B207" s="256"/>
      <c r="C207"/>
      <c r="D207"/>
      <c r="E207"/>
      <c r="F207"/>
      <c r="G207"/>
    </row>
    <row r="208" spans="2:7" ht="13.5">
      <c r="B208" s="256"/>
      <c r="C208"/>
      <c r="D208"/>
      <c r="E208"/>
      <c r="F208"/>
      <c r="G208"/>
    </row>
    <row r="209" spans="2:7" ht="13.5">
      <c r="B209" s="256"/>
      <c r="C209"/>
      <c r="D209"/>
      <c r="E209"/>
      <c r="F209"/>
      <c r="G209"/>
    </row>
    <row r="210" spans="2:7" ht="13.5">
      <c r="B210" s="256"/>
      <c r="C210"/>
      <c r="D210"/>
      <c r="E210"/>
      <c r="F210"/>
      <c r="G210"/>
    </row>
    <row r="211" spans="2:7" ht="13.5">
      <c r="B211" s="256"/>
      <c r="C211"/>
      <c r="D211"/>
      <c r="E211"/>
      <c r="F211"/>
      <c r="G211"/>
    </row>
    <row r="212" spans="2:7" ht="13.5">
      <c r="B212" s="256"/>
      <c r="C212"/>
      <c r="D212"/>
      <c r="E212"/>
      <c r="F212"/>
      <c r="G212"/>
    </row>
    <row r="213" spans="2:7" ht="13.5">
      <c r="B213" s="256"/>
      <c r="C213"/>
      <c r="D213"/>
      <c r="E213"/>
      <c r="F213"/>
      <c r="G213"/>
    </row>
    <row r="214" spans="2:7" ht="13.5">
      <c r="B214" s="256"/>
      <c r="C214"/>
      <c r="D214"/>
      <c r="E214"/>
      <c r="F214"/>
      <c r="G214"/>
    </row>
    <row r="215" spans="2:7" ht="13.5">
      <c r="B215" s="256"/>
      <c r="C215"/>
      <c r="D215"/>
      <c r="E215"/>
      <c r="F215"/>
      <c r="G215"/>
    </row>
    <row r="216" spans="2:7" ht="13.5">
      <c r="B216" s="256"/>
      <c r="C216"/>
      <c r="D216"/>
      <c r="E216"/>
      <c r="F216"/>
      <c r="G216"/>
    </row>
    <row r="217" spans="2:7" ht="13.5">
      <c r="B217" s="256"/>
      <c r="C217"/>
      <c r="D217"/>
      <c r="E217"/>
      <c r="F217"/>
      <c r="G217"/>
    </row>
    <row r="218" spans="2:7" ht="13.5">
      <c r="B218" s="256"/>
      <c r="C218"/>
      <c r="D218"/>
      <c r="E218"/>
      <c r="F218"/>
      <c r="G218"/>
    </row>
    <row r="219" spans="2:7" ht="13.5">
      <c r="B219" s="256"/>
      <c r="C219"/>
      <c r="D219"/>
      <c r="E219"/>
      <c r="F219"/>
      <c r="G219"/>
    </row>
    <row r="220" spans="2:7" ht="13.5">
      <c r="B220" s="256"/>
      <c r="C220"/>
      <c r="D220"/>
      <c r="E220"/>
      <c r="F220"/>
      <c r="G220"/>
    </row>
    <row r="221" spans="2:7" ht="13.5">
      <c r="B221" s="256"/>
      <c r="C221"/>
      <c r="D221"/>
      <c r="E221"/>
      <c r="F221"/>
      <c r="G221"/>
    </row>
    <row r="222" spans="2:7" ht="13.5">
      <c r="B222" s="256"/>
      <c r="C222"/>
      <c r="D222"/>
      <c r="E222"/>
      <c r="F222"/>
      <c r="G222"/>
    </row>
    <row r="223" spans="2:7" ht="13.5">
      <c r="B223" s="256"/>
      <c r="C223"/>
      <c r="D223"/>
      <c r="E223"/>
      <c r="F223"/>
      <c r="G223"/>
    </row>
    <row r="224" spans="2:7" ht="13.5">
      <c r="B224" s="256"/>
      <c r="C224"/>
      <c r="D224"/>
      <c r="E224"/>
      <c r="F224"/>
      <c r="G224"/>
    </row>
    <row r="225" spans="2:7" ht="13.5">
      <c r="B225" s="256"/>
      <c r="C225"/>
      <c r="D225"/>
      <c r="E225"/>
      <c r="F225"/>
      <c r="G225"/>
    </row>
    <row r="226" spans="2:7" ht="13.5">
      <c r="B226" s="256"/>
      <c r="C226"/>
      <c r="D226"/>
      <c r="E226"/>
      <c r="F226"/>
      <c r="G226"/>
    </row>
    <row r="227" spans="2:7" ht="13.5">
      <c r="B227" s="256"/>
      <c r="C227"/>
      <c r="D227"/>
      <c r="E227"/>
      <c r="F227"/>
      <c r="G227"/>
    </row>
    <row r="228" spans="2:7" ht="13.5">
      <c r="B228" s="256"/>
      <c r="C228"/>
      <c r="D228"/>
      <c r="E228"/>
      <c r="F228"/>
      <c r="G228"/>
    </row>
    <row r="229" spans="2:7" ht="13.5">
      <c r="B229" s="256"/>
      <c r="C229"/>
      <c r="D229"/>
      <c r="E229"/>
      <c r="F229"/>
      <c r="G229"/>
    </row>
    <row r="230" spans="2:7" ht="13.5">
      <c r="B230" s="256"/>
      <c r="C230"/>
      <c r="D230"/>
      <c r="E230"/>
      <c r="F230"/>
      <c r="G230"/>
    </row>
    <row r="231" spans="2:7" ht="13.5">
      <c r="B231" s="256"/>
      <c r="C231"/>
      <c r="D231"/>
      <c r="E231"/>
      <c r="F231"/>
      <c r="G231"/>
    </row>
    <row r="232" spans="2:7" ht="13.5">
      <c r="B232" s="256"/>
      <c r="C232"/>
      <c r="D232"/>
      <c r="E232"/>
      <c r="F232"/>
      <c r="G232"/>
    </row>
    <row r="233" spans="2:7" ht="13.5">
      <c r="B233" s="256"/>
      <c r="C233"/>
      <c r="D233"/>
      <c r="E233"/>
      <c r="F233"/>
      <c r="G233"/>
    </row>
    <row r="234" spans="2:7" ht="13.5">
      <c r="B234" s="256"/>
      <c r="C234"/>
      <c r="D234"/>
      <c r="E234"/>
      <c r="F234"/>
      <c r="G234"/>
    </row>
    <row r="235" spans="2:7" ht="13.5">
      <c r="B235" s="256"/>
      <c r="C235"/>
      <c r="D235"/>
      <c r="E235"/>
      <c r="F235"/>
      <c r="G235"/>
    </row>
    <row r="236" spans="2:7" ht="13.5">
      <c r="B236" s="256"/>
      <c r="C236"/>
      <c r="D236"/>
      <c r="E236"/>
      <c r="F236"/>
      <c r="G236"/>
    </row>
    <row r="237" spans="2:7" ht="13.5">
      <c r="B237" s="256"/>
      <c r="C237"/>
      <c r="D237"/>
      <c r="E237"/>
      <c r="F237"/>
      <c r="G237"/>
    </row>
    <row r="238" spans="2:7" ht="13.5">
      <c r="B238" s="256"/>
      <c r="C238"/>
      <c r="D238"/>
      <c r="E238"/>
      <c r="F238"/>
      <c r="G238"/>
    </row>
    <row r="239" spans="2:7" ht="13.5">
      <c r="B239" s="256"/>
      <c r="C239"/>
      <c r="D239"/>
      <c r="E239"/>
      <c r="F239"/>
      <c r="G239"/>
    </row>
    <row r="240" spans="2:7" ht="13.5">
      <c r="B240" s="256"/>
      <c r="C240"/>
      <c r="D240"/>
      <c r="E240"/>
      <c r="F240"/>
      <c r="G240"/>
    </row>
    <row r="241" spans="2:7" ht="13.5">
      <c r="B241" s="256"/>
      <c r="C241"/>
      <c r="D241"/>
      <c r="E241"/>
      <c r="F241"/>
      <c r="G241"/>
    </row>
    <row r="242" spans="2:7" ht="13.5">
      <c r="B242" s="256"/>
      <c r="C242"/>
      <c r="D242"/>
      <c r="E242"/>
      <c r="F242"/>
      <c r="G242"/>
    </row>
    <row r="243" spans="2:7" ht="13.5">
      <c r="B243" s="256"/>
      <c r="C243"/>
      <c r="D243"/>
      <c r="E243"/>
      <c r="F243"/>
      <c r="G243"/>
    </row>
    <row r="244" spans="2:7" ht="13.5">
      <c r="B244" s="256"/>
      <c r="C244"/>
      <c r="D244"/>
      <c r="E244"/>
      <c r="F244"/>
      <c r="G244"/>
    </row>
    <row r="245" spans="2:7" ht="13.5">
      <c r="B245" s="256"/>
      <c r="C245"/>
      <c r="D245"/>
      <c r="E245"/>
      <c r="F245"/>
      <c r="G245"/>
    </row>
    <row r="246" spans="2:7" ht="13.5">
      <c r="B246" s="256"/>
      <c r="C246"/>
      <c r="D246"/>
      <c r="E246"/>
      <c r="F246"/>
      <c r="G246"/>
    </row>
    <row r="247" spans="2:7" ht="13.5">
      <c r="B247" s="256"/>
      <c r="C247"/>
      <c r="D247"/>
      <c r="E247"/>
      <c r="F247"/>
      <c r="G247"/>
    </row>
    <row r="248" spans="2:7" ht="13.5">
      <c r="B248" s="256"/>
      <c r="C248"/>
      <c r="D248"/>
      <c r="E248"/>
      <c r="F248"/>
      <c r="G248"/>
    </row>
    <row r="249" spans="2:7" ht="13.5">
      <c r="B249" s="256"/>
      <c r="C249"/>
      <c r="D249"/>
      <c r="E249"/>
      <c r="F249"/>
      <c r="G249"/>
    </row>
    <row r="250" spans="2:7" ht="13.5">
      <c r="B250" s="256"/>
      <c r="C250"/>
      <c r="D250"/>
      <c r="E250"/>
      <c r="F250"/>
      <c r="G250"/>
    </row>
    <row r="251" spans="2:7" ht="13.5">
      <c r="B251" s="256"/>
      <c r="C251"/>
      <c r="D251"/>
      <c r="E251"/>
      <c r="F251"/>
      <c r="G251"/>
    </row>
    <row r="252" spans="2:7" ht="13.5">
      <c r="B252" s="256"/>
      <c r="C252"/>
      <c r="D252"/>
      <c r="E252"/>
      <c r="F252"/>
      <c r="G252"/>
    </row>
    <row r="253" spans="2:7" ht="13.5">
      <c r="B253" s="256"/>
      <c r="C253"/>
      <c r="D253"/>
      <c r="E253"/>
      <c r="F253"/>
      <c r="G253"/>
    </row>
    <row r="254" spans="2:7" ht="13.5">
      <c r="B254" s="256"/>
      <c r="C254"/>
      <c r="D254"/>
      <c r="E254"/>
      <c r="F254"/>
      <c r="G254"/>
    </row>
    <row r="255" spans="2:7" ht="13.5">
      <c r="B255" s="256"/>
      <c r="C255"/>
      <c r="D255"/>
      <c r="E255"/>
      <c r="F255"/>
      <c r="G255"/>
    </row>
    <row r="256" spans="2:7" ht="13.5">
      <c r="B256" s="256"/>
      <c r="C256"/>
      <c r="D256"/>
      <c r="E256"/>
      <c r="F256"/>
      <c r="G256"/>
    </row>
    <row r="257" spans="2:7" ht="13.5">
      <c r="B257" s="256"/>
      <c r="C257"/>
      <c r="D257"/>
      <c r="E257"/>
      <c r="F257"/>
      <c r="G257"/>
    </row>
    <row r="258" spans="2:7" ht="13.5">
      <c r="B258" s="256"/>
      <c r="C258"/>
      <c r="D258"/>
      <c r="E258"/>
      <c r="F258"/>
      <c r="G258"/>
    </row>
    <row r="259" spans="2:7" ht="13.5">
      <c r="B259" s="256"/>
      <c r="C259"/>
      <c r="D259"/>
      <c r="E259"/>
      <c r="F259"/>
      <c r="G259"/>
    </row>
    <row r="260" spans="2:7" ht="13.5">
      <c r="B260" s="256"/>
      <c r="C260"/>
      <c r="D260"/>
      <c r="E260"/>
      <c r="F260"/>
      <c r="G260"/>
    </row>
    <row r="261" spans="2:7" ht="13.5">
      <c r="B261" s="256"/>
      <c r="C261"/>
      <c r="D261"/>
      <c r="E261"/>
      <c r="F261"/>
      <c r="G261"/>
    </row>
    <row r="262" spans="2:7" ht="13.5">
      <c r="B262" s="256"/>
      <c r="C262"/>
      <c r="D262"/>
      <c r="E262"/>
      <c r="F262"/>
      <c r="G262"/>
    </row>
    <row r="263" spans="2:7" ht="13.5">
      <c r="B263" s="256"/>
      <c r="C263"/>
      <c r="D263"/>
      <c r="E263"/>
      <c r="F263"/>
      <c r="G263"/>
    </row>
    <row r="264" spans="2:7" ht="13.5">
      <c r="B264" s="256"/>
      <c r="C264"/>
      <c r="D264"/>
      <c r="E264"/>
      <c r="F264"/>
      <c r="G264"/>
    </row>
    <row r="265" spans="2:7" ht="13.5">
      <c r="B265" s="256"/>
      <c r="C265"/>
      <c r="D265"/>
      <c r="E265"/>
      <c r="F265"/>
      <c r="G265"/>
    </row>
    <row r="266" spans="2:7" ht="13.5">
      <c r="B266" s="256"/>
      <c r="C266"/>
      <c r="D266"/>
      <c r="E266"/>
      <c r="F266"/>
      <c r="G266"/>
    </row>
    <row r="267" spans="2:7" ht="13.5">
      <c r="B267" s="256"/>
      <c r="C267"/>
      <c r="D267"/>
      <c r="E267"/>
      <c r="F267"/>
      <c r="G267"/>
    </row>
    <row r="268" spans="2:7" ht="13.5">
      <c r="B268" s="256"/>
      <c r="C268"/>
      <c r="D268"/>
      <c r="E268"/>
      <c r="F268"/>
      <c r="G268"/>
    </row>
    <row r="269" spans="2:7" ht="13.5">
      <c r="B269" s="256"/>
      <c r="C269"/>
      <c r="D269"/>
      <c r="E269"/>
      <c r="F269"/>
      <c r="G269"/>
    </row>
    <row r="270" spans="2:7" ht="13.5">
      <c r="B270" s="256"/>
      <c r="C270"/>
      <c r="D270"/>
      <c r="E270"/>
      <c r="F270"/>
      <c r="G270"/>
    </row>
    <row r="271" spans="2:7" ht="13.5">
      <c r="B271" s="256"/>
      <c r="C271"/>
      <c r="D271"/>
      <c r="E271"/>
      <c r="F271"/>
      <c r="G271"/>
    </row>
    <row r="272" spans="2:7" ht="13.5">
      <c r="B272" s="256"/>
      <c r="C272"/>
      <c r="D272"/>
      <c r="E272"/>
      <c r="F272"/>
      <c r="G272"/>
    </row>
    <row r="273" spans="2:7" ht="13.5">
      <c r="B273" s="256"/>
      <c r="C273"/>
      <c r="D273"/>
      <c r="E273"/>
      <c r="F273"/>
      <c r="G273"/>
    </row>
    <row r="274" spans="2:7" ht="13.5">
      <c r="B274" s="256"/>
      <c r="C274"/>
      <c r="D274"/>
      <c r="E274"/>
      <c r="F274"/>
      <c r="G274"/>
    </row>
    <row r="275" spans="2:7" ht="13.5">
      <c r="B275" s="256"/>
      <c r="C275"/>
      <c r="D275"/>
      <c r="E275"/>
      <c r="F275"/>
      <c r="G275"/>
    </row>
    <row r="276" spans="2:7" ht="13.5">
      <c r="B276" s="256"/>
      <c r="C276"/>
      <c r="D276"/>
      <c r="E276"/>
      <c r="F276"/>
      <c r="G276"/>
    </row>
    <row r="277" spans="2:7" ht="13.5">
      <c r="B277" s="256"/>
      <c r="C277"/>
      <c r="D277"/>
      <c r="E277"/>
      <c r="F277"/>
      <c r="G277"/>
    </row>
    <row r="278" spans="2:7" ht="13.5">
      <c r="B278" s="256"/>
      <c r="C278"/>
      <c r="D278"/>
      <c r="E278"/>
      <c r="F278"/>
      <c r="G278"/>
    </row>
    <row r="279" spans="2:7" ht="13.5">
      <c r="B279" s="256"/>
      <c r="C279"/>
      <c r="D279"/>
      <c r="E279"/>
      <c r="F279"/>
      <c r="G279"/>
    </row>
    <row r="280" spans="2:7" ht="13.5">
      <c r="B280" s="256"/>
      <c r="C280"/>
      <c r="D280"/>
      <c r="E280"/>
      <c r="F280"/>
      <c r="G280"/>
    </row>
    <row r="281" spans="2:7" ht="13.5">
      <c r="B281" s="256"/>
      <c r="C281"/>
      <c r="D281"/>
      <c r="E281"/>
      <c r="F281"/>
      <c r="G281"/>
    </row>
    <row r="282" spans="2:7" ht="13.5">
      <c r="B282" s="256"/>
      <c r="C282"/>
      <c r="D282"/>
      <c r="E282"/>
      <c r="F282"/>
      <c r="G282"/>
    </row>
    <row r="283" spans="2:7" ht="13.5">
      <c r="B283" s="256"/>
      <c r="C283"/>
      <c r="D283"/>
      <c r="E283"/>
      <c r="F283"/>
      <c r="G283"/>
    </row>
    <row r="284" spans="2:7" ht="13.5">
      <c r="B284" s="256"/>
      <c r="C284"/>
      <c r="D284"/>
      <c r="E284"/>
      <c r="F284"/>
      <c r="G284"/>
    </row>
    <row r="285" spans="2:7" ht="13.5">
      <c r="B285" s="256"/>
      <c r="C285"/>
      <c r="D285"/>
      <c r="E285"/>
      <c r="F285"/>
      <c r="G285"/>
    </row>
    <row r="286" spans="2:7" ht="13.5">
      <c r="B286" s="256"/>
      <c r="C286"/>
      <c r="D286"/>
      <c r="E286"/>
      <c r="F286"/>
      <c r="G286"/>
    </row>
    <row r="287" spans="2:7" ht="13.5">
      <c r="B287" s="256"/>
      <c r="C287"/>
      <c r="D287"/>
      <c r="E287"/>
      <c r="F287"/>
      <c r="G287"/>
    </row>
    <row r="288" spans="2:7" ht="13.5">
      <c r="B288" s="256"/>
      <c r="C288"/>
      <c r="D288"/>
      <c r="E288"/>
      <c r="F288"/>
      <c r="G288"/>
    </row>
    <row r="289" spans="2:7" ht="13.5">
      <c r="B289" s="256"/>
      <c r="C289"/>
      <c r="D289"/>
      <c r="E289"/>
      <c r="F289"/>
      <c r="G289"/>
    </row>
    <row r="290" spans="2:7" ht="13.5">
      <c r="B290" s="256"/>
      <c r="C290"/>
      <c r="D290"/>
      <c r="E290"/>
      <c r="F290"/>
      <c r="G290"/>
    </row>
    <row r="291" spans="2:7" ht="13.5">
      <c r="B291" s="256"/>
      <c r="C291"/>
      <c r="D291"/>
      <c r="E291"/>
      <c r="F291"/>
      <c r="G291"/>
    </row>
    <row r="292" spans="2:7" ht="13.5">
      <c r="B292" s="256"/>
      <c r="C292"/>
      <c r="D292"/>
      <c r="E292"/>
      <c r="F292"/>
      <c r="G292"/>
    </row>
    <row r="293" spans="2:7" ht="13.5">
      <c r="B293" s="256"/>
      <c r="C293"/>
      <c r="D293"/>
      <c r="E293"/>
      <c r="F293"/>
      <c r="G293"/>
    </row>
    <row r="294" spans="2:7" ht="13.5">
      <c r="B294" s="256"/>
      <c r="C294"/>
      <c r="D294"/>
      <c r="E294"/>
      <c r="F294"/>
      <c r="G294"/>
    </row>
    <row r="295" spans="2:7" ht="13.5">
      <c r="B295" s="256"/>
      <c r="C295"/>
      <c r="D295"/>
      <c r="E295"/>
      <c r="F295"/>
      <c r="G295"/>
    </row>
    <row r="296" spans="2:7" ht="13.5">
      <c r="B296" s="256"/>
      <c r="C296"/>
      <c r="D296"/>
      <c r="E296"/>
      <c r="F296"/>
      <c r="G296"/>
    </row>
    <row r="297" spans="2:7" ht="13.5">
      <c r="B297" s="256"/>
      <c r="C297"/>
      <c r="D297"/>
      <c r="E297"/>
      <c r="F297"/>
      <c r="G297"/>
    </row>
    <row r="298" spans="2:7" ht="13.5">
      <c r="B298" s="256"/>
      <c r="C298"/>
      <c r="D298"/>
      <c r="E298"/>
      <c r="F298"/>
      <c r="G298"/>
    </row>
    <row r="299" spans="2:7" ht="13.5">
      <c r="B299" s="256"/>
      <c r="C299"/>
      <c r="D299"/>
      <c r="E299"/>
      <c r="F299"/>
      <c r="G299"/>
    </row>
    <row r="300" spans="2:7" ht="13.5">
      <c r="B300" s="256"/>
      <c r="C300"/>
      <c r="D300"/>
      <c r="E300"/>
      <c r="F300"/>
      <c r="G300"/>
    </row>
    <row r="301" spans="2:7" ht="13.5">
      <c r="B301" s="256"/>
      <c r="C301"/>
      <c r="D301"/>
      <c r="E301"/>
      <c r="F301"/>
      <c r="G301"/>
    </row>
    <row r="302" spans="2:7" ht="13.5">
      <c r="B302" s="256"/>
      <c r="C302"/>
      <c r="D302"/>
      <c r="E302"/>
      <c r="F302"/>
      <c r="G302"/>
    </row>
    <row r="303" spans="2:7" ht="13.5">
      <c r="B303" s="256"/>
      <c r="C303"/>
      <c r="D303"/>
      <c r="E303"/>
      <c r="F303"/>
      <c r="G303"/>
    </row>
    <row r="304" spans="2:7" ht="13.5">
      <c r="B304" s="256"/>
      <c r="C304"/>
      <c r="D304"/>
      <c r="E304"/>
      <c r="F304"/>
      <c r="G304"/>
    </row>
    <row r="305" spans="2:7" ht="13.5">
      <c r="B305" s="256"/>
      <c r="C305"/>
      <c r="D305"/>
      <c r="E305"/>
      <c r="F305"/>
      <c r="G305"/>
    </row>
    <row r="306" spans="2:7" ht="13.5">
      <c r="B306" s="256"/>
      <c r="C306"/>
      <c r="D306"/>
      <c r="E306"/>
      <c r="F306"/>
      <c r="G306"/>
    </row>
    <row r="307" spans="2:7" ht="13.5">
      <c r="B307" s="256"/>
      <c r="C307"/>
      <c r="D307"/>
      <c r="E307"/>
      <c r="F307"/>
      <c r="G307"/>
    </row>
    <row r="308" spans="2:7" ht="13.5">
      <c r="B308" s="256"/>
      <c r="C308"/>
      <c r="D308"/>
      <c r="E308"/>
      <c r="F308"/>
      <c r="G308"/>
    </row>
    <row r="309" spans="2:7" ht="13.5">
      <c r="B309" s="256"/>
      <c r="C309"/>
      <c r="D309"/>
      <c r="E309"/>
      <c r="F309"/>
      <c r="G309"/>
    </row>
    <row r="310" spans="2:7" ht="13.5">
      <c r="B310" s="256"/>
      <c r="C310"/>
      <c r="D310"/>
      <c r="E310"/>
      <c r="F310"/>
      <c r="G310"/>
    </row>
    <row r="311" spans="2:7" ht="13.5">
      <c r="B311" s="256"/>
      <c r="C311"/>
      <c r="D311"/>
      <c r="E311"/>
      <c r="F311"/>
      <c r="G311"/>
    </row>
    <row r="312" spans="2:7" ht="13.5">
      <c r="B312" s="256"/>
      <c r="C312"/>
      <c r="D312"/>
      <c r="E312"/>
      <c r="F312"/>
      <c r="G312"/>
    </row>
    <row r="313" spans="2:7" ht="13.5">
      <c r="B313" s="256"/>
      <c r="C313"/>
      <c r="D313"/>
      <c r="E313"/>
      <c r="F313"/>
      <c r="G313"/>
    </row>
    <row r="314" spans="2:7" ht="13.5">
      <c r="B314" s="256"/>
      <c r="C314"/>
      <c r="D314"/>
      <c r="E314"/>
      <c r="F314"/>
      <c r="G314"/>
    </row>
    <row r="315" spans="2:7" ht="13.5">
      <c r="B315" s="256"/>
      <c r="C315"/>
      <c r="D315"/>
      <c r="E315"/>
      <c r="F315"/>
      <c r="G315"/>
    </row>
    <row r="316" spans="2:7" ht="13.5">
      <c r="B316" s="256"/>
      <c r="C316"/>
      <c r="D316"/>
      <c r="E316"/>
      <c r="F316"/>
      <c r="G316"/>
    </row>
    <row r="317" spans="2:7" ht="13.5">
      <c r="B317" s="256"/>
      <c r="C317"/>
      <c r="D317"/>
      <c r="E317"/>
      <c r="F317"/>
      <c r="G317"/>
    </row>
    <row r="318" spans="2:7" ht="13.5">
      <c r="B318" s="256"/>
      <c r="C318"/>
      <c r="D318"/>
      <c r="E318"/>
      <c r="F318"/>
      <c r="G318"/>
    </row>
    <row r="319" spans="2:7" ht="13.5">
      <c r="B319" s="256"/>
      <c r="C319"/>
      <c r="D319"/>
      <c r="E319"/>
      <c r="F319"/>
      <c r="G319"/>
    </row>
    <row r="320" spans="2:7" ht="13.5">
      <c r="B320" s="256"/>
      <c r="C320"/>
      <c r="D320"/>
      <c r="E320"/>
      <c r="F320"/>
      <c r="G320"/>
    </row>
    <row r="321" spans="2:7" ht="13.5">
      <c r="B321" s="256"/>
      <c r="C321"/>
      <c r="D321"/>
      <c r="E321"/>
      <c r="F321"/>
      <c r="G321"/>
    </row>
    <row r="322" spans="2:7" ht="13.5">
      <c r="B322" s="256"/>
      <c r="C322"/>
      <c r="D322"/>
      <c r="E322"/>
      <c r="F322"/>
      <c r="G322"/>
    </row>
    <row r="323" spans="2:7" ht="13.5">
      <c r="B323" s="256"/>
      <c r="C323"/>
      <c r="D323"/>
      <c r="E323"/>
      <c r="F323"/>
      <c r="G323"/>
    </row>
    <row r="324" spans="2:7" ht="13.5">
      <c r="B324" s="256"/>
      <c r="C324"/>
      <c r="D324"/>
      <c r="E324"/>
      <c r="F324"/>
      <c r="G324"/>
    </row>
    <row r="325" spans="2:7" ht="13.5">
      <c r="B325" s="256"/>
      <c r="C325"/>
      <c r="D325"/>
      <c r="E325"/>
      <c r="F325"/>
      <c r="G325"/>
    </row>
    <row r="326" spans="2:7" ht="13.5">
      <c r="B326" s="256"/>
      <c r="C326"/>
      <c r="D326"/>
      <c r="E326"/>
      <c r="F326"/>
      <c r="G326"/>
    </row>
    <row r="327" spans="2:7" ht="13.5">
      <c r="B327" s="256"/>
      <c r="C327"/>
      <c r="D327"/>
      <c r="E327"/>
      <c r="F327"/>
      <c r="G327"/>
    </row>
    <row r="328" spans="2:7" ht="13.5">
      <c r="B328" s="256"/>
      <c r="C328"/>
      <c r="D328"/>
      <c r="E328"/>
      <c r="F328"/>
      <c r="G328"/>
    </row>
    <row r="329" spans="2:7" ht="13.5">
      <c r="B329" s="256"/>
      <c r="C329"/>
      <c r="D329"/>
      <c r="E329"/>
      <c r="F329"/>
      <c r="G329"/>
    </row>
    <row r="330" spans="2:7" ht="13.5">
      <c r="B330" s="256"/>
      <c r="C330"/>
      <c r="D330"/>
      <c r="E330"/>
      <c r="F330"/>
      <c r="G330"/>
    </row>
    <row r="331" spans="2:7" ht="13.5">
      <c r="B331" s="256"/>
      <c r="C331"/>
      <c r="D331"/>
      <c r="E331"/>
      <c r="F331"/>
      <c r="G331"/>
    </row>
    <row r="332" spans="2:7" ht="13.5">
      <c r="B332" s="256"/>
      <c r="C332"/>
      <c r="D332"/>
      <c r="E332"/>
      <c r="F332"/>
      <c r="G332"/>
    </row>
    <row r="333" spans="2:7" ht="13.5">
      <c r="B333" s="256"/>
      <c r="C333"/>
      <c r="D333"/>
      <c r="E333"/>
      <c r="F333"/>
      <c r="G333"/>
    </row>
    <row r="334" spans="2:7" ht="13.5">
      <c r="B334" s="256"/>
      <c r="C334"/>
      <c r="D334"/>
      <c r="E334"/>
      <c r="F334"/>
      <c r="G334"/>
    </row>
    <row r="335" spans="2:7" ht="13.5">
      <c r="B335" s="256"/>
      <c r="C335"/>
      <c r="D335"/>
      <c r="E335"/>
      <c r="F335"/>
      <c r="G335"/>
    </row>
    <row r="336" spans="2:7" ht="13.5">
      <c r="B336" s="256"/>
      <c r="C336"/>
      <c r="D336"/>
      <c r="E336"/>
      <c r="F336"/>
      <c r="G336"/>
    </row>
    <row r="337" spans="2:7" ht="13.5">
      <c r="B337" s="256"/>
      <c r="C337"/>
      <c r="D337"/>
      <c r="E337"/>
      <c r="F337"/>
      <c r="G337"/>
    </row>
    <row r="338" spans="2:7" ht="13.5">
      <c r="B338" s="256"/>
      <c r="C338"/>
      <c r="D338"/>
      <c r="E338"/>
      <c r="F338"/>
      <c r="G338"/>
    </row>
    <row r="339" spans="2:7" ht="13.5">
      <c r="B339" s="256"/>
      <c r="C339"/>
      <c r="D339"/>
      <c r="E339"/>
      <c r="F339"/>
      <c r="G339"/>
    </row>
    <row r="340" spans="2:7" ht="13.5">
      <c r="B340" s="256"/>
      <c r="C340"/>
      <c r="D340"/>
      <c r="E340"/>
      <c r="F340"/>
      <c r="G340"/>
    </row>
    <row r="341" spans="2:7" ht="13.5">
      <c r="B341" s="256"/>
      <c r="C341"/>
      <c r="D341"/>
      <c r="E341"/>
      <c r="F341"/>
      <c r="G341"/>
    </row>
    <row r="342" spans="2:7" ht="13.5">
      <c r="B342" s="256"/>
      <c r="C342"/>
      <c r="D342"/>
      <c r="E342"/>
      <c r="F342"/>
      <c r="G342"/>
    </row>
    <row r="343" spans="2:7" ht="13.5">
      <c r="B343" s="256"/>
      <c r="C343"/>
      <c r="D343"/>
      <c r="E343"/>
      <c r="F343"/>
      <c r="G343"/>
    </row>
    <row r="344" spans="2:7" ht="13.5">
      <c r="B344" s="256"/>
      <c r="C344"/>
      <c r="D344"/>
      <c r="E344"/>
      <c r="F344"/>
      <c r="G344"/>
    </row>
    <row r="345" spans="2:7" ht="13.5">
      <c r="B345" s="256"/>
      <c r="C345"/>
      <c r="D345"/>
      <c r="E345"/>
      <c r="F345"/>
      <c r="G345"/>
    </row>
    <row r="346" spans="2:7" ht="13.5">
      <c r="B346" s="256"/>
      <c r="C346"/>
      <c r="D346"/>
      <c r="E346"/>
      <c r="F346"/>
      <c r="G346"/>
    </row>
    <row r="347" spans="2:7" ht="13.5">
      <c r="B347" s="256"/>
      <c r="C347"/>
      <c r="D347"/>
      <c r="E347"/>
      <c r="F347"/>
      <c r="G347"/>
    </row>
    <row r="348" spans="2:7" ht="13.5">
      <c r="B348" s="256"/>
      <c r="C348"/>
      <c r="D348"/>
      <c r="E348"/>
      <c r="F348"/>
      <c r="G348"/>
    </row>
    <row r="349" spans="2:7" ht="13.5">
      <c r="B349" s="256"/>
      <c r="C349"/>
      <c r="D349"/>
      <c r="E349"/>
      <c r="F349"/>
      <c r="G349"/>
    </row>
    <row r="350" spans="2:7" ht="13.5">
      <c r="B350" s="256"/>
      <c r="C350"/>
      <c r="D350"/>
      <c r="E350"/>
      <c r="F350"/>
      <c r="G350"/>
    </row>
    <row r="351" spans="2:7" ht="13.5">
      <c r="B351" s="256"/>
      <c r="C351"/>
      <c r="D351"/>
      <c r="E351"/>
      <c r="F351"/>
      <c r="G351"/>
    </row>
    <row r="352" spans="2:7" ht="13.5">
      <c r="B352" s="256"/>
      <c r="C352"/>
      <c r="D352"/>
      <c r="E352"/>
      <c r="F352"/>
      <c r="G352"/>
    </row>
    <row r="353" spans="2:7" ht="13.5">
      <c r="B353" s="256"/>
      <c r="C353"/>
      <c r="D353"/>
      <c r="E353"/>
      <c r="F353"/>
      <c r="G353"/>
    </row>
    <row r="354" spans="2:7" ht="13.5">
      <c r="B354" s="256"/>
      <c r="C354"/>
      <c r="D354"/>
      <c r="E354"/>
      <c r="F354"/>
      <c r="G354"/>
    </row>
    <row r="355" spans="2:7" ht="13.5">
      <c r="B355" s="256"/>
      <c r="C355"/>
      <c r="D355"/>
      <c r="E355"/>
      <c r="F355"/>
      <c r="G355"/>
    </row>
    <row r="356" spans="2:7" ht="13.5">
      <c r="B356" s="256"/>
      <c r="C356"/>
      <c r="D356"/>
      <c r="E356"/>
      <c r="F356"/>
      <c r="G356"/>
    </row>
    <row r="357" spans="2:7" ht="13.5">
      <c r="B357" s="256"/>
      <c r="C357"/>
      <c r="D357"/>
      <c r="E357"/>
      <c r="F357"/>
      <c r="G357"/>
    </row>
    <row r="358" spans="2:7" ht="13.5">
      <c r="B358" s="256"/>
      <c r="C358"/>
      <c r="D358"/>
      <c r="E358"/>
      <c r="F358"/>
      <c r="G358"/>
    </row>
    <row r="359" spans="2:7" ht="13.5">
      <c r="B359" s="256"/>
      <c r="C359"/>
      <c r="D359"/>
      <c r="E359"/>
      <c r="F359"/>
      <c r="G359"/>
    </row>
    <row r="360" spans="2:7" ht="13.5">
      <c r="B360" s="256"/>
      <c r="C360"/>
      <c r="D360"/>
      <c r="E360"/>
      <c r="F360"/>
      <c r="G360"/>
    </row>
    <row r="361" spans="2:7" ht="13.5">
      <c r="B361" s="256"/>
      <c r="C361"/>
      <c r="D361"/>
      <c r="E361"/>
      <c r="F361"/>
      <c r="G361"/>
    </row>
    <row r="362" spans="2:7" ht="13.5">
      <c r="B362" s="256"/>
      <c r="C362"/>
      <c r="D362"/>
      <c r="E362"/>
      <c r="F362"/>
      <c r="G362"/>
    </row>
    <row r="363" spans="2:7" ht="13.5">
      <c r="B363" s="256"/>
      <c r="C363"/>
      <c r="D363"/>
      <c r="E363"/>
      <c r="F363"/>
      <c r="G363"/>
    </row>
    <row r="364" spans="2:7" ht="13.5">
      <c r="B364" s="256"/>
      <c r="C364"/>
      <c r="D364"/>
      <c r="E364"/>
      <c r="F364"/>
      <c r="G364"/>
    </row>
    <row r="365" spans="2:7" ht="13.5">
      <c r="B365" s="256"/>
      <c r="C365"/>
      <c r="D365"/>
      <c r="E365"/>
      <c r="F365"/>
      <c r="G365"/>
    </row>
    <row r="366" spans="2:7" ht="13.5">
      <c r="B366" s="256"/>
      <c r="C366"/>
      <c r="D366"/>
      <c r="E366"/>
      <c r="F366"/>
      <c r="G366"/>
    </row>
    <row r="367" spans="2:7" ht="13.5">
      <c r="B367" s="256"/>
      <c r="C367"/>
      <c r="D367"/>
      <c r="E367"/>
      <c r="F367"/>
      <c r="G367"/>
    </row>
    <row r="368" spans="2:7" ht="13.5">
      <c r="B368" s="256"/>
      <c r="C368"/>
      <c r="D368"/>
      <c r="E368"/>
      <c r="F368"/>
      <c r="G368"/>
    </row>
    <row r="369" spans="2:7" ht="13.5">
      <c r="B369" s="256"/>
      <c r="C369"/>
      <c r="D369"/>
      <c r="E369"/>
      <c r="F369"/>
      <c r="G369"/>
    </row>
    <row r="370" spans="2:7" ht="13.5">
      <c r="B370" s="256"/>
      <c r="C370"/>
      <c r="D370"/>
      <c r="E370"/>
      <c r="F370"/>
      <c r="G370"/>
    </row>
    <row r="371" spans="2:7" ht="13.5">
      <c r="B371" s="256"/>
      <c r="C371"/>
      <c r="D371"/>
      <c r="E371"/>
      <c r="F371"/>
      <c r="G371"/>
    </row>
    <row r="372" spans="2:7" ht="13.5">
      <c r="B372" s="256"/>
      <c r="C372"/>
      <c r="D372"/>
      <c r="E372"/>
      <c r="F372"/>
      <c r="G372"/>
    </row>
    <row r="373" spans="2:7" ht="13.5">
      <c r="B373" s="256"/>
      <c r="C373"/>
      <c r="D373"/>
      <c r="E373"/>
      <c r="F373"/>
      <c r="G373"/>
    </row>
    <row r="374" spans="2:7" ht="13.5">
      <c r="B374" s="256"/>
      <c r="C374"/>
      <c r="D374"/>
      <c r="E374"/>
      <c r="F374"/>
      <c r="G374"/>
    </row>
    <row r="375" spans="2:7" ht="13.5">
      <c r="B375" s="256"/>
      <c r="C375"/>
      <c r="D375"/>
      <c r="E375"/>
      <c r="F375"/>
      <c r="G375"/>
    </row>
    <row r="376" spans="2:7" ht="13.5">
      <c r="B376" s="256"/>
      <c r="C376"/>
      <c r="D376"/>
      <c r="E376"/>
      <c r="F376"/>
      <c r="G376"/>
    </row>
    <row r="377" spans="2:7" ht="13.5">
      <c r="B377" s="256"/>
      <c r="C377"/>
      <c r="D377"/>
      <c r="E377"/>
      <c r="F377"/>
      <c r="G377"/>
    </row>
    <row r="378" spans="2:7" ht="13.5">
      <c r="B378" s="256"/>
      <c r="C378"/>
      <c r="D378"/>
      <c r="E378"/>
      <c r="F378"/>
      <c r="G378"/>
    </row>
    <row r="379" spans="2:7" ht="13.5">
      <c r="B379" s="256"/>
      <c r="C379"/>
      <c r="D379"/>
      <c r="E379"/>
      <c r="F379"/>
      <c r="G379"/>
    </row>
    <row r="380" spans="2:7" ht="13.5">
      <c r="B380" s="256"/>
      <c r="C380"/>
      <c r="D380"/>
      <c r="E380"/>
      <c r="F380"/>
      <c r="G380"/>
    </row>
    <row r="381" spans="2:7" ht="13.5">
      <c r="B381" s="256"/>
      <c r="C381"/>
      <c r="D381"/>
      <c r="E381"/>
      <c r="F381"/>
      <c r="G381"/>
    </row>
    <row r="382" spans="2:7" ht="13.5">
      <c r="B382" s="256"/>
      <c r="C382"/>
      <c r="D382"/>
      <c r="E382"/>
      <c r="F382"/>
      <c r="G382"/>
    </row>
    <row r="383" spans="2:7" ht="13.5">
      <c r="B383" s="256"/>
      <c r="C383"/>
      <c r="D383"/>
      <c r="E383"/>
      <c r="F383"/>
      <c r="G383"/>
    </row>
    <row r="384" spans="2:7" ht="13.5">
      <c r="B384" s="256"/>
      <c r="C384"/>
      <c r="D384"/>
      <c r="E384"/>
      <c r="F384"/>
      <c r="G384"/>
    </row>
    <row r="385" spans="2:7" ht="13.5">
      <c r="B385" s="256"/>
      <c r="C385"/>
      <c r="D385"/>
      <c r="E385"/>
      <c r="F385"/>
      <c r="G385"/>
    </row>
    <row r="386" spans="2:7" ht="13.5">
      <c r="B386" s="256"/>
      <c r="C386"/>
      <c r="D386"/>
      <c r="E386"/>
      <c r="F386"/>
      <c r="G386"/>
    </row>
    <row r="387" spans="2:7" ht="13.5">
      <c r="B387" s="256"/>
      <c r="C387"/>
      <c r="D387"/>
      <c r="E387"/>
      <c r="F387"/>
      <c r="G387"/>
    </row>
    <row r="388" spans="2:7" ht="13.5">
      <c r="B388" s="256"/>
      <c r="C388"/>
      <c r="D388"/>
      <c r="E388"/>
      <c r="F388"/>
      <c r="G388"/>
    </row>
    <row r="389" spans="2:7" ht="13.5">
      <c r="B389" s="256"/>
      <c r="C389"/>
      <c r="D389"/>
      <c r="E389"/>
      <c r="F389"/>
      <c r="G389"/>
    </row>
    <row r="390" spans="2:7" ht="13.5">
      <c r="B390" s="256"/>
      <c r="C390"/>
      <c r="D390"/>
      <c r="E390"/>
      <c r="F390"/>
      <c r="G390"/>
    </row>
    <row r="391" spans="2:7" ht="13.5">
      <c r="B391" s="256"/>
      <c r="C391"/>
      <c r="D391"/>
      <c r="E391"/>
      <c r="F391"/>
      <c r="G391"/>
    </row>
    <row r="392" spans="2:7" ht="13.5">
      <c r="B392" s="256"/>
      <c r="C392"/>
      <c r="D392"/>
      <c r="E392"/>
      <c r="F392"/>
      <c r="G392"/>
    </row>
    <row r="393" spans="2:7" ht="13.5">
      <c r="B393" s="256"/>
      <c r="C393"/>
      <c r="D393"/>
      <c r="E393"/>
      <c r="F393"/>
      <c r="G393"/>
    </row>
    <row r="394" spans="2:7" ht="13.5">
      <c r="B394" s="256"/>
      <c r="C394"/>
      <c r="D394"/>
      <c r="E394"/>
      <c r="F394"/>
      <c r="G394"/>
    </row>
    <row r="395" spans="2:7" ht="13.5">
      <c r="B395" s="256"/>
      <c r="C395"/>
      <c r="D395"/>
      <c r="E395"/>
      <c r="F395"/>
      <c r="G395"/>
    </row>
    <row r="396" spans="2:7" ht="13.5">
      <c r="B396" s="256"/>
      <c r="C396"/>
      <c r="D396"/>
      <c r="E396"/>
      <c r="F396"/>
      <c r="G396"/>
    </row>
    <row r="397" spans="2:7" ht="13.5">
      <c r="B397" s="256"/>
      <c r="C397"/>
      <c r="D397"/>
      <c r="E397"/>
      <c r="F397"/>
      <c r="G397"/>
    </row>
    <row r="398" spans="2:7" ht="13.5">
      <c r="B398" s="256"/>
      <c r="C398"/>
      <c r="D398"/>
      <c r="E398"/>
      <c r="F398"/>
      <c r="G398"/>
    </row>
    <row r="399" spans="2:7" ht="13.5">
      <c r="B399" s="256"/>
      <c r="C399"/>
      <c r="D399"/>
      <c r="E399"/>
      <c r="F399"/>
      <c r="G399"/>
    </row>
    <row r="400" spans="2:7" ht="13.5">
      <c r="B400" s="256"/>
      <c r="C400"/>
      <c r="D400"/>
      <c r="E400"/>
      <c r="F400"/>
      <c r="G400"/>
    </row>
    <row r="401" spans="2:7" ht="13.5">
      <c r="B401" s="256"/>
      <c r="C401"/>
      <c r="D401"/>
      <c r="E401"/>
      <c r="F401"/>
      <c r="G401"/>
    </row>
    <row r="402" spans="2:7" ht="13.5">
      <c r="B402" s="256"/>
      <c r="C402"/>
      <c r="D402"/>
      <c r="E402"/>
      <c r="F402"/>
      <c r="G402"/>
    </row>
    <row r="403" spans="2:7" ht="13.5">
      <c r="B403" s="256"/>
      <c r="C403"/>
      <c r="D403"/>
      <c r="E403"/>
      <c r="F403"/>
      <c r="G403"/>
    </row>
    <row r="404" spans="2:7" ht="13.5">
      <c r="B404" s="256"/>
      <c r="C404"/>
      <c r="D404"/>
      <c r="E404"/>
      <c r="F404"/>
      <c r="G404"/>
    </row>
    <row r="405" spans="2:7" ht="13.5">
      <c r="B405" s="256"/>
      <c r="C405"/>
      <c r="D405"/>
      <c r="E405"/>
      <c r="F405"/>
      <c r="G405"/>
    </row>
    <row r="406" spans="2:7" ht="13.5">
      <c r="B406" s="256"/>
      <c r="C406"/>
      <c r="D406"/>
      <c r="E406"/>
      <c r="F406"/>
      <c r="G406"/>
    </row>
    <row r="407" spans="2:7" ht="13.5">
      <c r="B407" s="256"/>
      <c r="C407"/>
      <c r="D407"/>
      <c r="E407"/>
      <c r="F407"/>
      <c r="G407"/>
    </row>
    <row r="408" spans="2:7" ht="13.5">
      <c r="B408" s="256"/>
      <c r="C408"/>
      <c r="D408"/>
      <c r="E408"/>
      <c r="F408"/>
      <c r="G408"/>
    </row>
    <row r="409" spans="2:7" ht="13.5">
      <c r="B409" s="256"/>
      <c r="C409"/>
      <c r="D409"/>
      <c r="E409"/>
      <c r="F409"/>
      <c r="G409"/>
    </row>
    <row r="410" spans="2:7" ht="13.5">
      <c r="B410" s="256"/>
      <c r="C410"/>
      <c r="D410"/>
      <c r="E410"/>
      <c r="F410"/>
      <c r="G410"/>
    </row>
    <row r="411" spans="2:7" ht="13.5">
      <c r="B411" s="256"/>
      <c r="C411"/>
      <c r="D411"/>
      <c r="E411"/>
      <c r="F411"/>
      <c r="G411"/>
    </row>
    <row r="412" spans="2:7" ht="13.5">
      <c r="B412" s="256"/>
      <c r="C412"/>
      <c r="D412"/>
      <c r="E412"/>
      <c r="F412"/>
      <c r="G412"/>
    </row>
    <row r="413" spans="2:7" ht="13.5">
      <c r="B413" s="256"/>
      <c r="C413"/>
      <c r="D413"/>
      <c r="E413"/>
      <c r="F413"/>
      <c r="G413"/>
    </row>
    <row r="414" spans="2:7" ht="13.5">
      <c r="B414" s="256"/>
      <c r="C414"/>
      <c r="D414"/>
      <c r="E414"/>
      <c r="F414"/>
      <c r="G414"/>
    </row>
    <row r="415" spans="2:7" ht="13.5">
      <c r="B415" s="256"/>
      <c r="C415"/>
      <c r="D415"/>
      <c r="E415"/>
      <c r="F415"/>
      <c r="G415"/>
    </row>
    <row r="416" spans="2:7" ht="13.5">
      <c r="B416" s="256"/>
      <c r="C416"/>
      <c r="D416"/>
      <c r="E416"/>
      <c r="F416"/>
      <c r="G416"/>
    </row>
    <row r="417" spans="2:7" ht="13.5">
      <c r="B417" s="256"/>
      <c r="C417"/>
      <c r="D417"/>
      <c r="E417"/>
      <c r="F417"/>
      <c r="G417"/>
    </row>
    <row r="418" spans="2:7" ht="13.5">
      <c r="B418" s="256"/>
      <c r="C418"/>
      <c r="D418"/>
      <c r="E418"/>
      <c r="F418"/>
      <c r="G418"/>
    </row>
    <row r="419" spans="2:7" ht="13.5">
      <c r="B419" s="256"/>
      <c r="C419"/>
      <c r="D419"/>
      <c r="E419"/>
      <c r="F419"/>
      <c r="G419"/>
    </row>
    <row r="420" spans="2:7" ht="13.5">
      <c r="B420" s="256"/>
      <c r="C420"/>
      <c r="D420"/>
      <c r="E420"/>
      <c r="F420"/>
      <c r="G420"/>
    </row>
    <row r="421" spans="2:7" ht="13.5">
      <c r="B421" s="256"/>
      <c r="C421"/>
      <c r="D421"/>
      <c r="E421"/>
      <c r="F421"/>
      <c r="G421"/>
    </row>
    <row r="422" spans="2:7" ht="13.5">
      <c r="B422" s="256"/>
      <c r="C422"/>
      <c r="D422"/>
      <c r="E422"/>
      <c r="F422"/>
      <c r="G422"/>
    </row>
    <row r="423" spans="2:7" ht="13.5">
      <c r="B423" s="256"/>
      <c r="C423"/>
      <c r="D423"/>
      <c r="E423"/>
      <c r="F423"/>
      <c r="G423"/>
    </row>
    <row r="424" spans="2:7" ht="13.5">
      <c r="B424" s="256"/>
      <c r="C424"/>
      <c r="D424"/>
      <c r="E424"/>
      <c r="F424"/>
      <c r="G424"/>
    </row>
    <row r="425" spans="2:7" ht="13.5">
      <c r="B425" s="256"/>
      <c r="C425"/>
      <c r="D425"/>
      <c r="E425"/>
      <c r="F425"/>
      <c r="G425"/>
    </row>
    <row r="426" spans="2:7" ht="13.5">
      <c r="B426" s="256"/>
      <c r="C426"/>
      <c r="D426"/>
      <c r="E426"/>
      <c r="F426"/>
      <c r="G426"/>
    </row>
    <row r="427" spans="2:7" ht="13.5">
      <c r="B427" s="256"/>
      <c r="C427"/>
      <c r="D427"/>
      <c r="E427"/>
      <c r="F427"/>
      <c r="G427"/>
    </row>
    <row r="428" spans="2:7" ht="13.5">
      <c r="B428" s="256"/>
      <c r="C428"/>
      <c r="D428"/>
      <c r="E428"/>
      <c r="F428"/>
      <c r="G428"/>
    </row>
    <row r="429" spans="2:7" ht="13.5">
      <c r="B429" s="256"/>
      <c r="C429"/>
      <c r="D429"/>
      <c r="E429"/>
      <c r="F429"/>
      <c r="G429"/>
    </row>
    <row r="430" spans="2:7" ht="13.5">
      <c r="B430" s="256"/>
      <c r="C430"/>
      <c r="D430"/>
      <c r="E430"/>
      <c r="F430"/>
      <c r="G430"/>
    </row>
    <row r="431" spans="2:7" ht="13.5">
      <c r="B431" s="256"/>
      <c r="C431"/>
      <c r="D431"/>
      <c r="E431"/>
      <c r="F431"/>
      <c r="G431"/>
    </row>
    <row r="432" spans="2:7" ht="13.5">
      <c r="B432" s="256"/>
      <c r="C432"/>
      <c r="D432"/>
      <c r="E432"/>
      <c r="F432"/>
      <c r="G432"/>
    </row>
    <row r="433" spans="2:7" ht="13.5">
      <c r="B433" s="256"/>
      <c r="C433"/>
      <c r="D433"/>
      <c r="E433"/>
      <c r="F433"/>
      <c r="G433"/>
    </row>
    <row r="434" spans="2:7" ht="13.5">
      <c r="B434" s="256"/>
      <c r="C434"/>
      <c r="D434"/>
      <c r="E434"/>
      <c r="F434"/>
      <c r="G434"/>
    </row>
    <row r="435" spans="2:7" ht="13.5">
      <c r="B435" s="256"/>
      <c r="C435"/>
      <c r="D435"/>
      <c r="E435"/>
      <c r="F435"/>
      <c r="G435"/>
    </row>
    <row r="436" spans="2:7" ht="13.5">
      <c r="B436" s="256"/>
      <c r="C436"/>
      <c r="D436"/>
      <c r="E436"/>
      <c r="F436"/>
      <c r="G436"/>
    </row>
    <row r="437" spans="2:7" ht="13.5">
      <c r="B437" s="256"/>
      <c r="C437"/>
      <c r="D437"/>
      <c r="E437"/>
      <c r="F437"/>
      <c r="G437"/>
    </row>
    <row r="438" spans="2:7" ht="13.5">
      <c r="B438" s="256"/>
      <c r="C438"/>
      <c r="D438"/>
      <c r="E438"/>
      <c r="F438"/>
      <c r="G438"/>
    </row>
    <row r="439" spans="2:7" ht="13.5">
      <c r="B439" s="256"/>
      <c r="C439"/>
      <c r="D439"/>
      <c r="E439"/>
      <c r="F439"/>
      <c r="G439"/>
    </row>
    <row r="440" spans="2:7" ht="13.5">
      <c r="B440" s="256"/>
      <c r="C440"/>
      <c r="D440"/>
      <c r="E440"/>
      <c r="F440"/>
      <c r="G440"/>
    </row>
    <row r="441" spans="2:7" ht="13.5">
      <c r="B441" s="256"/>
      <c r="C441"/>
      <c r="D441"/>
      <c r="E441"/>
      <c r="F441"/>
      <c r="G441"/>
    </row>
    <row r="442" spans="2:7" ht="13.5">
      <c r="B442" s="256"/>
      <c r="C442"/>
      <c r="D442"/>
      <c r="E442"/>
      <c r="F442"/>
      <c r="G442"/>
    </row>
    <row r="443" spans="2:7" ht="13.5">
      <c r="B443" s="256"/>
      <c r="C443"/>
      <c r="D443"/>
      <c r="E443"/>
      <c r="F443"/>
      <c r="G443"/>
    </row>
    <row r="444" spans="2:7" ht="13.5">
      <c r="B444" s="256"/>
      <c r="C444"/>
      <c r="D444"/>
      <c r="E444"/>
      <c r="F444"/>
      <c r="G444"/>
    </row>
    <row r="445" spans="2:7" ht="13.5">
      <c r="B445" s="256"/>
      <c r="C445"/>
      <c r="D445"/>
      <c r="E445"/>
      <c r="F445"/>
      <c r="G445"/>
    </row>
    <row r="446" spans="2:7" ht="13.5">
      <c r="B446" s="256"/>
      <c r="C446"/>
      <c r="D446"/>
      <c r="E446"/>
      <c r="F446"/>
      <c r="G446"/>
    </row>
    <row r="447" spans="2:7" ht="13.5">
      <c r="B447" s="256"/>
      <c r="C447"/>
      <c r="D447"/>
      <c r="E447"/>
      <c r="F447"/>
      <c r="G447"/>
    </row>
    <row r="448" spans="2:7" ht="13.5">
      <c r="B448" s="256"/>
      <c r="C448"/>
      <c r="D448"/>
      <c r="E448"/>
      <c r="F448"/>
      <c r="G448"/>
    </row>
    <row r="449" spans="2:7" ht="13.5">
      <c r="B449" s="256"/>
      <c r="C449"/>
      <c r="D449"/>
      <c r="E449"/>
      <c r="F449"/>
      <c r="G449"/>
    </row>
    <row r="450" spans="2:7" ht="13.5">
      <c r="B450" s="256"/>
      <c r="C450"/>
      <c r="D450"/>
      <c r="E450"/>
      <c r="F450"/>
      <c r="G450"/>
    </row>
    <row r="451" spans="2:7" ht="13.5">
      <c r="B451" s="256"/>
      <c r="C451"/>
      <c r="D451"/>
      <c r="E451"/>
      <c r="F451"/>
      <c r="G451"/>
    </row>
    <row r="452" spans="2:7" ht="13.5">
      <c r="B452" s="256"/>
      <c r="C452"/>
      <c r="D452"/>
      <c r="E452"/>
      <c r="F452"/>
      <c r="G452"/>
    </row>
    <row r="453" spans="2:7" ht="13.5">
      <c r="B453" s="256"/>
      <c r="C453"/>
      <c r="D453"/>
      <c r="E453"/>
      <c r="F453"/>
      <c r="G453"/>
    </row>
    <row r="454" spans="2:7" ht="13.5">
      <c r="B454" s="256"/>
      <c r="C454"/>
      <c r="D454"/>
      <c r="E454"/>
      <c r="F454"/>
      <c r="G454"/>
    </row>
    <row r="455" spans="2:7" ht="13.5">
      <c r="B455" s="256"/>
      <c r="C455"/>
      <c r="D455"/>
      <c r="E455"/>
      <c r="F455"/>
      <c r="G455"/>
    </row>
    <row r="456" spans="2:7" ht="13.5">
      <c r="B456" s="256"/>
      <c r="C456"/>
      <c r="D456"/>
      <c r="E456"/>
      <c r="F456"/>
      <c r="G456"/>
    </row>
    <row r="457" spans="2:7" ht="13.5">
      <c r="B457" s="256"/>
      <c r="C457"/>
      <c r="D457"/>
      <c r="E457"/>
      <c r="F457"/>
      <c r="G457"/>
    </row>
    <row r="458" spans="2:7" ht="13.5">
      <c r="B458" s="256"/>
      <c r="C458"/>
      <c r="D458"/>
      <c r="E458"/>
      <c r="F458"/>
      <c r="G458"/>
    </row>
    <row r="459" spans="2:7" ht="13.5">
      <c r="B459" s="256"/>
      <c r="C459"/>
      <c r="D459"/>
      <c r="E459"/>
      <c r="F459"/>
      <c r="G459"/>
    </row>
    <row r="460" spans="2:7" ht="13.5">
      <c r="B460" s="256"/>
      <c r="C460"/>
      <c r="D460"/>
      <c r="E460"/>
      <c r="F460"/>
      <c r="G460"/>
    </row>
    <row r="461" spans="2:7" ht="13.5">
      <c r="B461" s="256"/>
      <c r="C461"/>
      <c r="D461"/>
      <c r="E461"/>
      <c r="F461"/>
      <c r="G461"/>
    </row>
    <row r="462" spans="2:7" ht="13.5">
      <c r="B462" s="256"/>
      <c r="C462"/>
      <c r="D462"/>
      <c r="E462"/>
      <c r="F462"/>
      <c r="G462"/>
    </row>
    <row r="463" spans="2:7" ht="13.5">
      <c r="B463" s="256"/>
      <c r="C463"/>
      <c r="D463"/>
      <c r="E463"/>
      <c r="F463"/>
      <c r="G463"/>
    </row>
    <row r="464" spans="2:7" ht="13.5">
      <c r="B464" s="256"/>
      <c r="C464"/>
      <c r="D464"/>
      <c r="E464"/>
      <c r="F464"/>
      <c r="G464"/>
    </row>
    <row r="465" spans="2:7" ht="13.5">
      <c r="B465" s="256"/>
      <c r="C465"/>
      <c r="D465"/>
      <c r="E465"/>
      <c r="F465"/>
      <c r="G465"/>
    </row>
    <row r="466" spans="2:7" ht="13.5">
      <c r="B466" s="256"/>
      <c r="C466"/>
      <c r="D466"/>
      <c r="E466"/>
      <c r="F466"/>
      <c r="G466"/>
    </row>
    <row r="467" spans="2:7" ht="13.5">
      <c r="B467" s="256"/>
      <c r="C467"/>
      <c r="D467"/>
      <c r="E467"/>
      <c r="F467"/>
      <c r="G467"/>
    </row>
    <row r="468" spans="2:7" ht="13.5">
      <c r="B468" s="256"/>
      <c r="C468"/>
      <c r="D468"/>
      <c r="E468"/>
      <c r="F468"/>
      <c r="G468"/>
    </row>
    <row r="469" spans="2:7" ht="13.5">
      <c r="B469" s="256"/>
      <c r="C469"/>
      <c r="D469"/>
      <c r="E469"/>
      <c r="F469"/>
      <c r="G469"/>
    </row>
    <row r="470" spans="2:7" ht="13.5">
      <c r="B470" s="256"/>
      <c r="C470"/>
      <c r="D470"/>
      <c r="E470"/>
      <c r="F470"/>
      <c r="G470"/>
    </row>
    <row r="471" spans="2:7" ht="13.5">
      <c r="B471" s="256"/>
      <c r="C471"/>
      <c r="D471"/>
      <c r="E471"/>
      <c r="F471"/>
      <c r="G471"/>
    </row>
    <row r="472" spans="2:7" ht="13.5">
      <c r="B472" s="256"/>
      <c r="C472"/>
      <c r="D472"/>
      <c r="E472"/>
      <c r="F472"/>
      <c r="G472"/>
    </row>
    <row r="473" spans="2:7" ht="13.5">
      <c r="B473" s="256"/>
      <c r="C473"/>
      <c r="D473"/>
      <c r="E473"/>
      <c r="F473"/>
      <c r="G473"/>
    </row>
    <row r="474" spans="2:7" ht="13.5">
      <c r="B474" s="256"/>
      <c r="C474"/>
      <c r="D474"/>
      <c r="E474"/>
      <c r="F474"/>
      <c r="G474"/>
    </row>
    <row r="475" spans="2:7" ht="13.5">
      <c r="B475" s="256"/>
      <c r="C475"/>
      <c r="D475"/>
      <c r="E475"/>
      <c r="F475"/>
      <c r="G475"/>
    </row>
    <row r="476" spans="2:7" ht="13.5">
      <c r="B476" s="256"/>
      <c r="C476"/>
      <c r="D476"/>
      <c r="E476"/>
      <c r="F476"/>
      <c r="G476"/>
    </row>
    <row r="477" spans="2:7" ht="13.5">
      <c r="B477" s="256"/>
      <c r="C477"/>
      <c r="D477"/>
      <c r="E477"/>
      <c r="F477"/>
      <c r="G477"/>
    </row>
    <row r="478" spans="2:7" ht="13.5">
      <c r="B478" s="256"/>
      <c r="C478"/>
      <c r="D478"/>
      <c r="E478"/>
      <c r="F478"/>
      <c r="G478"/>
    </row>
    <row r="479" spans="2:7" ht="13.5">
      <c r="B479" s="256"/>
      <c r="C479"/>
      <c r="D479"/>
      <c r="E479"/>
      <c r="F479"/>
      <c r="G479"/>
    </row>
    <row r="480" spans="2:7" ht="13.5">
      <c r="B480" s="256"/>
      <c r="C480"/>
      <c r="D480"/>
      <c r="E480"/>
      <c r="F480"/>
      <c r="G480"/>
    </row>
    <row r="481" spans="2:7" ht="13.5">
      <c r="B481" s="256"/>
      <c r="C481"/>
      <c r="D481"/>
      <c r="E481"/>
      <c r="F481"/>
      <c r="G481"/>
    </row>
    <row r="482" spans="2:7" ht="13.5">
      <c r="B482" s="256"/>
      <c r="C482"/>
      <c r="D482"/>
      <c r="E482"/>
      <c r="F482"/>
      <c r="G482"/>
    </row>
    <row r="483" spans="2:7" ht="13.5">
      <c r="B483" s="256"/>
      <c r="C483"/>
      <c r="D483"/>
      <c r="E483"/>
      <c r="F483"/>
      <c r="G483"/>
    </row>
    <row r="484" spans="2:7" ht="13.5">
      <c r="B484" s="256"/>
      <c r="C484"/>
      <c r="D484"/>
      <c r="E484"/>
      <c r="F484"/>
      <c r="G484"/>
    </row>
    <row r="485" spans="2:7" ht="13.5">
      <c r="B485" s="256"/>
      <c r="C485"/>
      <c r="D485"/>
      <c r="E485"/>
      <c r="F485"/>
      <c r="G485"/>
    </row>
    <row r="486" spans="2:7" ht="13.5">
      <c r="B486" s="256"/>
      <c r="C486"/>
      <c r="D486"/>
      <c r="E486"/>
      <c r="F486"/>
      <c r="G486"/>
    </row>
    <row r="487" spans="2:7" ht="13.5">
      <c r="B487" s="256"/>
      <c r="C487"/>
      <c r="D487"/>
      <c r="E487"/>
      <c r="F487"/>
      <c r="G487"/>
    </row>
    <row r="488" spans="2:7" ht="13.5">
      <c r="B488" s="256"/>
      <c r="C488"/>
      <c r="D488"/>
      <c r="E488"/>
      <c r="F488"/>
      <c r="G488"/>
    </row>
    <row r="489" spans="2:7" ht="13.5">
      <c r="B489" s="256"/>
      <c r="C489"/>
      <c r="D489"/>
      <c r="E489"/>
      <c r="F489"/>
      <c r="G489"/>
    </row>
    <row r="490" spans="2:7" ht="13.5">
      <c r="B490" s="256"/>
      <c r="C490"/>
      <c r="D490"/>
      <c r="E490"/>
      <c r="F490"/>
      <c r="G490"/>
    </row>
    <row r="491" spans="2:7" ht="13.5">
      <c r="B491" s="256"/>
      <c r="C491"/>
      <c r="D491"/>
      <c r="E491"/>
      <c r="F491"/>
      <c r="G491"/>
    </row>
    <row r="492" spans="2:7" ht="13.5">
      <c r="B492" s="256"/>
      <c r="C492"/>
      <c r="D492"/>
      <c r="E492"/>
      <c r="F492"/>
      <c r="G492"/>
    </row>
    <row r="493" spans="2:7" ht="13.5">
      <c r="B493" s="256"/>
      <c r="C493"/>
      <c r="D493"/>
      <c r="E493"/>
      <c r="F493"/>
      <c r="G493"/>
    </row>
    <row r="494" spans="2:7" ht="13.5">
      <c r="B494" s="256"/>
      <c r="C494"/>
      <c r="D494"/>
      <c r="E494"/>
      <c r="F494"/>
      <c r="G494"/>
    </row>
    <row r="495" spans="2:7" ht="13.5">
      <c r="B495" s="256"/>
      <c r="C495"/>
      <c r="D495"/>
      <c r="E495"/>
      <c r="F495"/>
      <c r="G495"/>
    </row>
    <row r="496" spans="2:7" ht="13.5">
      <c r="B496" s="256"/>
      <c r="C496"/>
      <c r="D496"/>
      <c r="E496"/>
      <c r="F496"/>
      <c r="G496"/>
    </row>
    <row r="497" spans="2:7" ht="13.5">
      <c r="B497" s="256"/>
      <c r="C497"/>
      <c r="D497"/>
      <c r="E497"/>
      <c r="F497"/>
      <c r="G497"/>
    </row>
    <row r="498" spans="2:7" ht="13.5">
      <c r="B498" s="256"/>
      <c r="C498"/>
      <c r="D498"/>
      <c r="E498"/>
      <c r="F498"/>
      <c r="G498"/>
    </row>
    <row r="499" spans="2:7" ht="13.5">
      <c r="B499" s="256"/>
      <c r="C499"/>
      <c r="D499"/>
      <c r="E499"/>
      <c r="F499"/>
      <c r="G499"/>
    </row>
    <row r="500" spans="2:7" ht="13.5">
      <c r="B500" s="256"/>
      <c r="C500"/>
      <c r="D500"/>
      <c r="E500"/>
      <c r="F500"/>
      <c r="G500"/>
    </row>
    <row r="501" spans="2:7" ht="13.5">
      <c r="B501" s="256"/>
      <c r="C501"/>
      <c r="D501"/>
      <c r="E501"/>
      <c r="F501"/>
      <c r="G501"/>
    </row>
  </sheetData>
  <pageMargins left="7.874015748031496E-2" right="7.874015748031496E-2" top="0.2" bottom="0.11" header="0.15" footer="0.1"/>
  <pageSetup paperSize="9" scale="63" fitToHeight="0" orientation="landscape" r:id="rId2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7AA0-D38B-4521-80D2-51E58B904590}">
  <sheetPr codeName="Planilha3" filterMode="1">
    <tabColor theme="4" tint="-0.499984740745262"/>
    <outlinePr summaryRight="0"/>
    <pageSetUpPr fitToPage="1"/>
  </sheetPr>
  <dimension ref="C1:Q2586"/>
  <sheetViews>
    <sheetView showGridLines="0" zoomScale="80" zoomScaleNormal="80" workbookViewId="0">
      <pane xSplit="1" ySplit="5" topLeftCell="C6" activePane="bottomRight" state="frozen"/>
      <selection activeCell="H33" sqref="H33"/>
      <selection pane="topRight" activeCell="H33" sqref="H33"/>
      <selection pane="bottomLeft" activeCell="H33" sqref="H33"/>
      <selection pane="bottomRight" activeCell="I230" sqref="I230:I233"/>
    </sheetView>
  </sheetViews>
  <sheetFormatPr defaultColWidth="12.5703125" defaultRowHeight="15" customHeight="1"/>
  <cols>
    <col min="1" max="1" width="0.85546875" style="8" customWidth="1"/>
    <col min="2" max="2" width="6.85546875" style="8" customWidth="1"/>
    <col min="3" max="3" width="9.140625" style="8" bestFit="1" customWidth="1"/>
    <col min="4" max="4" width="11.28515625" style="8" customWidth="1"/>
    <col min="5" max="5" width="35.7109375" style="8" customWidth="1"/>
    <col min="6" max="6" width="39.5703125" style="9" customWidth="1"/>
    <col min="7" max="7" width="66.42578125" style="8" bestFit="1" customWidth="1"/>
    <col min="8" max="8" width="26.7109375" style="8" bestFit="1" customWidth="1"/>
    <col min="9" max="10" width="18" style="10" customWidth="1"/>
    <col min="11" max="11" width="16.7109375" style="8" customWidth="1"/>
    <col min="12" max="12" width="19" style="8" customWidth="1"/>
    <col min="13" max="13" width="27" customWidth="1"/>
    <col min="14" max="14" width="4.42578125" customWidth="1"/>
    <col min="15" max="15" width="33.5703125" bestFit="1" customWidth="1"/>
    <col min="16" max="16" width="15.5703125" style="8" bestFit="1" customWidth="1"/>
    <col min="17" max="16384" width="12.5703125" style="8"/>
  </cols>
  <sheetData>
    <row r="1" spans="3:17" s="7" customFormat="1" ht="19.5" customHeight="1">
      <c r="C1" s="3"/>
      <c r="D1" s="3"/>
      <c r="E1" s="3"/>
      <c r="F1" s="4"/>
      <c r="G1" s="5"/>
      <c r="H1" s="3"/>
      <c r="I1" s="129" t="s">
        <v>213</v>
      </c>
      <c r="J1" s="6"/>
      <c r="K1" s="3"/>
      <c r="L1" s="5"/>
      <c r="P1" s="1"/>
    </row>
    <row r="2" spans="3:17" s="7" customFormat="1" ht="21.75" customHeight="1">
      <c r="C2" s="3"/>
      <c r="D2" s="3"/>
      <c r="E2" s="3"/>
      <c r="F2" s="4"/>
      <c r="G2" s="5"/>
      <c r="H2"/>
      <c r="I2"/>
      <c r="J2"/>
      <c r="K2" s="3"/>
      <c r="L2" s="5"/>
      <c r="P2" s="2"/>
    </row>
    <row r="3" spans="3:17" s="7" customFormat="1" ht="25.5" customHeight="1">
      <c r="C3" s="549" t="s">
        <v>6</v>
      </c>
      <c r="D3" s="549"/>
      <c r="E3" s="549"/>
      <c r="F3" s="549"/>
      <c r="G3" s="549"/>
      <c r="H3" s="549"/>
      <c r="I3" s="549"/>
      <c r="J3" s="549"/>
      <c r="K3" s="549"/>
      <c r="L3" s="5"/>
      <c r="P3" s="1"/>
    </row>
    <row r="4" spans="3:17" ht="9.75" customHeight="1">
      <c r="M4" s="8"/>
      <c r="N4" s="8"/>
      <c r="O4" s="8"/>
      <c r="P4" s="1"/>
    </row>
    <row r="5" spans="3:17" s="7" customFormat="1">
      <c r="C5" s="11" t="s">
        <v>0</v>
      </c>
      <c r="D5" s="11" t="s">
        <v>2</v>
      </c>
      <c r="E5" s="11" t="s">
        <v>7</v>
      </c>
      <c r="F5" s="11" t="s">
        <v>8</v>
      </c>
      <c r="G5" s="11" t="s">
        <v>9</v>
      </c>
      <c r="H5" s="11" t="s">
        <v>10</v>
      </c>
      <c r="I5" s="12" t="s">
        <v>1</v>
      </c>
      <c r="J5" s="12" t="s">
        <v>178</v>
      </c>
      <c r="K5" s="11" t="s">
        <v>11</v>
      </c>
      <c r="L5" s="5"/>
      <c r="P5" s="2"/>
      <c r="Q5" s="13"/>
    </row>
    <row r="6" spans="3:17" ht="16.5" hidden="1" customHeight="1">
      <c r="C6" s="17">
        <v>46024</v>
      </c>
      <c r="D6" s="69" t="str">
        <f>PROPER(TEXT(C6,"MMMM"))</f>
        <v>Janeiro</v>
      </c>
      <c r="E6" s="19" t="s">
        <v>14</v>
      </c>
      <c r="F6" s="20" t="s">
        <v>223</v>
      </c>
      <c r="G6" s="21" t="s">
        <v>45</v>
      </c>
      <c r="H6" s="22" t="s">
        <v>73</v>
      </c>
      <c r="I6" s="23">
        <v>13616.54</v>
      </c>
      <c r="J6" s="104">
        <v>46024</v>
      </c>
      <c r="K6" s="24" t="s">
        <v>913</v>
      </c>
      <c r="L6" s="8">
        <v>10476.950000000001</v>
      </c>
      <c r="M6" s="14" t="s">
        <v>7</v>
      </c>
      <c r="N6" s="8"/>
      <c r="O6" s="52" t="s">
        <v>8</v>
      </c>
    </row>
    <row r="7" spans="3:17" ht="16.5" hidden="1" customHeight="1">
      <c r="C7" s="17">
        <v>46024</v>
      </c>
      <c r="D7" s="69" t="str">
        <f>PROPER(TEXT(C7,"MMMM"))</f>
        <v>Janeiro</v>
      </c>
      <c r="E7" s="19" t="s">
        <v>14</v>
      </c>
      <c r="F7" s="20" t="s">
        <v>223</v>
      </c>
      <c r="G7" s="21" t="s">
        <v>26</v>
      </c>
      <c r="H7" s="22" t="s">
        <v>73</v>
      </c>
      <c r="I7" s="23">
        <v>2000</v>
      </c>
      <c r="J7" s="104">
        <v>46024</v>
      </c>
      <c r="K7" s="24" t="s">
        <v>913</v>
      </c>
      <c r="M7" s="15" t="s">
        <v>12</v>
      </c>
      <c r="N7" s="15"/>
      <c r="O7" s="53" t="s">
        <v>217</v>
      </c>
    </row>
    <row r="8" spans="3:17" ht="16.5" hidden="1" customHeight="1">
      <c r="C8" s="17">
        <v>46024</v>
      </c>
      <c r="D8" s="69" t="str">
        <f>PROPER(TEXT(C8,"MMMM"))</f>
        <v>Janeiro</v>
      </c>
      <c r="E8" s="19" t="s">
        <v>14</v>
      </c>
      <c r="F8" s="20" t="s">
        <v>225</v>
      </c>
      <c r="G8" s="21" t="s">
        <v>27</v>
      </c>
      <c r="H8" s="22" t="s">
        <v>19</v>
      </c>
      <c r="I8" s="23">
        <v>300</v>
      </c>
      <c r="J8" s="104">
        <v>46024</v>
      </c>
      <c r="K8" s="24" t="s">
        <v>913</v>
      </c>
      <c r="M8" s="16" t="s">
        <v>14</v>
      </c>
      <c r="N8" s="16"/>
      <c r="O8" s="53" t="s">
        <v>218</v>
      </c>
    </row>
    <row r="9" spans="3:17" ht="16.5" hidden="1" customHeight="1">
      <c r="C9" s="17">
        <v>46024</v>
      </c>
      <c r="D9" s="69" t="str">
        <f>PROPER(TEXT(C9,"MMMM"))</f>
        <v>Janeiro</v>
      </c>
      <c r="E9" s="19" t="s">
        <v>14</v>
      </c>
      <c r="F9" s="20" t="s">
        <v>225</v>
      </c>
      <c r="G9" s="21" t="s">
        <v>20</v>
      </c>
      <c r="H9" s="22" t="s">
        <v>19</v>
      </c>
      <c r="I9" s="23">
        <v>3105</v>
      </c>
      <c r="J9" s="104">
        <v>46024</v>
      </c>
      <c r="K9" s="24" t="s">
        <v>913</v>
      </c>
      <c r="M9" s="15" t="s">
        <v>15</v>
      </c>
      <c r="N9" s="15"/>
      <c r="O9" s="53" t="s">
        <v>219</v>
      </c>
    </row>
    <row r="10" spans="3:17" ht="16.5" hidden="1" customHeight="1">
      <c r="C10" s="17">
        <v>46024</v>
      </c>
      <c r="D10" s="69" t="str">
        <f>PROPER(TEXT(C10,"MMMM"))</f>
        <v>Janeiro</v>
      </c>
      <c r="E10" s="19" t="s">
        <v>14</v>
      </c>
      <c r="F10" s="20" t="s">
        <v>225</v>
      </c>
      <c r="G10" s="21" t="s">
        <v>33</v>
      </c>
      <c r="H10" s="22" t="s">
        <v>19</v>
      </c>
      <c r="I10" s="23">
        <v>713.25</v>
      </c>
      <c r="J10" s="104">
        <v>46024</v>
      </c>
      <c r="K10" s="24" t="s">
        <v>913</v>
      </c>
      <c r="M10" s="15" t="s">
        <v>16</v>
      </c>
      <c r="N10" s="15"/>
      <c r="O10" s="53" t="s">
        <v>220</v>
      </c>
    </row>
    <row r="11" spans="3:17" ht="16.5" hidden="1" customHeight="1">
      <c r="C11" s="17">
        <v>46024</v>
      </c>
      <c r="D11" s="69" t="str">
        <f>PROPER(TEXT(C11,"MMMM"))</f>
        <v>Janeiro</v>
      </c>
      <c r="E11" s="19" t="s">
        <v>14</v>
      </c>
      <c r="F11" s="20" t="s">
        <v>225</v>
      </c>
      <c r="G11" s="21" t="s">
        <v>64</v>
      </c>
      <c r="H11" s="22" t="s">
        <v>540</v>
      </c>
      <c r="I11" s="23">
        <v>447.74</v>
      </c>
      <c r="J11" s="104">
        <v>46024</v>
      </c>
      <c r="K11" s="24" t="s">
        <v>913</v>
      </c>
      <c r="L11"/>
      <c r="O11" s="53" t="s">
        <v>221</v>
      </c>
    </row>
    <row r="12" spans="3:17" ht="16.5" hidden="1" customHeight="1">
      <c r="C12" s="17">
        <v>46024</v>
      </c>
      <c r="D12" s="69" t="str">
        <f>PROPER(TEXT(C12,"MMMM"))</f>
        <v>Janeiro</v>
      </c>
      <c r="E12" s="19" t="s">
        <v>14</v>
      </c>
      <c r="F12" s="20" t="s">
        <v>226</v>
      </c>
      <c r="G12" s="21" t="s">
        <v>29</v>
      </c>
      <c r="H12" s="22" t="s">
        <v>19</v>
      </c>
      <c r="I12" s="23">
        <v>150</v>
      </c>
      <c r="J12" s="104">
        <v>46024</v>
      </c>
      <c r="K12" s="24" t="s">
        <v>913</v>
      </c>
      <c r="M12" s="8"/>
      <c r="N12" s="8"/>
      <c r="O12" s="53" t="s">
        <v>222</v>
      </c>
    </row>
    <row r="13" spans="3:17" ht="16.5" hidden="1" customHeight="1">
      <c r="C13" s="17">
        <v>46024</v>
      </c>
      <c r="D13" s="69" t="str">
        <f>PROPER(TEXT(C13,"MMMM"))</f>
        <v>Janeiro</v>
      </c>
      <c r="E13" s="19" t="s">
        <v>14</v>
      </c>
      <c r="F13" s="20" t="s">
        <v>226</v>
      </c>
      <c r="G13" s="21" t="s">
        <v>71</v>
      </c>
      <c r="H13" s="22" t="s">
        <v>73</v>
      </c>
      <c r="I13" s="23">
        <v>3200</v>
      </c>
      <c r="J13" s="104">
        <v>46024</v>
      </c>
      <c r="K13" s="24" t="s">
        <v>913</v>
      </c>
      <c r="M13" s="8"/>
      <c r="N13" s="8"/>
      <c r="O13" s="8"/>
    </row>
    <row r="14" spans="3:17" ht="16.5" hidden="1" customHeight="1">
      <c r="C14" s="17">
        <v>46024</v>
      </c>
      <c r="D14" s="69" t="str">
        <f>PROPER(TEXT(C14,"MMMM"))</f>
        <v>Janeiro</v>
      </c>
      <c r="E14" s="19" t="s">
        <v>14</v>
      </c>
      <c r="F14" s="20" t="s">
        <v>227</v>
      </c>
      <c r="G14" s="25" t="s">
        <v>866</v>
      </c>
      <c r="H14" s="22" t="s">
        <v>73</v>
      </c>
      <c r="I14" s="26">
        <v>626.79999999999995</v>
      </c>
      <c r="J14" s="104">
        <v>46042</v>
      </c>
      <c r="K14" s="24" t="s">
        <v>913</v>
      </c>
      <c r="M14" s="8"/>
      <c r="N14" s="8"/>
      <c r="O14" s="8"/>
    </row>
    <row r="15" spans="3:17" ht="16.5" hidden="1" customHeight="1">
      <c r="C15" s="17">
        <v>46024</v>
      </c>
      <c r="D15" s="69" t="str">
        <f>PROPER(TEXT(C15,"MMMM"))</f>
        <v>Janeiro</v>
      </c>
      <c r="E15" s="19" t="s">
        <v>14</v>
      </c>
      <c r="F15" s="20" t="s">
        <v>227</v>
      </c>
      <c r="G15" s="25" t="s">
        <v>532</v>
      </c>
      <c r="H15" s="22" t="s">
        <v>73</v>
      </c>
      <c r="I15" s="26">
        <v>2297.77</v>
      </c>
      <c r="J15" s="104">
        <v>46027</v>
      </c>
      <c r="K15" s="24" t="s">
        <v>913</v>
      </c>
      <c r="M15" s="8"/>
      <c r="N15" s="8"/>
      <c r="O15" s="8"/>
    </row>
    <row r="16" spans="3:17" ht="16.5" hidden="1" customHeight="1">
      <c r="C16" s="17">
        <v>46024</v>
      </c>
      <c r="D16" s="69" t="str">
        <f>PROPER(TEXT(C16,"MMMM"))</f>
        <v>Janeiro</v>
      </c>
      <c r="E16" s="19" t="s">
        <v>14</v>
      </c>
      <c r="F16" s="20" t="s">
        <v>227</v>
      </c>
      <c r="G16" s="21" t="s">
        <v>533</v>
      </c>
      <c r="H16" s="22" t="s">
        <v>73</v>
      </c>
      <c r="I16" s="27">
        <v>1469.15</v>
      </c>
      <c r="J16" s="104">
        <v>46027</v>
      </c>
      <c r="K16" s="24" t="s">
        <v>913</v>
      </c>
      <c r="M16" s="8"/>
      <c r="N16" s="8"/>
      <c r="O16" s="8"/>
    </row>
    <row r="17" spans="3:15" ht="16.5" hidden="1" customHeight="1">
      <c r="C17" s="17">
        <v>46024</v>
      </c>
      <c r="D17" s="69" t="str">
        <f>PROPER(TEXT(C17,"MMMM"))</f>
        <v>Janeiro</v>
      </c>
      <c r="E17" s="19" t="s">
        <v>14</v>
      </c>
      <c r="F17" s="20" t="s">
        <v>227</v>
      </c>
      <c r="G17" s="21" t="s">
        <v>633</v>
      </c>
      <c r="H17" s="22" t="s">
        <v>73</v>
      </c>
      <c r="I17" s="27">
        <v>2297.77</v>
      </c>
      <c r="J17" s="104">
        <v>46027</v>
      </c>
      <c r="K17" s="24" t="s">
        <v>913</v>
      </c>
      <c r="M17" s="8"/>
      <c r="N17" s="8"/>
      <c r="O17" s="8"/>
    </row>
    <row r="18" spans="3:15" ht="16.5" hidden="1" customHeight="1">
      <c r="C18" s="17">
        <v>46024</v>
      </c>
      <c r="D18" s="69" t="str">
        <f>PROPER(TEXT(C18,"MMMM"))</f>
        <v>Janeiro</v>
      </c>
      <c r="E18" s="19" t="s">
        <v>14</v>
      </c>
      <c r="F18" s="20" t="s">
        <v>227</v>
      </c>
      <c r="G18" s="21" t="s">
        <v>50</v>
      </c>
      <c r="H18" s="22" t="s">
        <v>73</v>
      </c>
      <c r="I18" s="27">
        <v>466.34</v>
      </c>
      <c r="J18" s="104">
        <v>46042</v>
      </c>
      <c r="K18" s="24" t="s">
        <v>913</v>
      </c>
      <c r="M18" s="8"/>
      <c r="N18" s="8"/>
      <c r="O18" s="8"/>
    </row>
    <row r="19" spans="3:15" ht="16.5" hidden="1" customHeight="1">
      <c r="C19" s="17">
        <v>46024</v>
      </c>
      <c r="D19" s="69" t="str">
        <f>PROPER(TEXT(C19,"MMMM"))</f>
        <v>Janeiro</v>
      </c>
      <c r="E19" s="19" t="s">
        <v>14</v>
      </c>
      <c r="F19" s="20" t="s">
        <v>227</v>
      </c>
      <c r="G19" s="21" t="s">
        <v>630</v>
      </c>
      <c r="H19" s="22" t="s">
        <v>73</v>
      </c>
      <c r="I19" s="27">
        <v>450</v>
      </c>
      <c r="J19" s="104">
        <v>46024</v>
      </c>
      <c r="K19" s="24" t="s">
        <v>913</v>
      </c>
      <c r="M19" s="8"/>
      <c r="N19" s="8"/>
      <c r="O19" s="8"/>
    </row>
    <row r="20" spans="3:15" ht="16.5" hidden="1" customHeight="1">
      <c r="C20" s="17">
        <v>46024</v>
      </c>
      <c r="D20" s="69" t="str">
        <f>PROPER(TEXT(C20,"MMMM"))</f>
        <v>Janeiro</v>
      </c>
      <c r="E20" s="19" t="s">
        <v>14</v>
      </c>
      <c r="F20" s="20" t="s">
        <v>227</v>
      </c>
      <c r="G20" s="21" t="s">
        <v>631</v>
      </c>
      <c r="H20" s="22" t="s">
        <v>73</v>
      </c>
      <c r="I20" s="27">
        <v>350</v>
      </c>
      <c r="J20" s="104">
        <v>46024</v>
      </c>
      <c r="K20" s="24" t="s">
        <v>913</v>
      </c>
      <c r="M20" s="8"/>
      <c r="N20" s="8"/>
      <c r="O20" s="8"/>
    </row>
    <row r="21" spans="3:15" ht="16.5" hidden="1" customHeight="1">
      <c r="C21" s="17">
        <v>46024</v>
      </c>
      <c r="D21" s="69" t="str">
        <f>PROPER(TEXT(C21,"MMMM"))</f>
        <v>Janeiro</v>
      </c>
      <c r="E21" s="19" t="s">
        <v>14</v>
      </c>
      <c r="F21" s="20" t="s">
        <v>227</v>
      </c>
      <c r="G21" s="21" t="s">
        <v>1173</v>
      </c>
      <c r="H21" s="22" t="s">
        <v>73</v>
      </c>
      <c r="I21" s="27">
        <v>450</v>
      </c>
      <c r="J21" s="104">
        <v>46024</v>
      </c>
      <c r="K21" s="24" t="s">
        <v>913</v>
      </c>
      <c r="M21" s="8"/>
      <c r="N21" s="8"/>
      <c r="O21" s="8"/>
    </row>
    <row r="22" spans="3:15" ht="16.5" hidden="1" customHeight="1">
      <c r="C22" s="17">
        <v>46024</v>
      </c>
      <c r="D22" s="69" t="str">
        <f>PROPER(TEXT(C22,"MMMM"))</f>
        <v>Janeiro</v>
      </c>
      <c r="E22" s="19" t="s">
        <v>15</v>
      </c>
      <c r="F22" s="20" t="s">
        <v>223</v>
      </c>
      <c r="G22" s="21" t="s">
        <v>86</v>
      </c>
      <c r="H22" s="22" t="s">
        <v>75</v>
      </c>
      <c r="I22" s="27">
        <v>1100</v>
      </c>
      <c r="J22" s="104">
        <v>46032</v>
      </c>
      <c r="K22" s="24" t="s">
        <v>913</v>
      </c>
      <c r="M22" s="8"/>
      <c r="N22" s="8"/>
      <c r="O22" s="8"/>
    </row>
    <row r="23" spans="3:15" ht="16.5" hidden="1" customHeight="1">
      <c r="C23" s="17">
        <v>46024</v>
      </c>
      <c r="D23" s="69" t="str">
        <f>PROPER(TEXT(C23,"MMMM"))</f>
        <v>Janeiro</v>
      </c>
      <c r="E23" s="19" t="s">
        <v>15</v>
      </c>
      <c r="F23" s="20" t="s">
        <v>223</v>
      </c>
      <c r="G23" s="21" t="s">
        <v>87</v>
      </c>
      <c r="H23" s="22" t="s">
        <v>75</v>
      </c>
      <c r="I23" s="27">
        <v>633.92999999999995</v>
      </c>
      <c r="J23" s="104">
        <v>46032</v>
      </c>
      <c r="K23" s="24" t="s">
        <v>913</v>
      </c>
      <c r="M23" s="8"/>
      <c r="N23" s="8"/>
      <c r="O23" s="8"/>
    </row>
    <row r="24" spans="3:15" ht="16.5" hidden="1" customHeight="1">
      <c r="C24" s="17">
        <v>46024</v>
      </c>
      <c r="D24" s="69" t="str">
        <f>PROPER(TEXT(C24,"MMMM"))</f>
        <v>Janeiro</v>
      </c>
      <c r="E24" s="19" t="s">
        <v>15</v>
      </c>
      <c r="F24" s="20" t="s">
        <v>223</v>
      </c>
      <c r="G24" s="21" t="s">
        <v>90</v>
      </c>
      <c r="H24" s="22" t="s">
        <v>75</v>
      </c>
      <c r="I24" s="23">
        <v>400</v>
      </c>
      <c r="J24" s="104">
        <v>46024</v>
      </c>
      <c r="K24" s="24" t="s">
        <v>913</v>
      </c>
      <c r="M24" s="8"/>
      <c r="N24" s="8"/>
      <c r="O24" s="8"/>
    </row>
    <row r="25" spans="3:15" ht="16.5" hidden="1" customHeight="1">
      <c r="C25" s="17">
        <v>46024</v>
      </c>
      <c r="D25" s="69" t="str">
        <f>PROPER(TEXT(C25,"MMMM"))</f>
        <v>Janeiro</v>
      </c>
      <c r="E25" s="19" t="s">
        <v>15</v>
      </c>
      <c r="F25" s="20" t="s">
        <v>223</v>
      </c>
      <c r="G25" s="21" t="s">
        <v>88</v>
      </c>
      <c r="H25" s="22" t="s">
        <v>75</v>
      </c>
      <c r="I25" s="27">
        <v>220</v>
      </c>
      <c r="J25" s="104">
        <v>46024</v>
      </c>
      <c r="K25" s="24" t="s">
        <v>913</v>
      </c>
      <c r="M25" s="8"/>
      <c r="N25" s="8"/>
      <c r="O25" s="8"/>
    </row>
    <row r="26" spans="3:15" ht="16.5" hidden="1" customHeight="1">
      <c r="C26" s="17">
        <v>46024</v>
      </c>
      <c r="D26" s="69" t="str">
        <f>PROPER(TEXT(C26,"MMMM"))</f>
        <v>Janeiro</v>
      </c>
      <c r="E26" s="19" t="s">
        <v>15</v>
      </c>
      <c r="F26" s="20" t="s">
        <v>224</v>
      </c>
      <c r="G26" s="21" t="s">
        <v>258</v>
      </c>
      <c r="H26" s="22" t="s">
        <v>75</v>
      </c>
      <c r="I26" s="27">
        <v>778.22</v>
      </c>
      <c r="J26" s="104">
        <v>46042</v>
      </c>
      <c r="K26" s="24" t="s">
        <v>913</v>
      </c>
      <c r="M26" s="8"/>
      <c r="N26" s="8"/>
      <c r="O26" s="8"/>
    </row>
    <row r="27" spans="3:15" ht="16.5" hidden="1" customHeight="1">
      <c r="C27" s="17">
        <v>46024</v>
      </c>
      <c r="D27" s="69" t="str">
        <f>PROPER(TEXT(C27,"MMMM"))</f>
        <v>Janeiro</v>
      </c>
      <c r="E27" s="19" t="s">
        <v>15</v>
      </c>
      <c r="F27" s="20" t="s">
        <v>224</v>
      </c>
      <c r="G27" s="21" t="s">
        <v>827</v>
      </c>
      <c r="H27" s="22" t="s">
        <v>75</v>
      </c>
      <c r="I27" s="27">
        <v>389.3</v>
      </c>
      <c r="J27" s="104">
        <v>46042</v>
      </c>
      <c r="K27" s="24" t="s">
        <v>913</v>
      </c>
      <c r="M27" s="8"/>
      <c r="N27" s="8"/>
      <c r="O27" s="8"/>
    </row>
    <row r="28" spans="3:15" ht="16.5" hidden="1" customHeight="1">
      <c r="C28" s="17">
        <v>46024</v>
      </c>
      <c r="D28" s="69" t="str">
        <f>PROPER(TEXT(C28,"MMMM"))</f>
        <v>Janeiro</v>
      </c>
      <c r="E28" s="19" t="s">
        <v>15</v>
      </c>
      <c r="F28" s="20" t="s">
        <v>224</v>
      </c>
      <c r="G28" s="21" t="s">
        <v>259</v>
      </c>
      <c r="H28" s="22" t="s">
        <v>75</v>
      </c>
      <c r="I28" s="27">
        <v>2129.42</v>
      </c>
      <c r="J28" s="104">
        <v>46027</v>
      </c>
      <c r="K28" s="24" t="s">
        <v>913</v>
      </c>
      <c r="M28" s="16"/>
      <c r="N28" s="16"/>
      <c r="O28" s="53"/>
    </row>
    <row r="29" spans="3:15" ht="16.5" hidden="1" customHeight="1">
      <c r="C29" s="17">
        <v>46024</v>
      </c>
      <c r="D29" s="69" t="str">
        <f>PROPER(TEXT(C29,"MMMM"))</f>
        <v>Janeiro</v>
      </c>
      <c r="E29" s="19" t="s">
        <v>15</v>
      </c>
      <c r="F29" s="20" t="s">
        <v>224</v>
      </c>
      <c r="G29" s="21" t="s">
        <v>260</v>
      </c>
      <c r="H29" s="22" t="s">
        <v>75</v>
      </c>
      <c r="I29" s="27">
        <v>207.9</v>
      </c>
      <c r="J29" s="104">
        <v>46024</v>
      </c>
      <c r="K29" s="24" t="s">
        <v>913</v>
      </c>
      <c r="M29" s="16"/>
      <c r="N29" s="16"/>
      <c r="O29" s="53"/>
    </row>
    <row r="30" spans="3:15" ht="16.5" hidden="1" customHeight="1">
      <c r="C30" s="17">
        <v>46024</v>
      </c>
      <c r="D30" s="69" t="str">
        <f>PROPER(TEXT(C30,"MMMM"))</f>
        <v>Janeiro</v>
      </c>
      <c r="E30" s="19" t="s">
        <v>15</v>
      </c>
      <c r="F30" s="20" t="s">
        <v>225</v>
      </c>
      <c r="G30" s="21" t="s">
        <v>27</v>
      </c>
      <c r="H30" s="22" t="s">
        <v>23</v>
      </c>
      <c r="I30" s="27">
        <v>330</v>
      </c>
      <c r="J30" s="104">
        <v>46024</v>
      </c>
      <c r="K30" s="24" t="s">
        <v>913</v>
      </c>
      <c r="M30" s="8"/>
      <c r="N30" s="8"/>
      <c r="O30" s="8"/>
    </row>
    <row r="31" spans="3:15" ht="16.5" hidden="1" customHeight="1">
      <c r="C31" s="17">
        <v>46024</v>
      </c>
      <c r="D31" s="69" t="str">
        <f>PROPER(TEXT(C31,"MMMM"))</f>
        <v>Janeiro</v>
      </c>
      <c r="E31" s="19" t="s">
        <v>15</v>
      </c>
      <c r="F31" s="20" t="s">
        <v>225</v>
      </c>
      <c r="G31" s="21" t="s">
        <v>20</v>
      </c>
      <c r="H31" s="22" t="s">
        <v>23</v>
      </c>
      <c r="I31" s="27">
        <v>11000</v>
      </c>
      <c r="J31" s="104">
        <v>46024</v>
      </c>
      <c r="K31" s="24" t="s">
        <v>913</v>
      </c>
      <c r="M31" s="16"/>
      <c r="N31" s="16"/>
      <c r="O31" s="53"/>
    </row>
    <row r="32" spans="3:15" ht="16.5" hidden="1" customHeight="1">
      <c r="C32" s="17">
        <v>46024</v>
      </c>
      <c r="D32" s="69" t="str">
        <f>PROPER(TEXT(C32,"MMMM"))</f>
        <v>Janeiro</v>
      </c>
      <c r="E32" s="19" t="s">
        <v>15</v>
      </c>
      <c r="F32" s="20" t="s">
        <v>225</v>
      </c>
      <c r="G32" s="21" t="s">
        <v>33</v>
      </c>
      <c r="H32" s="22" t="s">
        <v>23</v>
      </c>
      <c r="I32" s="27">
        <v>220</v>
      </c>
      <c r="J32" s="104">
        <v>46024</v>
      </c>
      <c r="K32" s="24" t="s">
        <v>913</v>
      </c>
      <c r="M32" s="16"/>
      <c r="N32" s="16"/>
      <c r="O32" s="53"/>
    </row>
    <row r="33" spans="3:15" ht="16.5" hidden="1" customHeight="1">
      <c r="C33" s="17">
        <v>46024</v>
      </c>
      <c r="D33" s="69" t="str">
        <f>PROPER(TEXT(C33,"MMMM"))</f>
        <v>Janeiro</v>
      </c>
      <c r="E33" s="19" t="s">
        <v>16</v>
      </c>
      <c r="F33" s="20" t="s">
        <v>223</v>
      </c>
      <c r="G33" s="21" t="s">
        <v>118</v>
      </c>
      <c r="H33" s="22" t="s">
        <v>74</v>
      </c>
      <c r="I33" s="27">
        <v>4900</v>
      </c>
      <c r="J33" s="104">
        <v>46024</v>
      </c>
      <c r="K33" s="24" t="s">
        <v>913</v>
      </c>
      <c r="M33" s="16"/>
      <c r="N33" s="16"/>
      <c r="O33" s="53"/>
    </row>
    <row r="34" spans="3:15" ht="16.5" hidden="1" customHeight="1">
      <c r="C34" s="17">
        <v>46024</v>
      </c>
      <c r="D34" s="69" t="str">
        <f>PROPER(TEXT(C34,"MMMM"))</f>
        <v>Janeiro</v>
      </c>
      <c r="E34" s="19" t="s">
        <v>16</v>
      </c>
      <c r="F34" s="20" t="s">
        <v>223</v>
      </c>
      <c r="G34" s="21" t="s">
        <v>157</v>
      </c>
      <c r="H34" s="22" t="s">
        <v>74</v>
      </c>
      <c r="I34" s="27">
        <v>2131</v>
      </c>
      <c r="J34" s="104">
        <v>46024</v>
      </c>
      <c r="K34" s="24" t="s">
        <v>913</v>
      </c>
      <c r="M34" s="16"/>
      <c r="N34" s="16"/>
      <c r="O34" s="53"/>
    </row>
    <row r="35" spans="3:15" ht="16.5" hidden="1" customHeight="1">
      <c r="C35" s="17">
        <v>46024</v>
      </c>
      <c r="D35" s="69" t="str">
        <f>PROPER(TEXT(C35,"MMMM"))</f>
        <v>Janeiro</v>
      </c>
      <c r="E35" s="19" t="s">
        <v>16</v>
      </c>
      <c r="F35" s="20" t="s">
        <v>225</v>
      </c>
      <c r="G35" s="21" t="s">
        <v>35</v>
      </c>
      <c r="H35" s="22" t="s">
        <v>720</v>
      </c>
      <c r="I35" s="27">
        <v>1000</v>
      </c>
      <c r="J35" s="104">
        <v>46024</v>
      </c>
      <c r="K35" s="24" t="s">
        <v>913</v>
      </c>
      <c r="M35" s="16"/>
      <c r="N35" s="16"/>
      <c r="O35" s="53"/>
    </row>
    <row r="36" spans="3:15" ht="16.5" hidden="1" customHeight="1">
      <c r="C36" s="17">
        <v>46024</v>
      </c>
      <c r="D36" s="69" t="str">
        <f>PROPER(TEXT(C36,"MMMM"))</f>
        <v>Janeiro</v>
      </c>
      <c r="E36" s="19" t="s">
        <v>16</v>
      </c>
      <c r="F36" s="20" t="s">
        <v>225</v>
      </c>
      <c r="G36" s="21" t="s">
        <v>27</v>
      </c>
      <c r="H36" s="22" t="s">
        <v>74</v>
      </c>
      <c r="I36" s="27">
        <v>200</v>
      </c>
      <c r="J36" s="104">
        <v>46024</v>
      </c>
      <c r="K36" s="24" t="s">
        <v>913</v>
      </c>
      <c r="M36" s="16"/>
      <c r="N36" s="16"/>
      <c r="O36" s="53"/>
    </row>
    <row r="37" spans="3:15" ht="16.5" hidden="1" customHeight="1">
      <c r="C37" s="17">
        <v>46024</v>
      </c>
      <c r="D37" s="69" t="str">
        <f>PROPER(TEXT(C37,"MMMM"))</f>
        <v>Janeiro</v>
      </c>
      <c r="E37" s="19" t="s">
        <v>16</v>
      </c>
      <c r="F37" s="20" t="s">
        <v>225</v>
      </c>
      <c r="G37" s="21" t="s">
        <v>20</v>
      </c>
      <c r="H37" s="22" t="s">
        <v>74</v>
      </c>
      <c r="I37" s="27">
        <v>5000</v>
      </c>
      <c r="J37" s="104">
        <v>46024</v>
      </c>
      <c r="K37" s="24" t="s">
        <v>913</v>
      </c>
      <c r="M37" s="16"/>
      <c r="N37" s="16"/>
      <c r="O37" s="53"/>
    </row>
    <row r="38" spans="3:15" ht="16.5" hidden="1" customHeight="1">
      <c r="C38" s="17">
        <v>46024</v>
      </c>
      <c r="D38" s="69" t="str">
        <f>PROPER(TEXT(C38,"MMMM"))</f>
        <v>Janeiro</v>
      </c>
      <c r="E38" s="19" t="s">
        <v>16</v>
      </c>
      <c r="F38" s="20" t="s">
        <v>225</v>
      </c>
      <c r="G38" s="21" t="s">
        <v>33</v>
      </c>
      <c r="H38" s="387" t="s">
        <v>74</v>
      </c>
      <c r="I38" s="27">
        <v>100</v>
      </c>
      <c r="J38" s="104">
        <v>46024</v>
      </c>
      <c r="K38" s="24" t="s">
        <v>913</v>
      </c>
      <c r="M38" s="8"/>
      <c r="N38" s="8"/>
      <c r="O38" s="8"/>
    </row>
    <row r="39" spans="3:15" ht="16.5" hidden="1" customHeight="1">
      <c r="C39" s="17">
        <v>46027</v>
      </c>
      <c r="D39" s="69" t="str">
        <f>PROPER(TEXT(C39,"MMMM"))</f>
        <v>Janeiro</v>
      </c>
      <c r="E39" s="19" t="s">
        <v>12</v>
      </c>
      <c r="F39" s="20" t="s">
        <v>227</v>
      </c>
      <c r="G39" s="21" t="s">
        <v>946</v>
      </c>
      <c r="H39" s="22" t="s">
        <v>110</v>
      </c>
      <c r="I39" s="23">
        <v>444</v>
      </c>
      <c r="J39" s="104">
        <v>46027</v>
      </c>
      <c r="K39" s="24" t="s">
        <v>913</v>
      </c>
      <c r="M39" s="8"/>
      <c r="N39" s="8"/>
      <c r="O39" s="8"/>
    </row>
    <row r="40" spans="3:15" ht="16.5" hidden="1" customHeight="1">
      <c r="C40" s="17">
        <v>46027</v>
      </c>
      <c r="D40" s="69" t="str">
        <f>PROPER(TEXT(C40,"MMMM"))</f>
        <v>Janeiro</v>
      </c>
      <c r="E40" s="19" t="s">
        <v>14</v>
      </c>
      <c r="F40" s="20" t="s">
        <v>223</v>
      </c>
      <c r="G40" s="21" t="s">
        <v>928</v>
      </c>
      <c r="H40" s="22" t="s">
        <v>73</v>
      </c>
      <c r="I40" s="23">
        <v>1329.49</v>
      </c>
      <c r="J40" s="104">
        <v>46034</v>
      </c>
      <c r="K40" s="24" t="s">
        <v>913</v>
      </c>
      <c r="M40" s="8"/>
      <c r="N40" s="8"/>
      <c r="O40" s="8"/>
    </row>
    <row r="41" spans="3:15" ht="16.5" hidden="1" customHeight="1">
      <c r="C41" s="17">
        <v>46027</v>
      </c>
      <c r="D41" s="69" t="str">
        <f>PROPER(TEXT(C41,"MMMM"))</f>
        <v>Janeiro</v>
      </c>
      <c r="E41" s="19" t="s">
        <v>14</v>
      </c>
      <c r="F41" s="20" t="s">
        <v>223</v>
      </c>
      <c r="G41" s="21" t="s">
        <v>934</v>
      </c>
      <c r="H41" s="22" t="s">
        <v>73</v>
      </c>
      <c r="I41" s="23">
        <v>204.78</v>
      </c>
      <c r="J41" s="104">
        <v>46034</v>
      </c>
      <c r="K41" s="24" t="s">
        <v>913</v>
      </c>
    </row>
    <row r="42" spans="3:15" ht="16.5" hidden="1" customHeight="1">
      <c r="C42" s="17">
        <v>46027</v>
      </c>
      <c r="D42" s="69" t="str">
        <f>PROPER(TEXT(C42,"MMMM"))</f>
        <v>Janeiro</v>
      </c>
      <c r="E42" s="19" t="s">
        <v>14</v>
      </c>
      <c r="F42" s="20" t="s">
        <v>223</v>
      </c>
      <c r="G42" s="25" t="s">
        <v>916</v>
      </c>
      <c r="H42" s="22" t="s">
        <v>73</v>
      </c>
      <c r="I42" s="23">
        <v>503.91</v>
      </c>
      <c r="J42" s="104">
        <v>46034</v>
      </c>
      <c r="K42" s="24" t="s">
        <v>913</v>
      </c>
      <c r="O42" s="53"/>
    </row>
    <row r="43" spans="3:15" ht="16.5" hidden="1" customHeight="1">
      <c r="C43" s="17">
        <v>46027</v>
      </c>
      <c r="D43" s="69" t="str">
        <f>PROPER(TEXT(C43,"MMMM"))</f>
        <v>Janeiro</v>
      </c>
      <c r="E43" s="19" t="s">
        <v>14</v>
      </c>
      <c r="F43" s="20" t="s">
        <v>226</v>
      </c>
      <c r="G43" s="21" t="s">
        <v>179</v>
      </c>
      <c r="H43" s="22" t="s">
        <v>73</v>
      </c>
      <c r="I43" s="23">
        <v>5402.53</v>
      </c>
      <c r="J43" s="104">
        <v>46027</v>
      </c>
      <c r="K43" s="24" t="s">
        <v>913</v>
      </c>
      <c r="O43" s="53"/>
    </row>
    <row r="44" spans="3:15" ht="16.5" hidden="1" customHeight="1">
      <c r="C44" s="17">
        <v>46027</v>
      </c>
      <c r="D44" s="69" t="str">
        <f>PROPER(TEXT(C44,"MMMM"))</f>
        <v>Janeiro</v>
      </c>
      <c r="E44" s="19" t="s">
        <v>14</v>
      </c>
      <c r="F44" s="20" t="s">
        <v>226</v>
      </c>
      <c r="G44" s="21" t="s">
        <v>32</v>
      </c>
      <c r="H44" s="22" t="s">
        <v>73</v>
      </c>
      <c r="I44" s="23">
        <v>552.86</v>
      </c>
      <c r="J44" s="104">
        <v>46028</v>
      </c>
      <c r="K44" s="24" t="s">
        <v>913</v>
      </c>
      <c r="O44" s="53"/>
    </row>
    <row r="45" spans="3:15" ht="16.5" hidden="1" customHeight="1">
      <c r="C45" s="17">
        <v>46027</v>
      </c>
      <c r="D45" s="69" t="str">
        <f>PROPER(TEXT(C45,"MMMM"))</f>
        <v>Janeiro</v>
      </c>
      <c r="E45" s="19" t="s">
        <v>14</v>
      </c>
      <c r="F45" s="20" t="s">
        <v>227</v>
      </c>
      <c r="G45" s="21" t="s">
        <v>182</v>
      </c>
      <c r="H45" s="22" t="s">
        <v>73</v>
      </c>
      <c r="I45" s="27">
        <v>1752.87</v>
      </c>
      <c r="J45" s="104">
        <v>46027</v>
      </c>
      <c r="K45" s="24" t="s">
        <v>913</v>
      </c>
      <c r="O45" s="53"/>
    </row>
    <row r="46" spans="3:15" ht="16.5" hidden="1" customHeight="1">
      <c r="C46" s="17">
        <v>46027</v>
      </c>
      <c r="D46" s="69" t="str">
        <f>PROPER(TEXT(C46,"MMMM"))</f>
        <v>Janeiro</v>
      </c>
      <c r="E46" s="19" t="s">
        <v>15</v>
      </c>
      <c r="F46" s="20" t="s">
        <v>223</v>
      </c>
      <c r="G46" s="21" t="s">
        <v>85</v>
      </c>
      <c r="H46" s="22" t="s">
        <v>75</v>
      </c>
      <c r="I46" s="27">
        <v>638.04999999999995</v>
      </c>
      <c r="J46" s="104">
        <v>46037</v>
      </c>
      <c r="K46" s="24" t="s">
        <v>913</v>
      </c>
    </row>
    <row r="47" spans="3:15" ht="16.5" hidden="1" customHeight="1">
      <c r="C47" s="17">
        <v>46027</v>
      </c>
      <c r="D47" s="69" t="str">
        <f>PROPER(TEXT(C47,"MMMM"))</f>
        <v>Janeiro</v>
      </c>
      <c r="E47" s="19" t="s">
        <v>15</v>
      </c>
      <c r="F47" s="20" t="s">
        <v>226</v>
      </c>
      <c r="G47" s="21" t="s">
        <v>180</v>
      </c>
      <c r="H47" s="22" t="s">
        <v>75</v>
      </c>
      <c r="I47" s="27">
        <v>4030.73</v>
      </c>
      <c r="J47" s="104">
        <v>46027</v>
      </c>
      <c r="K47" s="24" t="s">
        <v>913</v>
      </c>
    </row>
    <row r="48" spans="3:15" ht="16.5" hidden="1" customHeight="1">
      <c r="C48" s="17">
        <v>46027</v>
      </c>
      <c r="D48" s="69" t="str">
        <f>PROPER(TEXT(C48,"MMMM"))</f>
        <v>Janeiro</v>
      </c>
      <c r="E48" s="19" t="s">
        <v>15</v>
      </c>
      <c r="F48" s="20" t="s">
        <v>226</v>
      </c>
      <c r="G48" s="21" t="s">
        <v>34</v>
      </c>
      <c r="H48" s="22" t="s">
        <v>75</v>
      </c>
      <c r="I48" s="27">
        <v>474.9</v>
      </c>
      <c r="J48" s="104">
        <v>46033</v>
      </c>
      <c r="K48" s="24" t="s">
        <v>913</v>
      </c>
    </row>
    <row r="49" spans="3:11" ht="16.5" hidden="1" customHeight="1">
      <c r="C49" s="17">
        <v>46027</v>
      </c>
      <c r="D49" s="69" t="str">
        <f>PROPER(TEXT(C49,"MMMM"))</f>
        <v>Janeiro</v>
      </c>
      <c r="E49" s="19" t="s">
        <v>16</v>
      </c>
      <c r="F49" s="20" t="s">
        <v>226</v>
      </c>
      <c r="G49" s="21" t="s">
        <v>181</v>
      </c>
      <c r="H49" s="22" t="s">
        <v>74</v>
      </c>
      <c r="I49" s="27">
        <v>3025.01</v>
      </c>
      <c r="J49" s="104">
        <v>46027</v>
      </c>
      <c r="K49" s="24" t="s">
        <v>913</v>
      </c>
    </row>
    <row r="50" spans="3:11" ht="16.5" hidden="1" customHeight="1">
      <c r="C50" s="17">
        <v>46030</v>
      </c>
      <c r="D50" s="69" t="str">
        <f>PROPER(TEXT(C50,"MMMM"))</f>
        <v>Janeiro</v>
      </c>
      <c r="E50" s="19" t="s">
        <v>14</v>
      </c>
      <c r="F50" s="20" t="s">
        <v>227</v>
      </c>
      <c r="G50" s="21" t="s">
        <v>48</v>
      </c>
      <c r="H50" s="22" t="s">
        <v>73</v>
      </c>
      <c r="I50" s="23">
        <v>2102.1799999999998</v>
      </c>
      <c r="J50" s="104">
        <v>46038</v>
      </c>
      <c r="K50" s="24" t="s">
        <v>913</v>
      </c>
    </row>
    <row r="51" spans="3:11" ht="16.5" hidden="1" customHeight="1">
      <c r="C51" s="17">
        <v>46042</v>
      </c>
      <c r="D51" s="69" t="str">
        <f>PROPER(TEXT(C51,"MMMM"))</f>
        <v>Janeiro</v>
      </c>
      <c r="E51" s="19" t="s">
        <v>12</v>
      </c>
      <c r="F51" s="20" t="s">
        <v>223</v>
      </c>
      <c r="G51" s="25" t="s">
        <v>1026</v>
      </c>
      <c r="H51" s="22" t="s">
        <v>1027</v>
      </c>
      <c r="I51" s="23">
        <v>915.86</v>
      </c>
      <c r="J51" s="104">
        <v>46042</v>
      </c>
      <c r="K51" s="24" t="s">
        <v>913</v>
      </c>
    </row>
    <row r="52" spans="3:11" ht="16.5" hidden="1" customHeight="1">
      <c r="C52" s="17">
        <v>46044</v>
      </c>
      <c r="D52" s="18" t="str">
        <f>PROPER(TEXT(C52,"MMMM"))</f>
        <v>Janeiro</v>
      </c>
      <c r="E52" s="19" t="s">
        <v>15</v>
      </c>
      <c r="F52" s="20" t="s">
        <v>227</v>
      </c>
      <c r="G52" s="21" t="s">
        <v>1033</v>
      </c>
      <c r="H52" s="22" t="s">
        <v>75</v>
      </c>
      <c r="I52" s="23">
        <v>100</v>
      </c>
      <c r="J52" s="104">
        <v>46044</v>
      </c>
      <c r="K52" s="24" t="s">
        <v>913</v>
      </c>
    </row>
    <row r="53" spans="3:11" ht="16.5" hidden="1" customHeight="1">
      <c r="C53" s="17">
        <v>46051</v>
      </c>
      <c r="D53" s="69" t="str">
        <f>PROPER(TEXT(C53,"MMMM"))</f>
        <v>Janeiro</v>
      </c>
      <c r="E53" s="19" t="s">
        <v>12</v>
      </c>
      <c r="F53" s="20" t="s">
        <v>227</v>
      </c>
      <c r="G53" s="21" t="s">
        <v>946</v>
      </c>
      <c r="H53" s="22" t="s">
        <v>110</v>
      </c>
      <c r="I53" s="23">
        <v>444</v>
      </c>
      <c r="J53" s="104">
        <v>46051</v>
      </c>
      <c r="K53" s="24" t="s">
        <v>913</v>
      </c>
    </row>
    <row r="54" spans="3:11" ht="16.5" hidden="1" customHeight="1">
      <c r="C54" s="17">
        <v>46054</v>
      </c>
      <c r="D54" s="69" t="str">
        <f>PROPER(TEXT(C54,"MMMM"))</f>
        <v>Fevereiro</v>
      </c>
      <c r="E54" s="19" t="s">
        <v>14</v>
      </c>
      <c r="F54" s="20" t="s">
        <v>225</v>
      </c>
      <c r="G54" s="21" t="s">
        <v>27</v>
      </c>
      <c r="H54" s="22" t="s">
        <v>19</v>
      </c>
      <c r="I54" s="23">
        <v>300</v>
      </c>
      <c r="J54" s="104">
        <v>46055</v>
      </c>
      <c r="K54" s="24" t="s">
        <v>913</v>
      </c>
    </row>
    <row r="55" spans="3:11" ht="16.5" hidden="1" customHeight="1">
      <c r="C55" s="17">
        <v>46054</v>
      </c>
      <c r="D55" s="69" t="str">
        <f>PROPER(TEXT(C55,"MMMM"))</f>
        <v>Fevereiro</v>
      </c>
      <c r="E55" s="19" t="s">
        <v>14</v>
      </c>
      <c r="F55" s="20" t="s">
        <v>225</v>
      </c>
      <c r="G55" s="21" t="s">
        <v>20</v>
      </c>
      <c r="H55" s="22" t="s">
        <v>19</v>
      </c>
      <c r="I55" s="23">
        <v>3105</v>
      </c>
      <c r="J55" s="104">
        <v>46055</v>
      </c>
      <c r="K55" s="24" t="s">
        <v>913</v>
      </c>
    </row>
    <row r="56" spans="3:11" ht="16.5" hidden="1" customHeight="1">
      <c r="C56" s="17">
        <v>46054</v>
      </c>
      <c r="D56" s="69" t="str">
        <f>PROPER(TEXT(C56,"MMMM"))</f>
        <v>Fevereiro</v>
      </c>
      <c r="E56" s="19" t="s">
        <v>14</v>
      </c>
      <c r="F56" s="20" t="s">
        <v>225</v>
      </c>
      <c r="G56" s="21" t="s">
        <v>33</v>
      </c>
      <c r="H56" s="22" t="s">
        <v>19</v>
      </c>
      <c r="I56" s="23">
        <v>713.25</v>
      </c>
      <c r="J56" s="104">
        <v>46055</v>
      </c>
      <c r="K56" s="24" t="s">
        <v>913</v>
      </c>
    </row>
    <row r="57" spans="3:11" ht="16.5" hidden="1" customHeight="1">
      <c r="C57" s="17">
        <v>46054</v>
      </c>
      <c r="D57" s="69" t="str">
        <f>PROPER(TEXT(C57,"MMMM"))</f>
        <v>Fevereiro</v>
      </c>
      <c r="E57" s="19" t="s">
        <v>14</v>
      </c>
      <c r="F57" s="20" t="s">
        <v>226</v>
      </c>
      <c r="G57" s="21" t="s">
        <v>29</v>
      </c>
      <c r="H57" s="22" t="s">
        <v>19</v>
      </c>
      <c r="I57" s="23">
        <v>150</v>
      </c>
      <c r="J57" s="104">
        <v>46055</v>
      </c>
      <c r="K57" s="24" t="s">
        <v>913</v>
      </c>
    </row>
    <row r="58" spans="3:11" ht="16.5" hidden="1" customHeight="1">
      <c r="C58" s="17">
        <v>46054</v>
      </c>
      <c r="D58" s="69" t="str">
        <f>PROPER(TEXT(C58,"MMMM"))</f>
        <v>Fevereiro</v>
      </c>
      <c r="E58" s="19" t="s">
        <v>14</v>
      </c>
      <c r="F58" s="20" t="s">
        <v>226</v>
      </c>
      <c r="G58" s="21" t="s">
        <v>32</v>
      </c>
      <c r="H58" s="22" t="s">
        <v>73</v>
      </c>
      <c r="I58" s="27">
        <v>552.86</v>
      </c>
      <c r="J58" s="104">
        <v>46059</v>
      </c>
      <c r="K58" s="24" t="s">
        <v>913</v>
      </c>
    </row>
    <row r="59" spans="3:11" ht="16.5" hidden="1" customHeight="1">
      <c r="C59" s="17">
        <v>46054</v>
      </c>
      <c r="D59" s="69" t="str">
        <f>PROPER(TEXT(C59,"MMMM"))</f>
        <v>Fevereiro</v>
      </c>
      <c r="E59" s="19" t="s">
        <v>14</v>
      </c>
      <c r="F59" s="20" t="s">
        <v>227</v>
      </c>
      <c r="G59" s="21" t="s">
        <v>49</v>
      </c>
      <c r="H59" s="22" t="s">
        <v>73</v>
      </c>
      <c r="I59" s="23">
        <v>529.67999999999995</v>
      </c>
      <c r="J59" s="104" t="s">
        <v>1056</v>
      </c>
      <c r="K59" s="24" t="s">
        <v>913</v>
      </c>
    </row>
    <row r="60" spans="3:11" ht="16.5" hidden="1" customHeight="1">
      <c r="C60" s="17">
        <v>46054</v>
      </c>
      <c r="D60" s="69" t="str">
        <f>PROPER(TEXT(C60,"MMMM"))</f>
        <v>Fevereiro</v>
      </c>
      <c r="E60" s="19" t="s">
        <v>14</v>
      </c>
      <c r="F60" s="20" t="s">
        <v>227</v>
      </c>
      <c r="G60" s="21" t="s">
        <v>532</v>
      </c>
      <c r="H60" s="22" t="s">
        <v>73</v>
      </c>
      <c r="I60" s="23">
        <v>2299.3200000000002</v>
      </c>
      <c r="J60" s="104">
        <v>46058</v>
      </c>
      <c r="K60" s="24" t="s">
        <v>913</v>
      </c>
    </row>
    <row r="61" spans="3:11" ht="16.5" hidden="1" customHeight="1">
      <c r="C61" s="17">
        <v>46054</v>
      </c>
      <c r="D61" s="69" t="str">
        <f>PROPER(TEXT(C61,"MMMM"))</f>
        <v>Fevereiro</v>
      </c>
      <c r="E61" s="19" t="s">
        <v>14</v>
      </c>
      <c r="F61" s="20" t="s">
        <v>227</v>
      </c>
      <c r="G61" s="25" t="s">
        <v>533</v>
      </c>
      <c r="H61" s="22" t="s">
        <v>73</v>
      </c>
      <c r="I61" s="26">
        <v>1566.97</v>
      </c>
      <c r="J61" s="104">
        <v>46058</v>
      </c>
      <c r="K61" s="24" t="s">
        <v>913</v>
      </c>
    </row>
    <row r="62" spans="3:11" ht="16.5" hidden="1" customHeight="1">
      <c r="C62" s="17">
        <v>46054</v>
      </c>
      <c r="D62" s="69" t="str">
        <f>PROPER(TEXT(C62,"MMMM"))</f>
        <v>Fevereiro</v>
      </c>
      <c r="E62" s="19" t="s">
        <v>14</v>
      </c>
      <c r="F62" s="20" t="s">
        <v>227</v>
      </c>
      <c r="G62" s="25" t="s">
        <v>633</v>
      </c>
      <c r="H62" s="22" t="s">
        <v>73</v>
      </c>
      <c r="I62" s="26">
        <v>2299.3200000000002</v>
      </c>
      <c r="J62" s="104">
        <v>46058</v>
      </c>
      <c r="K62" s="24" t="s">
        <v>913</v>
      </c>
    </row>
    <row r="63" spans="3:11" ht="16.5" hidden="1" customHeight="1">
      <c r="C63" s="17">
        <v>46054</v>
      </c>
      <c r="D63" s="69" t="str">
        <f>PROPER(TEXT(C63,"MMMM"))</f>
        <v>Fevereiro</v>
      </c>
      <c r="E63" s="19" t="s">
        <v>14</v>
      </c>
      <c r="F63" s="20" t="s">
        <v>227</v>
      </c>
      <c r="G63" s="21" t="s">
        <v>50</v>
      </c>
      <c r="H63" s="22" t="s">
        <v>73</v>
      </c>
      <c r="I63" s="27">
        <v>468.63</v>
      </c>
      <c r="J63" s="104">
        <v>46073</v>
      </c>
      <c r="K63" s="24" t="s">
        <v>913</v>
      </c>
    </row>
    <row r="64" spans="3:11" ht="16.5" hidden="1" customHeight="1">
      <c r="C64" s="17">
        <v>46054</v>
      </c>
      <c r="D64" s="69" t="str">
        <f>PROPER(TEXT(C64,"MMMM"))</f>
        <v>Fevereiro</v>
      </c>
      <c r="E64" s="19" t="s">
        <v>14</v>
      </c>
      <c r="F64" s="20" t="s">
        <v>227</v>
      </c>
      <c r="G64" s="21" t="s">
        <v>630</v>
      </c>
      <c r="H64" s="22" t="s">
        <v>73</v>
      </c>
      <c r="I64" s="27">
        <v>450</v>
      </c>
      <c r="J64" s="104">
        <v>46055</v>
      </c>
      <c r="K64" s="24" t="s">
        <v>913</v>
      </c>
    </row>
    <row r="65" spans="3:11" ht="16.5" hidden="1" customHeight="1">
      <c r="C65" s="17">
        <v>46054</v>
      </c>
      <c r="D65" s="69" t="str">
        <f>PROPER(TEXT(C65,"MMMM"))</f>
        <v>Fevereiro</v>
      </c>
      <c r="E65" s="19" t="s">
        <v>14</v>
      </c>
      <c r="F65" s="20" t="s">
        <v>227</v>
      </c>
      <c r="G65" s="21" t="s">
        <v>631</v>
      </c>
      <c r="H65" s="22" t="s">
        <v>73</v>
      </c>
      <c r="I65" s="27">
        <v>350</v>
      </c>
      <c r="J65" s="104">
        <v>46055</v>
      </c>
      <c r="K65" s="24" t="s">
        <v>913</v>
      </c>
    </row>
    <row r="66" spans="3:11" ht="16.5" hidden="1" customHeight="1">
      <c r="C66" s="17">
        <v>46054</v>
      </c>
      <c r="D66" s="69" t="str">
        <f>PROPER(TEXT(C66,"MMMM"))</f>
        <v>Fevereiro</v>
      </c>
      <c r="E66" s="19" t="s">
        <v>14</v>
      </c>
      <c r="F66" s="20" t="s">
        <v>227</v>
      </c>
      <c r="G66" s="21" t="s">
        <v>1173</v>
      </c>
      <c r="H66" s="22" t="s">
        <v>73</v>
      </c>
      <c r="I66" s="27">
        <v>321.43</v>
      </c>
      <c r="J66" s="104">
        <v>46055</v>
      </c>
      <c r="K66" s="24" t="s">
        <v>913</v>
      </c>
    </row>
    <row r="67" spans="3:11" ht="16.5" hidden="1" customHeight="1">
      <c r="C67" s="17">
        <v>46055</v>
      </c>
      <c r="D67" s="69" t="str">
        <f>PROPER(TEXT(C67,"MMMM"))</f>
        <v>Fevereiro</v>
      </c>
      <c r="E67" s="19" t="s">
        <v>14</v>
      </c>
      <c r="F67" s="20" t="s">
        <v>223</v>
      </c>
      <c r="G67" s="21" t="s">
        <v>929</v>
      </c>
      <c r="H67" s="22" t="s">
        <v>73</v>
      </c>
      <c r="I67" s="23">
        <v>1329.49</v>
      </c>
      <c r="J67" s="104">
        <v>46065</v>
      </c>
      <c r="K67" s="24" t="s">
        <v>913</v>
      </c>
    </row>
    <row r="68" spans="3:11" ht="16.5" hidden="1" customHeight="1">
      <c r="C68" s="17">
        <v>46055</v>
      </c>
      <c r="D68" s="69" t="str">
        <f>PROPER(TEXT(C68,"MMMM"))</f>
        <v>Fevereiro</v>
      </c>
      <c r="E68" s="19" t="s">
        <v>14</v>
      </c>
      <c r="F68" s="20" t="s">
        <v>223</v>
      </c>
      <c r="G68" s="21" t="s">
        <v>935</v>
      </c>
      <c r="H68" s="22" t="s">
        <v>73</v>
      </c>
      <c r="I68" s="23">
        <v>204.78</v>
      </c>
      <c r="J68" s="104">
        <v>46065</v>
      </c>
      <c r="K68" s="24" t="s">
        <v>913</v>
      </c>
    </row>
    <row r="69" spans="3:11" ht="16.5" hidden="1" customHeight="1">
      <c r="C69" s="17">
        <v>46055</v>
      </c>
      <c r="D69" s="69" t="str">
        <f>PROPER(TEXT(C69,"MMMM"))</f>
        <v>Fevereiro</v>
      </c>
      <c r="E69" s="19" t="s">
        <v>14</v>
      </c>
      <c r="F69" s="20" t="s">
        <v>223</v>
      </c>
      <c r="G69" s="25" t="s">
        <v>917</v>
      </c>
      <c r="H69" s="22" t="s">
        <v>73</v>
      </c>
      <c r="I69" s="23">
        <v>503.91</v>
      </c>
      <c r="J69" s="104">
        <v>46065</v>
      </c>
      <c r="K69" s="24" t="s">
        <v>913</v>
      </c>
    </row>
    <row r="70" spans="3:11" ht="16.5" hidden="1" customHeight="1">
      <c r="C70" s="17">
        <v>46055</v>
      </c>
      <c r="D70" s="69" t="str">
        <f>PROPER(TEXT(C70,"MMMM"))</f>
        <v>Fevereiro</v>
      </c>
      <c r="E70" s="19" t="s">
        <v>14</v>
      </c>
      <c r="F70" s="20" t="s">
        <v>223</v>
      </c>
      <c r="G70" s="21" t="s">
        <v>864</v>
      </c>
      <c r="H70" s="22" t="s">
        <v>73</v>
      </c>
      <c r="I70" s="23">
        <v>2287.21</v>
      </c>
      <c r="J70" s="104">
        <v>46065</v>
      </c>
      <c r="K70" s="24" t="s">
        <v>913</v>
      </c>
    </row>
    <row r="71" spans="3:11" ht="16.5" hidden="1" customHeight="1">
      <c r="C71" s="17">
        <v>46055</v>
      </c>
      <c r="D71" s="69" t="str">
        <f>PROPER(TEXT(C71,"MMMM"))</f>
        <v>Fevereiro</v>
      </c>
      <c r="E71" s="19" t="s">
        <v>14</v>
      </c>
      <c r="F71" s="20" t="s">
        <v>223</v>
      </c>
      <c r="G71" s="21" t="s">
        <v>45</v>
      </c>
      <c r="H71" s="22" t="s">
        <v>73</v>
      </c>
      <c r="I71" s="23">
        <v>13616.54</v>
      </c>
      <c r="J71" s="104">
        <v>46055</v>
      </c>
      <c r="K71" s="24" t="s">
        <v>913</v>
      </c>
    </row>
    <row r="72" spans="3:11" ht="16.5" hidden="1" customHeight="1">
      <c r="C72" s="17">
        <v>46055</v>
      </c>
      <c r="D72" s="69" t="str">
        <f>PROPER(TEXT(C72,"MMMM"))</f>
        <v>Fevereiro</v>
      </c>
      <c r="E72" s="19" t="s">
        <v>14</v>
      </c>
      <c r="F72" s="20" t="s">
        <v>223</v>
      </c>
      <c r="G72" s="21" t="s">
        <v>26</v>
      </c>
      <c r="H72" s="22" t="s">
        <v>73</v>
      </c>
      <c r="I72" s="23">
        <v>2000</v>
      </c>
      <c r="J72" s="104">
        <v>46055</v>
      </c>
      <c r="K72" s="24" t="s">
        <v>913</v>
      </c>
    </row>
    <row r="73" spans="3:11" ht="16.5" hidden="1" customHeight="1">
      <c r="C73" s="17">
        <v>46055</v>
      </c>
      <c r="D73" s="69" t="str">
        <f>PROPER(TEXT(C73,"MMMM"))</f>
        <v>Fevereiro</v>
      </c>
      <c r="E73" s="19" t="s">
        <v>15</v>
      </c>
      <c r="F73" s="20" t="s">
        <v>223</v>
      </c>
      <c r="G73" s="21" t="s">
        <v>85</v>
      </c>
      <c r="H73" s="22" t="s">
        <v>75</v>
      </c>
      <c r="I73" s="27">
        <v>421.41</v>
      </c>
      <c r="J73" s="104">
        <v>46068</v>
      </c>
      <c r="K73" s="24" t="s">
        <v>913</v>
      </c>
    </row>
    <row r="74" spans="3:11" ht="16.5" hidden="1" customHeight="1">
      <c r="C74" s="17">
        <v>46055</v>
      </c>
      <c r="D74" s="69" t="str">
        <f>PROPER(TEXT(C74,"MMMM"))</f>
        <v>Fevereiro</v>
      </c>
      <c r="E74" s="19" t="s">
        <v>15</v>
      </c>
      <c r="F74" s="20" t="s">
        <v>223</v>
      </c>
      <c r="G74" s="21" t="s">
        <v>87</v>
      </c>
      <c r="H74" s="22" t="s">
        <v>75</v>
      </c>
      <c r="I74" s="27">
        <v>667.06</v>
      </c>
      <c r="J74" s="104">
        <v>46063</v>
      </c>
      <c r="K74" s="24" t="s">
        <v>913</v>
      </c>
    </row>
    <row r="75" spans="3:11" ht="16.5" hidden="1" customHeight="1">
      <c r="C75" s="17">
        <v>46055</v>
      </c>
      <c r="D75" s="69" t="str">
        <f>PROPER(TEXT(C75,"MMMM"))</f>
        <v>Fevereiro</v>
      </c>
      <c r="E75" s="19" t="s">
        <v>15</v>
      </c>
      <c r="F75" s="20" t="s">
        <v>223</v>
      </c>
      <c r="G75" s="21" t="s">
        <v>90</v>
      </c>
      <c r="H75" s="22" t="s">
        <v>75</v>
      </c>
      <c r="I75" s="27">
        <v>400</v>
      </c>
      <c r="J75" s="104">
        <v>46055</v>
      </c>
      <c r="K75" s="24" t="s">
        <v>913</v>
      </c>
    </row>
    <row r="76" spans="3:11" ht="16.5" hidden="1" customHeight="1">
      <c r="C76" s="17">
        <v>46055</v>
      </c>
      <c r="D76" s="69" t="str">
        <f>PROPER(TEXT(C76,"MMMM"))</f>
        <v>Fevereiro</v>
      </c>
      <c r="E76" s="19" t="s">
        <v>15</v>
      </c>
      <c r="F76" s="20" t="s">
        <v>223</v>
      </c>
      <c r="G76" s="21" t="s">
        <v>88</v>
      </c>
      <c r="H76" s="22" t="s">
        <v>75</v>
      </c>
      <c r="I76" s="27">
        <v>220</v>
      </c>
      <c r="J76" s="104">
        <v>46055</v>
      </c>
      <c r="K76" s="24" t="s">
        <v>913</v>
      </c>
    </row>
    <row r="77" spans="3:11" ht="16.5" hidden="1" customHeight="1">
      <c r="C77" s="17">
        <v>46055</v>
      </c>
      <c r="D77" s="69" t="str">
        <f>PROPER(TEXT(C77,"MMMM"))</f>
        <v>Fevereiro</v>
      </c>
      <c r="E77" s="19" t="s">
        <v>15</v>
      </c>
      <c r="F77" s="20" t="s">
        <v>224</v>
      </c>
      <c r="G77" s="21" t="s">
        <v>1054</v>
      </c>
      <c r="H77" s="22" t="s">
        <v>75</v>
      </c>
      <c r="I77" s="27">
        <v>9355.7199999999993</v>
      </c>
      <c r="J77" s="104">
        <v>46052</v>
      </c>
      <c r="K77" s="24" t="s">
        <v>913</v>
      </c>
    </row>
    <row r="78" spans="3:11" ht="16.5" hidden="1" customHeight="1">
      <c r="C78" s="17">
        <v>46055</v>
      </c>
      <c r="D78" s="69" t="str">
        <f>PROPER(TEXT(C78,"MMMM"))</f>
        <v>Fevereiro</v>
      </c>
      <c r="E78" s="19" t="s">
        <v>15</v>
      </c>
      <c r="F78" s="20" t="s">
        <v>224</v>
      </c>
      <c r="G78" s="21" t="s">
        <v>258</v>
      </c>
      <c r="H78" s="22" t="s">
        <v>75</v>
      </c>
      <c r="I78" s="27">
        <v>450.62</v>
      </c>
      <c r="J78" s="104">
        <v>46073</v>
      </c>
      <c r="K78" s="24" t="s">
        <v>913</v>
      </c>
    </row>
    <row r="79" spans="3:11" ht="16.5" hidden="1" customHeight="1">
      <c r="C79" s="17">
        <v>46055</v>
      </c>
      <c r="D79" s="69" t="str">
        <f>PROPER(TEXT(C79,"MMMM"))</f>
        <v>Fevereiro</v>
      </c>
      <c r="E79" s="19" t="s">
        <v>15</v>
      </c>
      <c r="F79" s="20" t="s">
        <v>224</v>
      </c>
      <c r="G79" s="21" t="s">
        <v>1055</v>
      </c>
      <c r="H79" s="22" t="s">
        <v>75</v>
      </c>
      <c r="I79" s="27">
        <v>639.54</v>
      </c>
      <c r="J79" s="104">
        <v>46062</v>
      </c>
      <c r="K79" s="24" t="s">
        <v>913</v>
      </c>
    </row>
    <row r="80" spans="3:11" ht="16.5" hidden="1" customHeight="1">
      <c r="C80" s="17">
        <v>46055</v>
      </c>
      <c r="D80" s="69" t="str">
        <f>PROPER(TEXT(C80,"MMMM"))</f>
        <v>Fevereiro</v>
      </c>
      <c r="E80" s="19" t="s">
        <v>15</v>
      </c>
      <c r="F80" s="20" t="s">
        <v>225</v>
      </c>
      <c r="G80" s="21" t="s">
        <v>27</v>
      </c>
      <c r="H80" s="22" t="s">
        <v>23</v>
      </c>
      <c r="I80" s="27">
        <v>330</v>
      </c>
      <c r="J80" s="104">
        <v>46055</v>
      </c>
      <c r="K80" s="24" t="s">
        <v>913</v>
      </c>
    </row>
    <row r="81" spans="3:11" ht="16.5" hidden="1" customHeight="1">
      <c r="C81" s="17">
        <v>46055</v>
      </c>
      <c r="D81" s="69" t="str">
        <f>PROPER(TEXT(C81,"MMMM"))</f>
        <v>Fevereiro</v>
      </c>
      <c r="E81" s="19" t="s">
        <v>15</v>
      </c>
      <c r="F81" s="20" t="s">
        <v>225</v>
      </c>
      <c r="G81" s="21" t="s">
        <v>20</v>
      </c>
      <c r="H81" s="22" t="s">
        <v>23</v>
      </c>
      <c r="I81" s="27">
        <v>11000</v>
      </c>
      <c r="J81" s="104">
        <v>46055</v>
      </c>
      <c r="K81" s="24" t="s">
        <v>913</v>
      </c>
    </row>
    <row r="82" spans="3:11" ht="16.5" hidden="1" customHeight="1">
      <c r="C82" s="17">
        <v>46055</v>
      </c>
      <c r="D82" s="69" t="str">
        <f>PROPER(TEXT(C82,"MMMM"))</f>
        <v>Fevereiro</v>
      </c>
      <c r="E82" s="19" t="s">
        <v>15</v>
      </c>
      <c r="F82" s="20" t="s">
        <v>225</v>
      </c>
      <c r="G82" s="21" t="s">
        <v>33</v>
      </c>
      <c r="H82" s="22" t="s">
        <v>23</v>
      </c>
      <c r="I82" s="27">
        <v>220</v>
      </c>
      <c r="J82" s="104">
        <v>46055</v>
      </c>
      <c r="K82" s="24" t="s">
        <v>913</v>
      </c>
    </row>
    <row r="83" spans="3:11" ht="16.5" hidden="1" customHeight="1">
      <c r="C83" s="17">
        <v>46055</v>
      </c>
      <c r="D83" s="69" t="str">
        <f>PROPER(TEXT(C83,"MMMM"))</f>
        <v>Fevereiro</v>
      </c>
      <c r="E83" s="19" t="s">
        <v>15</v>
      </c>
      <c r="F83" s="20" t="s">
        <v>226</v>
      </c>
      <c r="G83" s="21" t="s">
        <v>34</v>
      </c>
      <c r="H83" s="22" t="s">
        <v>75</v>
      </c>
      <c r="I83" s="27">
        <v>474.9</v>
      </c>
      <c r="J83" s="104">
        <v>46059</v>
      </c>
      <c r="K83" s="24" t="s">
        <v>913</v>
      </c>
    </row>
    <row r="84" spans="3:11" ht="16.5" hidden="1" customHeight="1">
      <c r="C84" s="17">
        <v>46055</v>
      </c>
      <c r="D84" s="69" t="str">
        <f>PROPER(TEXT(C84,"MMMM"))</f>
        <v>Fevereiro</v>
      </c>
      <c r="E84" s="19" t="s">
        <v>16</v>
      </c>
      <c r="F84" s="20" t="s">
        <v>223</v>
      </c>
      <c r="G84" s="21" t="s">
        <v>118</v>
      </c>
      <c r="H84" s="22" t="s">
        <v>74</v>
      </c>
      <c r="I84" s="27">
        <v>4900</v>
      </c>
      <c r="J84" s="104">
        <v>46055</v>
      </c>
      <c r="K84" s="24" t="s">
        <v>913</v>
      </c>
    </row>
    <row r="85" spans="3:11" ht="16.5" hidden="1" customHeight="1">
      <c r="C85" s="17">
        <v>46055</v>
      </c>
      <c r="D85" s="69" t="str">
        <f>PROPER(TEXT(C85,"MMMM"))</f>
        <v>Fevereiro</v>
      </c>
      <c r="E85" s="19" t="s">
        <v>16</v>
      </c>
      <c r="F85" s="20" t="s">
        <v>223</v>
      </c>
      <c r="G85" s="21" t="s">
        <v>157</v>
      </c>
      <c r="H85" s="22" t="s">
        <v>74</v>
      </c>
      <c r="I85" s="27">
        <v>2131</v>
      </c>
      <c r="J85" s="104">
        <v>46055</v>
      </c>
      <c r="K85" s="24" t="s">
        <v>913</v>
      </c>
    </row>
    <row r="86" spans="3:11" ht="16.5" hidden="1" customHeight="1">
      <c r="C86" s="17">
        <v>46055</v>
      </c>
      <c r="D86" s="69" t="str">
        <f>PROPER(TEXT(C86,"MMMM"))</f>
        <v>Fevereiro</v>
      </c>
      <c r="E86" s="19" t="s">
        <v>16</v>
      </c>
      <c r="F86" s="20" t="s">
        <v>225</v>
      </c>
      <c r="G86" s="21" t="s">
        <v>35</v>
      </c>
      <c r="H86" s="22" t="s">
        <v>720</v>
      </c>
      <c r="I86" s="27">
        <v>1000</v>
      </c>
      <c r="J86" s="104">
        <v>46055</v>
      </c>
      <c r="K86" s="24" t="s">
        <v>913</v>
      </c>
    </row>
    <row r="87" spans="3:11" ht="16.5" hidden="1" customHeight="1">
      <c r="C87" s="17">
        <v>46055</v>
      </c>
      <c r="D87" s="69" t="str">
        <f>PROPER(TEXT(C87,"MMMM"))</f>
        <v>Fevereiro</v>
      </c>
      <c r="E87" s="19" t="s">
        <v>16</v>
      </c>
      <c r="F87" s="20" t="s">
        <v>225</v>
      </c>
      <c r="G87" s="21" t="s">
        <v>27</v>
      </c>
      <c r="H87" s="22" t="s">
        <v>74</v>
      </c>
      <c r="I87" s="27">
        <v>200</v>
      </c>
      <c r="J87" s="104">
        <v>46055</v>
      </c>
      <c r="K87" s="24" t="s">
        <v>913</v>
      </c>
    </row>
    <row r="88" spans="3:11" ht="16.5" hidden="1" customHeight="1">
      <c r="C88" s="17">
        <v>46055</v>
      </c>
      <c r="D88" s="69" t="str">
        <f>PROPER(TEXT(C88,"MMMM"))</f>
        <v>Fevereiro</v>
      </c>
      <c r="E88" s="19" t="s">
        <v>16</v>
      </c>
      <c r="F88" s="20" t="s">
        <v>225</v>
      </c>
      <c r="G88" s="21" t="s">
        <v>20</v>
      </c>
      <c r="H88" s="22" t="s">
        <v>74</v>
      </c>
      <c r="I88" s="27">
        <v>5000</v>
      </c>
      <c r="J88" s="104">
        <v>46055</v>
      </c>
      <c r="K88" s="24" t="s">
        <v>913</v>
      </c>
    </row>
    <row r="89" spans="3:11" ht="16.5" hidden="1" customHeight="1">
      <c r="C89" s="17">
        <v>46055</v>
      </c>
      <c r="D89" s="69" t="str">
        <f>PROPER(TEXT(C89,"MMMM"))</f>
        <v>Fevereiro</v>
      </c>
      <c r="E89" s="19" t="s">
        <v>16</v>
      </c>
      <c r="F89" s="20" t="s">
        <v>225</v>
      </c>
      <c r="G89" s="21" t="s">
        <v>33</v>
      </c>
      <c r="H89" s="22" t="s">
        <v>74</v>
      </c>
      <c r="I89" s="27">
        <v>100</v>
      </c>
      <c r="J89" s="104">
        <v>46055</v>
      </c>
      <c r="K89" s="24" t="s">
        <v>913</v>
      </c>
    </row>
    <row r="90" spans="3:11" ht="16.5" hidden="1" customHeight="1">
      <c r="C90" s="17">
        <v>46055</v>
      </c>
      <c r="D90" s="69" t="str">
        <f>PROPER(TEXT(C90,"MMMM"))</f>
        <v>Fevereiro</v>
      </c>
      <c r="E90" s="19" t="s">
        <v>16</v>
      </c>
      <c r="F90" s="20" t="s">
        <v>225</v>
      </c>
      <c r="G90" s="21" t="s">
        <v>62</v>
      </c>
      <c r="H90" s="22" t="s">
        <v>74</v>
      </c>
      <c r="I90" s="27">
        <v>18500</v>
      </c>
      <c r="J90" s="104">
        <v>46055</v>
      </c>
      <c r="K90" s="24" t="s">
        <v>913</v>
      </c>
    </row>
    <row r="91" spans="3:11" ht="16.5" hidden="1" customHeight="1">
      <c r="C91" s="17">
        <v>46056</v>
      </c>
      <c r="D91" s="69" t="str">
        <f>PROPER(TEXT(C91,"MMMM"))</f>
        <v>Fevereiro</v>
      </c>
      <c r="E91" s="19" t="s">
        <v>15</v>
      </c>
      <c r="F91" s="20" t="s">
        <v>223</v>
      </c>
      <c r="G91" s="21" t="s">
        <v>86</v>
      </c>
      <c r="H91" s="22" t="s">
        <v>75</v>
      </c>
      <c r="I91" s="27">
        <v>1100</v>
      </c>
      <c r="J91" s="104">
        <v>46063</v>
      </c>
      <c r="K91" s="24" t="s">
        <v>913</v>
      </c>
    </row>
    <row r="92" spans="3:11" ht="16.5" hidden="1" customHeight="1">
      <c r="C92" s="17">
        <v>46064</v>
      </c>
      <c r="D92" s="69" t="str">
        <f>PROPER(TEXT(C92,"MMMM"))</f>
        <v>Fevereiro</v>
      </c>
      <c r="E92" s="19" t="s">
        <v>14</v>
      </c>
      <c r="F92" s="20" t="s">
        <v>227</v>
      </c>
      <c r="G92" s="21" t="s">
        <v>48</v>
      </c>
      <c r="H92" s="22" t="s">
        <v>73</v>
      </c>
      <c r="I92" s="23">
        <v>855.76</v>
      </c>
      <c r="J92" s="104">
        <v>46071</v>
      </c>
      <c r="K92" s="24" t="s">
        <v>913</v>
      </c>
    </row>
    <row r="93" spans="3:11" ht="16.5" hidden="1" customHeight="1">
      <c r="C93" s="17">
        <v>46078</v>
      </c>
      <c r="D93" s="69" t="str">
        <f>PROPER(TEXT(C93,"MMMM"))</f>
        <v>Fevereiro</v>
      </c>
      <c r="E93" s="19" t="s">
        <v>14</v>
      </c>
      <c r="F93" s="20" t="s">
        <v>227</v>
      </c>
      <c r="G93" s="25" t="s">
        <v>1118</v>
      </c>
      <c r="H93" s="22" t="s">
        <v>73</v>
      </c>
      <c r="I93" s="26">
        <v>3315.3</v>
      </c>
      <c r="J93" s="104">
        <v>46078</v>
      </c>
      <c r="K93" s="24" t="s">
        <v>913</v>
      </c>
    </row>
    <row r="94" spans="3:11" ht="16.5" hidden="1" customHeight="1">
      <c r="C94" s="17">
        <v>46083</v>
      </c>
      <c r="D94" s="69" t="str">
        <f>PROPER(TEXT(C94,"MMMM"))</f>
        <v>Março</v>
      </c>
      <c r="E94" s="19" t="s">
        <v>14</v>
      </c>
      <c r="F94" s="20" t="s">
        <v>223</v>
      </c>
      <c r="G94" s="21" t="s">
        <v>930</v>
      </c>
      <c r="H94" s="22" t="s">
        <v>73</v>
      </c>
      <c r="I94" s="23">
        <v>1329.49</v>
      </c>
      <c r="J94" s="104">
        <v>46093</v>
      </c>
      <c r="K94" s="24" t="s">
        <v>913</v>
      </c>
    </row>
    <row r="95" spans="3:11" ht="16.5" hidden="1" customHeight="1">
      <c r="C95" s="17">
        <v>46083</v>
      </c>
      <c r="D95" s="69" t="str">
        <f>PROPER(TEXT(C95,"MMMM"))</f>
        <v>Março</v>
      </c>
      <c r="E95" s="19" t="s">
        <v>14</v>
      </c>
      <c r="F95" s="20" t="s">
        <v>223</v>
      </c>
      <c r="G95" s="21" t="s">
        <v>936</v>
      </c>
      <c r="H95" s="22" t="s">
        <v>73</v>
      </c>
      <c r="I95" s="23">
        <v>204.78</v>
      </c>
      <c r="J95" s="104">
        <v>46093</v>
      </c>
      <c r="K95" s="24" t="s">
        <v>913</v>
      </c>
    </row>
    <row r="96" spans="3:11" ht="16.5" hidden="1" customHeight="1">
      <c r="C96" s="17">
        <v>46083</v>
      </c>
      <c r="D96" s="69" t="str">
        <f>PROPER(TEXT(C96,"MMMM"))</f>
        <v>Março</v>
      </c>
      <c r="E96" s="19" t="s">
        <v>14</v>
      </c>
      <c r="F96" s="20" t="s">
        <v>223</v>
      </c>
      <c r="G96" s="25" t="s">
        <v>918</v>
      </c>
      <c r="H96" s="22" t="s">
        <v>73</v>
      </c>
      <c r="I96" s="23">
        <v>503.91</v>
      </c>
      <c r="J96" s="104">
        <v>46093</v>
      </c>
      <c r="K96" s="24" t="s">
        <v>913</v>
      </c>
    </row>
    <row r="97" spans="3:11" ht="16.5" hidden="1" customHeight="1">
      <c r="C97" s="17">
        <v>46083</v>
      </c>
      <c r="D97" s="69" t="str">
        <f>PROPER(TEXT(C97,"MMMM"))</f>
        <v>Março</v>
      </c>
      <c r="E97" s="19" t="s">
        <v>14</v>
      </c>
      <c r="F97" s="20" t="s">
        <v>223</v>
      </c>
      <c r="G97" s="21" t="s">
        <v>97</v>
      </c>
      <c r="H97" s="22" t="s">
        <v>73</v>
      </c>
      <c r="I97" s="23">
        <v>2461.42</v>
      </c>
      <c r="J97" s="104">
        <v>46091</v>
      </c>
      <c r="K97" s="24" t="s">
        <v>913</v>
      </c>
    </row>
    <row r="98" spans="3:11" ht="16.5" hidden="1" customHeight="1">
      <c r="C98" s="17">
        <v>46083</v>
      </c>
      <c r="D98" s="69" t="str">
        <f>PROPER(TEXT(C98,"MMMM"))</f>
        <v>Março</v>
      </c>
      <c r="E98" s="19" t="s">
        <v>14</v>
      </c>
      <c r="F98" s="20" t="s">
        <v>223</v>
      </c>
      <c r="G98" s="21" t="s">
        <v>98</v>
      </c>
      <c r="H98" s="22" t="s">
        <v>73</v>
      </c>
      <c r="I98" s="23">
        <v>2468.56</v>
      </c>
      <c r="J98" s="104">
        <v>46091</v>
      </c>
      <c r="K98" s="24" t="s">
        <v>913</v>
      </c>
    </row>
    <row r="99" spans="3:11" ht="16.5" hidden="1" customHeight="1">
      <c r="C99" s="17">
        <v>46083</v>
      </c>
      <c r="D99" s="69" t="str">
        <f>PROPER(TEXT(C99,"MMMM"))</f>
        <v>Março</v>
      </c>
      <c r="E99" s="19" t="s">
        <v>14</v>
      </c>
      <c r="F99" s="20" t="s">
        <v>223</v>
      </c>
      <c r="G99" s="21" t="s">
        <v>1112</v>
      </c>
      <c r="H99" s="22" t="s">
        <v>73</v>
      </c>
      <c r="I99" s="23">
        <v>1310.71</v>
      </c>
      <c r="J99" s="104">
        <v>46091</v>
      </c>
      <c r="K99" s="24" t="s">
        <v>913</v>
      </c>
    </row>
    <row r="100" spans="3:11" ht="16.5" hidden="1" customHeight="1">
      <c r="C100" s="17">
        <v>46083</v>
      </c>
      <c r="D100" s="69" t="str">
        <f>PROPER(TEXT(C100,"MMMM"))</f>
        <v>Março</v>
      </c>
      <c r="E100" s="19" t="s">
        <v>14</v>
      </c>
      <c r="F100" s="20" t="s">
        <v>223</v>
      </c>
      <c r="G100" s="21" t="s">
        <v>45</v>
      </c>
      <c r="H100" s="22" t="s">
        <v>73</v>
      </c>
      <c r="I100" s="23">
        <v>13616.54</v>
      </c>
      <c r="J100" s="104">
        <v>46083</v>
      </c>
      <c r="K100" s="24" t="s">
        <v>913</v>
      </c>
    </row>
    <row r="101" spans="3:11" ht="16.5" hidden="1" customHeight="1">
      <c r="C101" s="17">
        <v>46083</v>
      </c>
      <c r="D101" s="69" t="str">
        <f>PROPER(TEXT(C101,"MMMM"))</f>
        <v>Março</v>
      </c>
      <c r="E101" s="19" t="s">
        <v>14</v>
      </c>
      <c r="F101" s="20" t="s">
        <v>223</v>
      </c>
      <c r="G101" s="21" t="s">
        <v>26</v>
      </c>
      <c r="H101" s="22" t="s">
        <v>73</v>
      </c>
      <c r="I101" s="27">
        <v>2000</v>
      </c>
      <c r="J101" s="104">
        <v>46083</v>
      </c>
      <c r="K101" s="24" t="s">
        <v>913</v>
      </c>
    </row>
    <row r="102" spans="3:11" ht="16.5" hidden="1" customHeight="1">
      <c r="C102" s="17">
        <v>46083</v>
      </c>
      <c r="D102" s="69" t="str">
        <f>PROPER(TEXT(C102,"MMMM"))</f>
        <v>Março</v>
      </c>
      <c r="E102" s="19" t="s">
        <v>14</v>
      </c>
      <c r="F102" s="20" t="s">
        <v>225</v>
      </c>
      <c r="G102" s="21" t="s">
        <v>27</v>
      </c>
      <c r="H102" s="22" t="s">
        <v>19</v>
      </c>
      <c r="I102" s="27">
        <v>300</v>
      </c>
      <c r="J102" s="104">
        <v>46083</v>
      </c>
      <c r="K102" s="24" t="s">
        <v>913</v>
      </c>
    </row>
    <row r="103" spans="3:11" ht="16.5" hidden="1" customHeight="1">
      <c r="C103" s="17">
        <v>46083</v>
      </c>
      <c r="D103" s="69" t="str">
        <f>PROPER(TEXT(C103,"MMMM"))</f>
        <v>Março</v>
      </c>
      <c r="E103" s="19" t="s">
        <v>14</v>
      </c>
      <c r="F103" s="20" t="s">
        <v>225</v>
      </c>
      <c r="G103" s="25" t="s">
        <v>20</v>
      </c>
      <c r="H103" s="22" t="s">
        <v>19</v>
      </c>
      <c r="I103" s="26">
        <v>3105</v>
      </c>
      <c r="J103" s="104">
        <v>46083</v>
      </c>
      <c r="K103" s="24" t="s">
        <v>913</v>
      </c>
    </row>
    <row r="104" spans="3:11" ht="16.5" hidden="1" customHeight="1">
      <c r="C104" s="17">
        <v>46083</v>
      </c>
      <c r="D104" s="69" t="str">
        <f>PROPER(TEXT(C104,"MMMM"))</f>
        <v>Março</v>
      </c>
      <c r="E104" s="19" t="s">
        <v>14</v>
      </c>
      <c r="F104" s="20" t="s">
        <v>225</v>
      </c>
      <c r="G104" s="25" t="s">
        <v>33</v>
      </c>
      <c r="H104" s="22" t="s">
        <v>19</v>
      </c>
      <c r="I104" s="26">
        <v>713.25</v>
      </c>
      <c r="J104" s="104">
        <v>46083</v>
      </c>
      <c r="K104" s="24" t="s">
        <v>913</v>
      </c>
    </row>
    <row r="105" spans="3:11" ht="16.5" hidden="1" customHeight="1">
      <c r="C105" s="17">
        <v>46083</v>
      </c>
      <c r="D105" s="69" t="str">
        <f>PROPER(TEXT(C105,"MMMM"))</f>
        <v>Março</v>
      </c>
      <c r="E105" s="19" t="s">
        <v>14</v>
      </c>
      <c r="F105" s="20" t="s">
        <v>225</v>
      </c>
      <c r="G105" s="25" t="s">
        <v>60</v>
      </c>
      <c r="H105" s="22" t="s">
        <v>19</v>
      </c>
      <c r="I105" s="26">
        <v>500</v>
      </c>
      <c r="J105" s="104">
        <v>46083</v>
      </c>
      <c r="K105" s="24" t="s">
        <v>913</v>
      </c>
    </row>
    <row r="106" spans="3:11" ht="16.5" hidden="1" customHeight="1">
      <c r="C106" s="17">
        <v>46083</v>
      </c>
      <c r="D106" s="69" t="str">
        <f>PROPER(TEXT(C106,"MMMM"))</f>
        <v>Março</v>
      </c>
      <c r="E106" s="19" t="s">
        <v>14</v>
      </c>
      <c r="F106" s="20" t="s">
        <v>225</v>
      </c>
      <c r="G106" s="21" t="s">
        <v>62</v>
      </c>
      <c r="H106" s="22" t="s">
        <v>540</v>
      </c>
      <c r="I106" s="23">
        <v>36627.5</v>
      </c>
      <c r="J106" s="104">
        <v>46083</v>
      </c>
      <c r="K106" s="24" t="s">
        <v>913</v>
      </c>
    </row>
    <row r="107" spans="3:11" ht="16.5" hidden="1" customHeight="1">
      <c r="C107" s="17">
        <v>46083</v>
      </c>
      <c r="D107" s="69" t="str">
        <f>PROPER(TEXT(C107,"MMMM"))</f>
        <v>Março</v>
      </c>
      <c r="E107" s="19" t="s">
        <v>14</v>
      </c>
      <c r="F107" s="20" t="s">
        <v>225</v>
      </c>
      <c r="G107" s="21" t="s">
        <v>63</v>
      </c>
      <c r="H107" s="22" t="s">
        <v>540</v>
      </c>
      <c r="I107" s="23">
        <v>7600</v>
      </c>
      <c r="J107" s="104">
        <v>46083</v>
      </c>
      <c r="K107" s="24" t="s">
        <v>913</v>
      </c>
    </row>
    <row r="108" spans="3:11" ht="16.5" hidden="1" customHeight="1">
      <c r="C108" s="17">
        <v>46083</v>
      </c>
      <c r="D108" s="69" t="str">
        <f>PROPER(TEXT(C108,"MMMM"))</f>
        <v>Março</v>
      </c>
      <c r="E108" s="19" t="s">
        <v>14</v>
      </c>
      <c r="F108" s="20" t="s">
        <v>226</v>
      </c>
      <c r="G108" s="21" t="s">
        <v>29</v>
      </c>
      <c r="H108" s="22" t="s">
        <v>19</v>
      </c>
      <c r="I108" s="23">
        <v>150</v>
      </c>
      <c r="J108" s="104">
        <v>46083</v>
      </c>
      <c r="K108" s="24" t="s">
        <v>913</v>
      </c>
    </row>
    <row r="109" spans="3:11" ht="16.5" hidden="1" customHeight="1">
      <c r="C109" s="17">
        <v>46083</v>
      </c>
      <c r="D109" s="69" t="str">
        <f>PROPER(TEXT(C109,"MMMM"))</f>
        <v>Março</v>
      </c>
      <c r="E109" s="19" t="s">
        <v>14</v>
      </c>
      <c r="F109" s="20" t="s">
        <v>226</v>
      </c>
      <c r="G109" s="21" t="s">
        <v>32</v>
      </c>
      <c r="H109" s="22" t="s">
        <v>73</v>
      </c>
      <c r="I109" s="23">
        <v>552.86</v>
      </c>
      <c r="J109" s="104">
        <v>46089</v>
      </c>
      <c r="K109" s="24" t="s">
        <v>913</v>
      </c>
    </row>
    <row r="110" spans="3:11" ht="16.5" hidden="1" customHeight="1">
      <c r="C110" s="17">
        <v>46083</v>
      </c>
      <c r="D110" s="69" t="str">
        <f>PROPER(TEXT(C110,"MMMM"))</f>
        <v>Março</v>
      </c>
      <c r="E110" s="19" t="s">
        <v>14</v>
      </c>
      <c r="F110" s="20" t="s">
        <v>227</v>
      </c>
      <c r="G110" s="21" t="s">
        <v>49</v>
      </c>
      <c r="H110" s="22" t="s">
        <v>73</v>
      </c>
      <c r="I110" s="23">
        <v>549.66999999999996</v>
      </c>
      <c r="J110" s="104">
        <v>46101</v>
      </c>
      <c r="K110" s="24" t="s">
        <v>913</v>
      </c>
    </row>
    <row r="111" spans="3:11" ht="16.5" hidden="1" customHeight="1">
      <c r="C111" s="17">
        <v>46083</v>
      </c>
      <c r="D111" s="69" t="str">
        <f>PROPER(TEXT(C111,"MMMM"))</f>
        <v>Março</v>
      </c>
      <c r="E111" s="19" t="s">
        <v>14</v>
      </c>
      <c r="F111" s="20" t="s">
        <v>227</v>
      </c>
      <c r="G111" s="21" t="s">
        <v>532</v>
      </c>
      <c r="H111" s="22" t="s">
        <v>73</v>
      </c>
      <c r="I111" s="23">
        <v>2299.3200000000002</v>
      </c>
      <c r="J111" s="104">
        <v>46086</v>
      </c>
      <c r="K111" s="24" t="s">
        <v>913</v>
      </c>
    </row>
    <row r="112" spans="3:11" ht="16.5" hidden="1" customHeight="1">
      <c r="C112" s="17">
        <v>46083</v>
      </c>
      <c r="D112" s="69" t="str">
        <f>PROPER(TEXT(C112,"MMMM"))</f>
        <v>Março</v>
      </c>
      <c r="E112" s="19" t="s">
        <v>14</v>
      </c>
      <c r="F112" s="20" t="s">
        <v>227</v>
      </c>
      <c r="G112" s="21" t="s">
        <v>533</v>
      </c>
      <c r="H112" s="22" t="s">
        <v>73</v>
      </c>
      <c r="I112" s="23">
        <v>1566.97</v>
      </c>
      <c r="J112" s="104">
        <v>46086</v>
      </c>
      <c r="K112" s="24" t="s">
        <v>913</v>
      </c>
    </row>
    <row r="113" spans="3:15" ht="16.5" hidden="1" customHeight="1">
      <c r="C113" s="17">
        <v>46083</v>
      </c>
      <c r="D113" s="69" t="str">
        <f>PROPER(TEXT(C113,"MMMM"))</f>
        <v>Março</v>
      </c>
      <c r="E113" s="19" t="s">
        <v>14</v>
      </c>
      <c r="F113" s="20" t="s">
        <v>227</v>
      </c>
      <c r="G113" s="21" t="s">
        <v>1170</v>
      </c>
      <c r="H113" s="22" t="s">
        <v>73</v>
      </c>
      <c r="I113" s="23">
        <v>616.66999999999996</v>
      </c>
      <c r="J113" s="104">
        <v>46086</v>
      </c>
      <c r="K113" s="24" t="s">
        <v>913</v>
      </c>
    </row>
    <row r="114" spans="3:15" ht="16.5" hidden="1" customHeight="1">
      <c r="C114" s="17">
        <v>46083</v>
      </c>
      <c r="D114" s="69" t="str">
        <f>PROPER(TEXT(C114,"MMMM"))</f>
        <v>Março</v>
      </c>
      <c r="E114" s="19" t="s">
        <v>14</v>
      </c>
      <c r="F114" s="20" t="s">
        <v>227</v>
      </c>
      <c r="G114" s="21" t="s">
        <v>1177</v>
      </c>
      <c r="H114" s="22" t="s">
        <v>73</v>
      </c>
      <c r="I114" s="23">
        <v>166.66</v>
      </c>
      <c r="J114" s="104">
        <v>46086</v>
      </c>
      <c r="K114" s="24" t="s">
        <v>913</v>
      </c>
    </row>
    <row r="115" spans="3:15" ht="16.5" hidden="1" customHeight="1">
      <c r="C115" s="17">
        <v>46083</v>
      </c>
      <c r="D115" s="69" t="str">
        <f>PROPER(TEXT(C115,"MMMM"))</f>
        <v>Março</v>
      </c>
      <c r="E115" s="19" t="s">
        <v>14</v>
      </c>
      <c r="F115" s="20" t="s">
        <v>227</v>
      </c>
      <c r="G115" s="21" t="s">
        <v>50</v>
      </c>
      <c r="H115" s="22" t="s">
        <v>73</v>
      </c>
      <c r="I115" s="27">
        <v>475.38</v>
      </c>
      <c r="J115" s="104">
        <v>46101</v>
      </c>
      <c r="K115" s="24" t="s">
        <v>913</v>
      </c>
    </row>
    <row r="116" spans="3:15" ht="16.5" hidden="1" customHeight="1">
      <c r="C116" s="17">
        <v>46083</v>
      </c>
      <c r="D116" s="69" t="str">
        <f>PROPER(TEXT(C116,"MMMM"))</f>
        <v>Março</v>
      </c>
      <c r="E116" s="19" t="s">
        <v>14</v>
      </c>
      <c r="F116" s="20" t="s">
        <v>227</v>
      </c>
      <c r="G116" s="21" t="s">
        <v>630</v>
      </c>
      <c r="H116" s="22" t="s">
        <v>73</v>
      </c>
      <c r="I116" s="27">
        <v>450</v>
      </c>
      <c r="J116" s="104">
        <v>46083</v>
      </c>
      <c r="K116" s="24" t="s">
        <v>913</v>
      </c>
    </row>
    <row r="117" spans="3:15" ht="16.5" hidden="1" customHeight="1">
      <c r="C117" s="17">
        <v>46083</v>
      </c>
      <c r="D117" s="69" t="str">
        <f>PROPER(TEXT(C117,"MMMM"))</f>
        <v>Março</v>
      </c>
      <c r="E117" s="19" t="s">
        <v>14</v>
      </c>
      <c r="F117" s="20" t="s">
        <v>227</v>
      </c>
      <c r="G117" s="21" t="s">
        <v>631</v>
      </c>
      <c r="H117" s="22" t="s">
        <v>73</v>
      </c>
      <c r="I117" s="27">
        <v>350</v>
      </c>
      <c r="J117" s="104">
        <v>46083</v>
      </c>
      <c r="K117" s="24" t="s">
        <v>913</v>
      </c>
    </row>
    <row r="118" spans="3:15" ht="16.5" hidden="1" customHeight="1">
      <c r="C118" s="17">
        <v>46083</v>
      </c>
      <c r="D118" s="69" t="str">
        <f>PROPER(TEXT(C118,"MMMM"))</f>
        <v>Março</v>
      </c>
      <c r="E118" s="19" t="s">
        <v>14</v>
      </c>
      <c r="F118" s="20" t="s">
        <v>227</v>
      </c>
      <c r="G118" s="21" t="s">
        <v>1173</v>
      </c>
      <c r="H118" s="22" t="s">
        <v>73</v>
      </c>
      <c r="I118" s="23">
        <v>578.57000000000005</v>
      </c>
      <c r="J118" s="104">
        <v>46083</v>
      </c>
      <c r="K118" s="24" t="s">
        <v>913</v>
      </c>
    </row>
    <row r="119" spans="3:15" ht="16.5" hidden="1" customHeight="1">
      <c r="C119" s="17">
        <v>46083</v>
      </c>
      <c r="D119" s="69" t="str">
        <f>PROPER(TEXT(C119,"MMMM"))</f>
        <v>Março</v>
      </c>
      <c r="E119" s="19" t="s">
        <v>15</v>
      </c>
      <c r="F119" s="20" t="s">
        <v>223</v>
      </c>
      <c r="G119" s="21" t="s">
        <v>85</v>
      </c>
      <c r="H119" s="22" t="s">
        <v>75</v>
      </c>
      <c r="I119" s="23">
        <v>129.07</v>
      </c>
      <c r="J119" s="104">
        <v>46096</v>
      </c>
      <c r="K119" s="24" t="s">
        <v>913</v>
      </c>
    </row>
    <row r="120" spans="3:15" ht="16.5" hidden="1" customHeight="1">
      <c r="C120" s="17">
        <v>46083</v>
      </c>
      <c r="D120" s="69" t="str">
        <f>PROPER(TEXT(C120,"MMMM"))</f>
        <v>Março</v>
      </c>
      <c r="E120" s="19" t="s">
        <v>15</v>
      </c>
      <c r="F120" s="20" t="s">
        <v>223</v>
      </c>
      <c r="G120" s="21" t="s">
        <v>86</v>
      </c>
      <c r="H120" s="22" t="s">
        <v>75</v>
      </c>
      <c r="I120" s="23">
        <v>1100</v>
      </c>
      <c r="J120" s="104">
        <v>46091</v>
      </c>
      <c r="K120" s="24" t="s">
        <v>913</v>
      </c>
    </row>
    <row r="121" spans="3:15" ht="16.5" hidden="1" customHeight="1">
      <c r="C121" s="17">
        <v>46083</v>
      </c>
      <c r="D121" s="69" t="str">
        <f>PROPER(TEXT(C121,"MMMM"))</f>
        <v>Março</v>
      </c>
      <c r="E121" s="19" t="s">
        <v>15</v>
      </c>
      <c r="F121" s="20" t="s">
        <v>223</v>
      </c>
      <c r="G121" s="21" t="s">
        <v>87</v>
      </c>
      <c r="H121" s="22" t="s">
        <v>75</v>
      </c>
      <c r="I121" s="23">
        <v>466.71</v>
      </c>
      <c r="J121" s="104">
        <v>46091</v>
      </c>
      <c r="K121" s="24" t="s">
        <v>913</v>
      </c>
      <c r="O121" s="92"/>
    </row>
    <row r="122" spans="3:15" ht="16.5" hidden="1" customHeight="1">
      <c r="C122" s="17">
        <v>46083</v>
      </c>
      <c r="D122" s="69" t="str">
        <f>PROPER(TEXT(C122,"MMMM"))</f>
        <v>Março</v>
      </c>
      <c r="E122" s="19" t="s">
        <v>15</v>
      </c>
      <c r="F122" s="20" t="s">
        <v>223</v>
      </c>
      <c r="G122" s="21" t="s">
        <v>90</v>
      </c>
      <c r="H122" s="22" t="s">
        <v>75</v>
      </c>
      <c r="I122" s="23">
        <v>400</v>
      </c>
      <c r="J122" s="104">
        <v>46083</v>
      </c>
      <c r="K122" s="24" t="s">
        <v>913</v>
      </c>
    </row>
    <row r="123" spans="3:15" ht="16.5" hidden="1" customHeight="1">
      <c r="C123" s="17">
        <v>46083</v>
      </c>
      <c r="D123" s="69" t="str">
        <f>PROPER(TEXT(C123,"MMMM"))</f>
        <v>Março</v>
      </c>
      <c r="E123" s="19" t="s">
        <v>15</v>
      </c>
      <c r="F123" s="20" t="s">
        <v>223</v>
      </c>
      <c r="G123" s="21" t="s">
        <v>88</v>
      </c>
      <c r="H123" s="22" t="s">
        <v>75</v>
      </c>
      <c r="I123" s="23">
        <v>220</v>
      </c>
      <c r="J123" s="104">
        <v>46083</v>
      </c>
      <c r="K123" s="24" t="s">
        <v>913</v>
      </c>
    </row>
    <row r="124" spans="3:15" ht="16.5" hidden="1" customHeight="1">
      <c r="C124" s="17">
        <v>46083</v>
      </c>
      <c r="D124" s="69" t="str">
        <f>PROPER(TEXT(C124,"MMMM"))</f>
        <v>Março</v>
      </c>
      <c r="E124" s="19" t="s">
        <v>15</v>
      </c>
      <c r="F124" s="20" t="s">
        <v>225</v>
      </c>
      <c r="G124" s="21" t="s">
        <v>27</v>
      </c>
      <c r="H124" s="22" t="s">
        <v>23</v>
      </c>
      <c r="I124" s="27">
        <v>330</v>
      </c>
      <c r="J124" s="104">
        <v>46083</v>
      </c>
      <c r="K124" s="24" t="s">
        <v>913</v>
      </c>
    </row>
    <row r="125" spans="3:15" ht="16.5" hidden="1" customHeight="1">
      <c r="C125" s="17">
        <v>46083</v>
      </c>
      <c r="D125" s="69" t="str">
        <f>PROPER(TEXT(C125,"MMMM"))</f>
        <v>Março</v>
      </c>
      <c r="E125" s="19" t="s">
        <v>15</v>
      </c>
      <c r="F125" s="20" t="s">
        <v>225</v>
      </c>
      <c r="G125" s="21" t="s">
        <v>20</v>
      </c>
      <c r="H125" s="22" t="s">
        <v>23</v>
      </c>
      <c r="I125" s="27">
        <v>11000</v>
      </c>
      <c r="J125" s="104">
        <v>46083</v>
      </c>
      <c r="K125" s="24" t="s">
        <v>913</v>
      </c>
    </row>
    <row r="126" spans="3:15" ht="16.5" hidden="1" customHeight="1">
      <c r="C126" s="17">
        <v>46083</v>
      </c>
      <c r="D126" s="69" t="str">
        <f>PROPER(TEXT(C126,"MMMM"))</f>
        <v>Março</v>
      </c>
      <c r="E126" s="19" t="s">
        <v>15</v>
      </c>
      <c r="F126" s="20" t="s">
        <v>225</v>
      </c>
      <c r="G126" s="21" t="s">
        <v>33</v>
      </c>
      <c r="H126" s="22" t="s">
        <v>23</v>
      </c>
      <c r="I126" s="27">
        <v>220</v>
      </c>
      <c r="J126" s="104">
        <v>46083</v>
      </c>
      <c r="K126" s="24" t="s">
        <v>913</v>
      </c>
    </row>
    <row r="127" spans="3:15" ht="16.5" hidden="1" customHeight="1">
      <c r="C127" s="17">
        <v>46083</v>
      </c>
      <c r="D127" s="69" t="str">
        <f>PROPER(TEXT(C127,"MMMM"))</f>
        <v>Março</v>
      </c>
      <c r="E127" s="19" t="s">
        <v>15</v>
      </c>
      <c r="F127" s="20" t="s">
        <v>225</v>
      </c>
      <c r="G127" s="21" t="s">
        <v>60</v>
      </c>
      <c r="H127" s="22" t="s">
        <v>23</v>
      </c>
      <c r="I127" s="27">
        <v>500</v>
      </c>
      <c r="J127" s="104">
        <v>46083</v>
      </c>
      <c r="K127" s="24" t="s">
        <v>913</v>
      </c>
    </row>
    <row r="128" spans="3:15" ht="16.5" hidden="1" customHeight="1">
      <c r="C128" s="17">
        <v>46083</v>
      </c>
      <c r="D128" s="69" t="str">
        <f>PROPER(TEXT(C128,"MMMM"))</f>
        <v>Março</v>
      </c>
      <c r="E128" s="19" t="s">
        <v>15</v>
      </c>
      <c r="F128" s="20" t="s">
        <v>225</v>
      </c>
      <c r="G128" s="21" t="s">
        <v>62</v>
      </c>
      <c r="H128" s="22" t="s">
        <v>547</v>
      </c>
      <c r="I128" s="27">
        <v>36627.5</v>
      </c>
      <c r="J128" s="104">
        <v>46083</v>
      </c>
      <c r="K128" s="24" t="s">
        <v>913</v>
      </c>
    </row>
    <row r="129" spans="3:15" ht="16.5" hidden="1" customHeight="1">
      <c r="C129" s="17">
        <v>46083</v>
      </c>
      <c r="D129" s="69" t="str">
        <f>PROPER(TEXT(C129,"MMMM"))</f>
        <v>Março</v>
      </c>
      <c r="E129" s="19" t="s">
        <v>15</v>
      </c>
      <c r="F129" s="20" t="s">
        <v>225</v>
      </c>
      <c r="G129" s="21" t="s">
        <v>63</v>
      </c>
      <c r="H129" s="22" t="s">
        <v>547</v>
      </c>
      <c r="I129" s="27">
        <v>7600</v>
      </c>
      <c r="J129" s="104">
        <v>46083</v>
      </c>
      <c r="K129" s="24" t="s">
        <v>913</v>
      </c>
    </row>
    <row r="130" spans="3:15" ht="16.5" hidden="1" customHeight="1">
      <c r="C130" s="17">
        <v>46083</v>
      </c>
      <c r="D130" s="69" t="str">
        <f>PROPER(TEXT(C130,"MMMM"))</f>
        <v>Março</v>
      </c>
      <c r="E130" s="19" t="s">
        <v>15</v>
      </c>
      <c r="F130" s="20" t="s">
        <v>226</v>
      </c>
      <c r="G130" s="21" t="s">
        <v>34</v>
      </c>
      <c r="H130" s="22" t="s">
        <v>75</v>
      </c>
      <c r="I130" s="27">
        <v>487.21</v>
      </c>
      <c r="J130" s="104">
        <v>46091</v>
      </c>
      <c r="K130" s="24" t="s">
        <v>913</v>
      </c>
    </row>
    <row r="131" spans="3:15" ht="16.5" hidden="1" customHeight="1">
      <c r="C131" s="17">
        <v>46083</v>
      </c>
      <c r="D131" s="69" t="str">
        <f>PROPER(TEXT(C131,"MMMM"))</f>
        <v>Março</v>
      </c>
      <c r="E131" s="19" t="s">
        <v>16</v>
      </c>
      <c r="F131" s="20" t="s">
        <v>223</v>
      </c>
      <c r="G131" s="21" t="s">
        <v>118</v>
      </c>
      <c r="H131" s="22" t="s">
        <v>74</v>
      </c>
      <c r="I131" s="27">
        <v>4900</v>
      </c>
      <c r="J131" s="104">
        <v>46083</v>
      </c>
      <c r="K131" s="24" t="s">
        <v>913</v>
      </c>
    </row>
    <row r="132" spans="3:15" ht="16.5" hidden="1" customHeight="1">
      <c r="C132" s="17">
        <v>46083</v>
      </c>
      <c r="D132" s="69" t="str">
        <f>PROPER(TEXT(C132,"MMMM"))</f>
        <v>Março</v>
      </c>
      <c r="E132" s="19" t="s">
        <v>16</v>
      </c>
      <c r="F132" s="20" t="s">
        <v>223</v>
      </c>
      <c r="G132" s="21" t="s">
        <v>157</v>
      </c>
      <c r="H132" s="22" t="s">
        <v>74</v>
      </c>
      <c r="I132" s="23">
        <v>2131</v>
      </c>
      <c r="J132" s="104">
        <v>46083</v>
      </c>
      <c r="K132" s="24" t="s">
        <v>913</v>
      </c>
    </row>
    <row r="133" spans="3:15" ht="16.5" hidden="1" customHeight="1">
      <c r="C133" s="17">
        <v>46083</v>
      </c>
      <c r="D133" s="69" t="str">
        <f>PROPER(TEXT(C133,"MMMM"))</f>
        <v>Março</v>
      </c>
      <c r="E133" s="19" t="s">
        <v>16</v>
      </c>
      <c r="F133" s="20" t="s">
        <v>225</v>
      </c>
      <c r="G133" s="21" t="s">
        <v>35</v>
      </c>
      <c r="H133" s="22" t="s">
        <v>720</v>
      </c>
      <c r="I133" s="27">
        <v>1000</v>
      </c>
      <c r="J133" s="104">
        <v>46083</v>
      </c>
      <c r="K133" s="24" t="s">
        <v>913</v>
      </c>
    </row>
    <row r="134" spans="3:15" ht="16.5" hidden="1" customHeight="1">
      <c r="C134" s="17">
        <v>46083</v>
      </c>
      <c r="D134" s="69" t="str">
        <f>PROPER(TEXT(C134,"MMMM"))</f>
        <v>Março</v>
      </c>
      <c r="E134" s="19" t="s">
        <v>16</v>
      </c>
      <c r="F134" s="20" t="s">
        <v>225</v>
      </c>
      <c r="G134" s="21" t="s">
        <v>27</v>
      </c>
      <c r="H134" s="22" t="s">
        <v>74</v>
      </c>
      <c r="I134" s="23">
        <v>200</v>
      </c>
      <c r="J134" s="104">
        <v>46083</v>
      </c>
      <c r="K134" s="24" t="s">
        <v>913</v>
      </c>
    </row>
    <row r="135" spans="3:15" ht="16.5" hidden="1" customHeight="1">
      <c r="C135" s="17">
        <v>46083</v>
      </c>
      <c r="D135" s="69" t="str">
        <f>PROPER(TEXT(C135,"MMMM"))</f>
        <v>Março</v>
      </c>
      <c r="E135" s="19" t="s">
        <v>16</v>
      </c>
      <c r="F135" s="20" t="s">
        <v>225</v>
      </c>
      <c r="G135" s="21" t="s">
        <v>20</v>
      </c>
      <c r="H135" s="22" t="s">
        <v>74</v>
      </c>
      <c r="I135" s="27">
        <v>5000</v>
      </c>
      <c r="J135" s="104">
        <v>46083</v>
      </c>
      <c r="K135" s="24" t="s">
        <v>913</v>
      </c>
    </row>
    <row r="136" spans="3:15" ht="16.5" hidden="1" customHeight="1">
      <c r="C136" s="17">
        <v>46083</v>
      </c>
      <c r="D136" s="69" t="str">
        <f>PROPER(TEXT(C136,"MMMM"))</f>
        <v>Março</v>
      </c>
      <c r="E136" s="19" t="s">
        <v>16</v>
      </c>
      <c r="F136" s="20" t="s">
        <v>225</v>
      </c>
      <c r="G136" s="21" t="s">
        <v>33</v>
      </c>
      <c r="H136" s="22" t="s">
        <v>74</v>
      </c>
      <c r="I136" s="27">
        <v>100</v>
      </c>
      <c r="J136" s="104">
        <v>46083</v>
      </c>
      <c r="K136" s="24" t="s">
        <v>913</v>
      </c>
    </row>
    <row r="137" spans="3:15" ht="16.5" hidden="1" customHeight="1">
      <c r="C137" s="17">
        <v>46083</v>
      </c>
      <c r="D137" s="69" t="str">
        <f>PROPER(TEXT(C137,"MMMM"))</f>
        <v>Março</v>
      </c>
      <c r="E137" s="19" t="s">
        <v>16</v>
      </c>
      <c r="F137" s="20" t="s">
        <v>226</v>
      </c>
      <c r="G137" s="21" t="s">
        <v>116</v>
      </c>
      <c r="H137" s="22" t="s">
        <v>74</v>
      </c>
      <c r="I137" s="27">
        <v>1000</v>
      </c>
      <c r="J137" s="104">
        <v>46083</v>
      </c>
      <c r="K137" s="24" t="s">
        <v>913</v>
      </c>
    </row>
    <row r="138" spans="3:15" ht="16.5" hidden="1" customHeight="1">
      <c r="C138" s="17">
        <v>46092</v>
      </c>
      <c r="D138" s="69" t="str">
        <f>PROPER(TEXT(C138,"MMMM"))</f>
        <v>Março</v>
      </c>
      <c r="E138" s="19" t="s">
        <v>15</v>
      </c>
      <c r="F138" s="20" t="s">
        <v>224</v>
      </c>
      <c r="G138" s="21" t="s">
        <v>1215</v>
      </c>
      <c r="H138" s="22" t="s">
        <v>75</v>
      </c>
      <c r="I138" s="23">
        <v>217.8</v>
      </c>
      <c r="J138" s="104">
        <v>46083</v>
      </c>
      <c r="K138" s="24" t="s">
        <v>913</v>
      </c>
      <c r="M138" s="88"/>
    </row>
    <row r="139" spans="3:15" ht="16.5" hidden="1" customHeight="1">
      <c r="C139" s="17">
        <v>46092</v>
      </c>
      <c r="D139" s="69" t="str">
        <f>PROPER(TEXT(C139,"MMMM"))</f>
        <v>Março</v>
      </c>
      <c r="E139" s="19" t="s">
        <v>15</v>
      </c>
      <c r="F139" s="20" t="s">
        <v>224</v>
      </c>
      <c r="G139" s="21" t="s">
        <v>1194</v>
      </c>
      <c r="H139" s="22" t="s">
        <v>75</v>
      </c>
      <c r="I139" s="23">
        <v>40</v>
      </c>
      <c r="J139" s="104">
        <v>46083</v>
      </c>
      <c r="K139" s="24" t="s">
        <v>913</v>
      </c>
    </row>
    <row r="140" spans="3:15" ht="16.5" hidden="1" customHeight="1">
      <c r="C140" s="17">
        <v>46092</v>
      </c>
      <c r="D140" s="69" t="str">
        <f>PROPER(TEXT(C140,"MMMM"))</f>
        <v>Março</v>
      </c>
      <c r="E140" s="19" t="s">
        <v>15</v>
      </c>
      <c r="F140" s="20" t="s">
        <v>224</v>
      </c>
      <c r="G140" s="21" t="s">
        <v>1195</v>
      </c>
      <c r="H140" s="22" t="s">
        <v>75</v>
      </c>
      <c r="I140" s="23">
        <v>500</v>
      </c>
      <c r="J140" s="104">
        <v>46087</v>
      </c>
      <c r="K140" s="24" t="s">
        <v>913</v>
      </c>
    </row>
    <row r="141" spans="3:15" s="352" customFormat="1" ht="16.5" hidden="1" customHeight="1">
      <c r="C141" s="17">
        <v>46093</v>
      </c>
      <c r="D141" s="18" t="str">
        <f>PROPER(TEXT(C141,"MMMM"))</f>
        <v>Março</v>
      </c>
      <c r="E141" s="19" t="s">
        <v>12</v>
      </c>
      <c r="F141" s="20" t="s">
        <v>227</v>
      </c>
      <c r="G141" s="21" t="s">
        <v>1214</v>
      </c>
      <c r="H141" s="22" t="s">
        <v>1213</v>
      </c>
      <c r="I141" s="27">
        <v>755</v>
      </c>
      <c r="J141" s="104">
        <v>46086</v>
      </c>
      <c r="K141" s="24" t="s">
        <v>913</v>
      </c>
      <c r="M141"/>
      <c r="N141"/>
      <c r="O141"/>
    </row>
    <row r="142" spans="3:15" s="352" customFormat="1" ht="16.5" hidden="1" customHeight="1">
      <c r="C142" s="17">
        <v>46093</v>
      </c>
      <c r="D142" s="18" t="str">
        <f>PROPER(TEXT(C142,"MMMM"))</f>
        <v>Março</v>
      </c>
      <c r="E142" s="19" t="s">
        <v>12</v>
      </c>
      <c r="F142" s="20" t="s">
        <v>227</v>
      </c>
      <c r="G142" s="21" t="s">
        <v>1220</v>
      </c>
      <c r="H142" s="22" t="s">
        <v>1213</v>
      </c>
      <c r="I142" s="27">
        <v>680</v>
      </c>
      <c r="J142" s="104">
        <v>46093</v>
      </c>
      <c r="K142" s="24" t="s">
        <v>913</v>
      </c>
      <c r="M142"/>
      <c r="N142"/>
      <c r="O142"/>
    </row>
    <row r="143" spans="3:15" ht="16.5" hidden="1" customHeight="1">
      <c r="C143" s="17">
        <v>46093</v>
      </c>
      <c r="D143" s="69" t="str">
        <f>PROPER(TEXT(C143,"MMMM"))</f>
        <v>Março</v>
      </c>
      <c r="E143" s="19" t="s">
        <v>14</v>
      </c>
      <c r="F143" s="20" t="s">
        <v>227</v>
      </c>
      <c r="G143" s="21" t="s">
        <v>48</v>
      </c>
      <c r="H143" s="22" t="s">
        <v>73</v>
      </c>
      <c r="I143" s="23">
        <v>857.97</v>
      </c>
      <c r="J143" s="104">
        <v>46099</v>
      </c>
      <c r="K143" s="24" t="s">
        <v>913</v>
      </c>
    </row>
    <row r="144" spans="3:15" ht="16.5" hidden="1" customHeight="1">
      <c r="C144" s="17">
        <v>46104</v>
      </c>
      <c r="D144" s="18" t="str">
        <f>PROPER(TEXT(C144,"MMMM"))</f>
        <v>Março</v>
      </c>
      <c r="E144" s="19" t="s">
        <v>14</v>
      </c>
      <c r="F144" s="20" t="s">
        <v>227</v>
      </c>
      <c r="G144" s="25" t="s">
        <v>1262</v>
      </c>
      <c r="H144" s="22" t="s">
        <v>73</v>
      </c>
      <c r="I144" s="26">
        <v>276</v>
      </c>
      <c r="J144" s="104">
        <v>46108</v>
      </c>
      <c r="K144" s="24" t="s">
        <v>913</v>
      </c>
    </row>
    <row r="145" spans="3:15" s="352" customFormat="1" ht="16.5" hidden="1" customHeight="1">
      <c r="C145" s="17">
        <v>46111</v>
      </c>
      <c r="D145" s="69" t="str">
        <f>PROPER(TEXT(C145,"MMMM"))</f>
        <v>Março</v>
      </c>
      <c r="E145" s="19" t="s">
        <v>12</v>
      </c>
      <c r="F145" s="20" t="s">
        <v>228</v>
      </c>
      <c r="G145" s="21" t="s">
        <v>114</v>
      </c>
      <c r="H145" s="22" t="s">
        <v>110</v>
      </c>
      <c r="I145" s="27">
        <f>278995.536/2</f>
        <v>139497.76800000001</v>
      </c>
      <c r="J145" s="104">
        <v>46111</v>
      </c>
      <c r="K145" s="24" t="s">
        <v>913</v>
      </c>
      <c r="M145"/>
      <c r="N145"/>
      <c r="O145"/>
    </row>
    <row r="146" spans="3:15" s="352" customFormat="1" ht="16.5" hidden="1" customHeight="1">
      <c r="C146" s="17">
        <v>46111</v>
      </c>
      <c r="D146" s="69" t="str">
        <f>PROPER(TEXT(C146,"MMMM"))</f>
        <v>Março</v>
      </c>
      <c r="E146" s="19" t="s">
        <v>12</v>
      </c>
      <c r="F146" s="20" t="s">
        <v>228</v>
      </c>
      <c r="G146" s="21" t="s">
        <v>114</v>
      </c>
      <c r="H146" s="22" t="s">
        <v>110</v>
      </c>
      <c r="I146" s="27">
        <f>278995.536/2</f>
        <v>139497.76800000001</v>
      </c>
      <c r="J146" s="104">
        <v>46111</v>
      </c>
      <c r="K146" s="24" t="s">
        <v>913</v>
      </c>
      <c r="M146"/>
      <c r="N146"/>
      <c r="O146"/>
    </row>
    <row r="147" spans="3:15" s="352" customFormat="1" ht="16.5" hidden="1" customHeight="1">
      <c r="C147" s="17">
        <v>46113</v>
      </c>
      <c r="D147" s="69" t="str">
        <f>PROPER(TEXT(C147,"MMMM"))</f>
        <v>Abril</v>
      </c>
      <c r="E147" s="19" t="s">
        <v>12</v>
      </c>
      <c r="F147" s="20" t="s">
        <v>228</v>
      </c>
      <c r="G147" s="21" t="s">
        <v>114</v>
      </c>
      <c r="H147" s="22" t="s">
        <v>110</v>
      </c>
      <c r="I147" s="27">
        <v>139497.76999999999</v>
      </c>
      <c r="J147" s="104">
        <v>46113</v>
      </c>
      <c r="K147" s="24" t="s">
        <v>913</v>
      </c>
      <c r="M147"/>
      <c r="N147"/>
      <c r="O147"/>
    </row>
    <row r="148" spans="3:15" s="352" customFormat="1" ht="16.5" hidden="1" customHeight="1">
      <c r="C148" s="17">
        <v>46113</v>
      </c>
      <c r="D148" s="69" t="str">
        <f>PROPER(TEXT(C148,"MMMM"))</f>
        <v>Abril</v>
      </c>
      <c r="E148" s="19" t="s">
        <v>12</v>
      </c>
      <c r="F148" s="20" t="s">
        <v>228</v>
      </c>
      <c r="G148" s="21" t="s">
        <v>114</v>
      </c>
      <c r="H148" s="22" t="s">
        <v>110</v>
      </c>
      <c r="I148" s="27">
        <v>139497.76</v>
      </c>
      <c r="J148" s="104">
        <v>46114</v>
      </c>
      <c r="K148" s="24" t="s">
        <v>913</v>
      </c>
      <c r="M148"/>
      <c r="N148"/>
      <c r="O148"/>
    </row>
    <row r="149" spans="3:15" s="352" customFormat="1" ht="16.5" hidden="1" customHeight="1">
      <c r="C149" s="17">
        <v>46113</v>
      </c>
      <c r="D149" s="69" t="str">
        <f>PROPER(TEXT(C149,"MMMM"))</f>
        <v>Abril</v>
      </c>
      <c r="E149" s="19" t="s">
        <v>14</v>
      </c>
      <c r="F149" s="20" t="s">
        <v>223</v>
      </c>
      <c r="G149" s="21" t="s">
        <v>931</v>
      </c>
      <c r="H149" s="22" t="s">
        <v>73</v>
      </c>
      <c r="I149" s="23">
        <v>1329.49</v>
      </c>
      <c r="J149" s="104">
        <v>46124</v>
      </c>
      <c r="K149" s="24" t="s">
        <v>913</v>
      </c>
      <c r="M149"/>
      <c r="N149"/>
      <c r="O149"/>
    </row>
    <row r="150" spans="3:15" ht="16.5" hidden="1" customHeight="1">
      <c r="C150" s="17">
        <v>46113</v>
      </c>
      <c r="D150" s="69" t="str">
        <f>PROPER(TEXT(C150,"MMMM"))</f>
        <v>Abril</v>
      </c>
      <c r="E150" s="19" t="s">
        <v>14</v>
      </c>
      <c r="F150" s="20" t="s">
        <v>223</v>
      </c>
      <c r="G150" s="21" t="s">
        <v>937</v>
      </c>
      <c r="H150" s="22" t="s">
        <v>73</v>
      </c>
      <c r="I150" s="23">
        <v>204.78</v>
      </c>
      <c r="J150" s="104">
        <v>46124</v>
      </c>
      <c r="K150" s="24" t="s">
        <v>913</v>
      </c>
    </row>
    <row r="151" spans="3:15" ht="16.5" hidden="1" customHeight="1">
      <c r="C151" s="17">
        <v>46113</v>
      </c>
      <c r="D151" s="69" t="str">
        <f>PROPER(TEXT(C151,"MMMM"))</f>
        <v>Abril</v>
      </c>
      <c r="E151" s="19" t="s">
        <v>14</v>
      </c>
      <c r="F151" s="20" t="s">
        <v>223</v>
      </c>
      <c r="G151" s="25" t="s">
        <v>919</v>
      </c>
      <c r="H151" s="22" t="s">
        <v>73</v>
      </c>
      <c r="I151" s="23">
        <v>503.91</v>
      </c>
      <c r="J151" s="104">
        <v>46124</v>
      </c>
      <c r="K151" s="24" t="s">
        <v>913</v>
      </c>
    </row>
    <row r="152" spans="3:15" ht="16.5" hidden="1" customHeight="1">
      <c r="C152" s="17">
        <v>46113</v>
      </c>
      <c r="D152" s="69" t="str">
        <f>PROPER(TEXT(C152,"MMMM"))</f>
        <v>Abril</v>
      </c>
      <c r="E152" s="19" t="s">
        <v>14</v>
      </c>
      <c r="F152" s="20" t="s">
        <v>223</v>
      </c>
      <c r="G152" s="21" t="s">
        <v>45</v>
      </c>
      <c r="H152" s="22" t="s">
        <v>73</v>
      </c>
      <c r="I152" s="23">
        <v>13616.54</v>
      </c>
      <c r="J152" s="104">
        <v>46113</v>
      </c>
      <c r="K152" s="24" t="s">
        <v>913</v>
      </c>
    </row>
    <row r="153" spans="3:15" ht="16.5" hidden="1" customHeight="1">
      <c r="C153" s="17">
        <v>46113</v>
      </c>
      <c r="D153" s="69" t="str">
        <f>PROPER(TEXT(C153,"MMMM"))</f>
        <v>Abril</v>
      </c>
      <c r="E153" s="19" t="s">
        <v>14</v>
      </c>
      <c r="F153" s="20" t="s">
        <v>223</v>
      </c>
      <c r="G153" s="21" t="s">
        <v>26</v>
      </c>
      <c r="H153" s="22" t="s">
        <v>73</v>
      </c>
      <c r="I153" s="27">
        <v>2000</v>
      </c>
      <c r="J153" s="104">
        <v>46113</v>
      </c>
      <c r="K153" s="24" t="s">
        <v>913</v>
      </c>
    </row>
    <row r="154" spans="3:15" ht="16.5" hidden="1" customHeight="1">
      <c r="C154" s="17">
        <v>46113</v>
      </c>
      <c r="D154" s="69" t="str">
        <f>PROPER(TEXT(C154,"MMMM"))</f>
        <v>Abril</v>
      </c>
      <c r="E154" s="19" t="s">
        <v>14</v>
      </c>
      <c r="F154" s="20" t="s">
        <v>225</v>
      </c>
      <c r="G154" s="21" t="s">
        <v>27</v>
      </c>
      <c r="H154" s="22" t="s">
        <v>19</v>
      </c>
      <c r="I154" s="27">
        <v>300</v>
      </c>
      <c r="J154" s="104">
        <v>46113</v>
      </c>
      <c r="K154" s="24" t="s">
        <v>913</v>
      </c>
    </row>
    <row r="155" spans="3:15" ht="16.5" hidden="1" customHeight="1">
      <c r="C155" s="17">
        <v>46113</v>
      </c>
      <c r="D155" s="69" t="str">
        <f>PROPER(TEXT(C155,"MMMM"))</f>
        <v>Abril</v>
      </c>
      <c r="E155" s="19" t="s">
        <v>14</v>
      </c>
      <c r="F155" s="20" t="s">
        <v>225</v>
      </c>
      <c r="G155" s="21" t="s">
        <v>20</v>
      </c>
      <c r="H155" s="22" t="s">
        <v>19</v>
      </c>
      <c r="I155" s="27">
        <v>3105</v>
      </c>
      <c r="J155" s="104">
        <v>46113</v>
      </c>
      <c r="K155" s="24" t="s">
        <v>913</v>
      </c>
    </row>
    <row r="156" spans="3:15" ht="16.5" hidden="1" customHeight="1">
      <c r="C156" s="17">
        <v>46113</v>
      </c>
      <c r="D156" s="69" t="str">
        <f>PROPER(TEXT(C156,"MMMM"))</f>
        <v>Abril</v>
      </c>
      <c r="E156" s="19" t="s">
        <v>14</v>
      </c>
      <c r="F156" s="20" t="s">
        <v>225</v>
      </c>
      <c r="G156" s="21" t="s">
        <v>33</v>
      </c>
      <c r="H156" s="22" t="s">
        <v>19</v>
      </c>
      <c r="I156" s="23">
        <v>713.25</v>
      </c>
      <c r="J156" s="104">
        <v>46113</v>
      </c>
      <c r="K156" s="24" t="s">
        <v>913</v>
      </c>
    </row>
    <row r="157" spans="3:15" ht="16.5" hidden="1" customHeight="1">
      <c r="C157" s="17">
        <v>46113</v>
      </c>
      <c r="D157" s="69" t="str">
        <f>PROPER(TEXT(C157,"MMMM"))</f>
        <v>Abril</v>
      </c>
      <c r="E157" s="19" t="s">
        <v>14</v>
      </c>
      <c r="F157" s="20" t="s">
        <v>226</v>
      </c>
      <c r="G157" s="21" t="s">
        <v>1261</v>
      </c>
      <c r="H157" s="22" t="s">
        <v>73</v>
      </c>
      <c r="I157" s="23">
        <v>464.84</v>
      </c>
      <c r="J157" s="104">
        <v>46113</v>
      </c>
      <c r="K157" s="24" t="s">
        <v>913</v>
      </c>
    </row>
    <row r="158" spans="3:15" ht="16.5" hidden="1" customHeight="1">
      <c r="C158" s="17">
        <v>46113</v>
      </c>
      <c r="D158" s="69" t="str">
        <f>PROPER(TEXT(C158,"MMMM"))</f>
        <v>Abril</v>
      </c>
      <c r="E158" s="19" t="s">
        <v>14</v>
      </c>
      <c r="F158" s="20" t="s">
        <v>226</v>
      </c>
      <c r="G158" s="21" t="s">
        <v>29</v>
      </c>
      <c r="H158" s="22" t="s">
        <v>19</v>
      </c>
      <c r="I158" s="23">
        <v>150</v>
      </c>
      <c r="J158" s="104">
        <v>46113</v>
      </c>
      <c r="K158" s="24" t="s">
        <v>913</v>
      </c>
    </row>
    <row r="159" spans="3:15" ht="16.5" hidden="1" customHeight="1">
      <c r="C159" s="17">
        <v>46113</v>
      </c>
      <c r="D159" s="69" t="str">
        <f>PROPER(TEXT(C159,"MMMM"))</f>
        <v>Abril</v>
      </c>
      <c r="E159" s="19" t="s">
        <v>14</v>
      </c>
      <c r="F159" s="20" t="s">
        <v>226</v>
      </c>
      <c r="G159" s="21" t="s">
        <v>1338</v>
      </c>
      <c r="H159" s="22" t="s">
        <v>73</v>
      </c>
      <c r="I159" s="23">
        <v>1997.26</v>
      </c>
      <c r="J159" s="104">
        <v>46113</v>
      </c>
      <c r="K159" s="24" t="s">
        <v>913</v>
      </c>
    </row>
    <row r="160" spans="3:15" ht="16.5" hidden="1" customHeight="1">
      <c r="C160" s="17">
        <v>46113</v>
      </c>
      <c r="D160" s="69" t="str">
        <f>PROPER(TEXT(C160,"MMMM"))</f>
        <v>Abril</v>
      </c>
      <c r="E160" s="19" t="s">
        <v>14</v>
      </c>
      <c r="F160" s="20" t="s">
        <v>226</v>
      </c>
      <c r="G160" s="21" t="s">
        <v>1339</v>
      </c>
      <c r="H160" s="22" t="s">
        <v>73</v>
      </c>
      <c r="I160" s="23">
        <v>1089</v>
      </c>
      <c r="J160" s="104">
        <v>46113</v>
      </c>
      <c r="K160" s="24" t="s">
        <v>913</v>
      </c>
    </row>
    <row r="161" spans="3:11" ht="16.5" hidden="1" customHeight="1">
      <c r="C161" s="17">
        <v>46113</v>
      </c>
      <c r="D161" s="69" t="str">
        <f>PROPER(TEXT(C161,"MMMM"))</f>
        <v>Abril</v>
      </c>
      <c r="E161" s="19" t="s">
        <v>14</v>
      </c>
      <c r="F161" s="20" t="s">
        <v>226</v>
      </c>
      <c r="G161" s="21" t="s">
        <v>32</v>
      </c>
      <c r="H161" s="22" t="s">
        <v>73</v>
      </c>
      <c r="I161" s="23">
        <v>562.86</v>
      </c>
      <c r="J161" s="104">
        <v>46118</v>
      </c>
      <c r="K161" s="24" t="s">
        <v>913</v>
      </c>
    </row>
    <row r="162" spans="3:11" ht="16.5" hidden="1" customHeight="1">
      <c r="C162" s="17">
        <v>46113</v>
      </c>
      <c r="D162" s="69" t="str">
        <f>PROPER(TEXT(C162,"MMMM"))</f>
        <v>Abril</v>
      </c>
      <c r="E162" s="19" t="s">
        <v>14</v>
      </c>
      <c r="F162" s="20" t="s">
        <v>226</v>
      </c>
      <c r="G162" s="21" t="s">
        <v>1340</v>
      </c>
      <c r="H162" s="22" t="s">
        <v>73</v>
      </c>
      <c r="I162" s="23">
        <v>1048.5999999999999</v>
      </c>
      <c r="J162" s="104">
        <v>46127</v>
      </c>
      <c r="K162" s="24" t="s">
        <v>913</v>
      </c>
    </row>
    <row r="163" spans="3:11" ht="16.5" hidden="1" customHeight="1">
      <c r="C163" s="17">
        <v>46113</v>
      </c>
      <c r="D163" s="69" t="str">
        <f>PROPER(TEXT(C163,"MMMM"))</f>
        <v>Abril</v>
      </c>
      <c r="E163" s="19" t="s">
        <v>14</v>
      </c>
      <c r="F163" s="20" t="s">
        <v>227</v>
      </c>
      <c r="G163" s="21" t="s">
        <v>49</v>
      </c>
      <c r="H163" s="22" t="s">
        <v>73</v>
      </c>
      <c r="I163" s="23">
        <v>529.67999999999995</v>
      </c>
      <c r="J163" s="104">
        <v>46132</v>
      </c>
      <c r="K163" s="24" t="s">
        <v>913</v>
      </c>
    </row>
    <row r="164" spans="3:11" ht="16.5" hidden="1" customHeight="1">
      <c r="C164" s="17">
        <v>46113</v>
      </c>
      <c r="D164" s="69" t="str">
        <f>PROPER(TEXT(C164,"MMMM"))</f>
        <v>Abril</v>
      </c>
      <c r="E164" s="19" t="s">
        <v>14</v>
      </c>
      <c r="F164" s="20" t="s">
        <v>227</v>
      </c>
      <c r="G164" s="21" t="s">
        <v>532</v>
      </c>
      <c r="H164" s="22" t="s">
        <v>73</v>
      </c>
      <c r="I164" s="23">
        <v>2299.3200000000002</v>
      </c>
      <c r="J164" s="104">
        <v>46117</v>
      </c>
      <c r="K164" s="24" t="s">
        <v>913</v>
      </c>
    </row>
    <row r="165" spans="3:11" ht="16.5" hidden="1" customHeight="1">
      <c r="C165" s="17">
        <v>46113</v>
      </c>
      <c r="D165" s="69" t="str">
        <f>PROPER(TEXT(C165,"MMMM"))</f>
        <v>Abril</v>
      </c>
      <c r="E165" s="19" t="s">
        <v>14</v>
      </c>
      <c r="F165" s="20" t="s">
        <v>227</v>
      </c>
      <c r="G165" s="21" t="s">
        <v>533</v>
      </c>
      <c r="H165" s="22" t="s">
        <v>73</v>
      </c>
      <c r="I165" s="27">
        <v>1566.97</v>
      </c>
      <c r="J165" s="104">
        <v>46117</v>
      </c>
      <c r="K165" s="24" t="s">
        <v>913</v>
      </c>
    </row>
    <row r="166" spans="3:11" ht="16.5" hidden="1" customHeight="1">
      <c r="C166" s="17">
        <v>46113</v>
      </c>
      <c r="D166" s="69" t="str">
        <f>PROPER(TEXT(C166,"MMMM"))</f>
        <v>Abril</v>
      </c>
      <c r="E166" s="19" t="s">
        <v>14</v>
      </c>
      <c r="F166" s="20" t="s">
        <v>227</v>
      </c>
      <c r="G166" s="21" t="s">
        <v>1170</v>
      </c>
      <c r="H166" s="22" t="s">
        <v>73</v>
      </c>
      <c r="I166" s="27">
        <v>2299.3200000000002</v>
      </c>
      <c r="J166" s="104">
        <v>46117</v>
      </c>
      <c r="K166" s="24" t="s">
        <v>913</v>
      </c>
    </row>
    <row r="167" spans="3:11" ht="16.5" hidden="1" customHeight="1">
      <c r="C167" s="17">
        <v>46113</v>
      </c>
      <c r="D167" s="69" t="str">
        <f>PROPER(TEXT(C167,"MMMM"))</f>
        <v>Abril</v>
      </c>
      <c r="E167" s="19" t="s">
        <v>14</v>
      </c>
      <c r="F167" s="20" t="s">
        <v>227</v>
      </c>
      <c r="G167" s="25" t="s">
        <v>50</v>
      </c>
      <c r="H167" s="22" t="s">
        <v>73</v>
      </c>
      <c r="I167" s="27">
        <v>468.63</v>
      </c>
      <c r="J167" s="104">
        <v>46132</v>
      </c>
      <c r="K167" s="24" t="s">
        <v>913</v>
      </c>
    </row>
    <row r="168" spans="3:11" ht="16.5" hidden="1" customHeight="1">
      <c r="C168" s="17">
        <v>46113</v>
      </c>
      <c r="D168" s="69" t="str">
        <f>PROPER(TEXT(C168,"MMMM"))</f>
        <v>Abril</v>
      </c>
      <c r="E168" s="19" t="s">
        <v>14</v>
      </c>
      <c r="F168" s="20" t="s">
        <v>227</v>
      </c>
      <c r="G168" s="21" t="s">
        <v>630</v>
      </c>
      <c r="H168" s="22" t="s">
        <v>73</v>
      </c>
      <c r="I168" s="27">
        <v>450</v>
      </c>
      <c r="J168" s="104">
        <v>46113</v>
      </c>
      <c r="K168" s="24" t="s">
        <v>913</v>
      </c>
    </row>
    <row r="169" spans="3:11" ht="16.5" hidden="1" customHeight="1">
      <c r="C169" s="17">
        <v>46113</v>
      </c>
      <c r="D169" s="69" t="str">
        <f>PROPER(TEXT(C169,"MMMM"))</f>
        <v>Abril</v>
      </c>
      <c r="E169" s="19" t="s">
        <v>14</v>
      </c>
      <c r="F169" s="20" t="s">
        <v>227</v>
      </c>
      <c r="G169" s="21" t="s">
        <v>631</v>
      </c>
      <c r="H169" s="22" t="s">
        <v>73</v>
      </c>
      <c r="I169" s="23">
        <v>350</v>
      </c>
      <c r="J169" s="104">
        <v>46113</v>
      </c>
      <c r="K169" s="24" t="s">
        <v>913</v>
      </c>
    </row>
    <row r="170" spans="3:11" ht="16.5" hidden="1" customHeight="1">
      <c r="C170" s="17">
        <v>46113</v>
      </c>
      <c r="D170" s="69" t="str">
        <f>PROPER(TEXT(C170,"MMMM"))</f>
        <v>Abril</v>
      </c>
      <c r="E170" s="19" t="s">
        <v>14</v>
      </c>
      <c r="F170" s="20" t="s">
        <v>227</v>
      </c>
      <c r="G170" s="21" t="s">
        <v>1173</v>
      </c>
      <c r="H170" s="22" t="s">
        <v>73</v>
      </c>
      <c r="I170" s="23">
        <v>450</v>
      </c>
      <c r="J170" s="104">
        <v>46113</v>
      </c>
      <c r="K170" s="24" t="s">
        <v>913</v>
      </c>
    </row>
    <row r="171" spans="3:11" ht="16.5" hidden="1" customHeight="1">
      <c r="C171" s="17">
        <v>46113</v>
      </c>
      <c r="D171" s="69" t="str">
        <f>PROPER(TEXT(C171,"MMMM"))</f>
        <v>Abril</v>
      </c>
      <c r="E171" s="19" t="s">
        <v>15</v>
      </c>
      <c r="F171" s="20" t="s">
        <v>223</v>
      </c>
      <c r="G171" s="21" t="s">
        <v>85</v>
      </c>
      <c r="H171" s="22" t="s">
        <v>75</v>
      </c>
      <c r="I171" s="23">
        <v>132.47999999999999</v>
      </c>
      <c r="J171" s="104">
        <v>46127</v>
      </c>
      <c r="K171" s="24" t="s">
        <v>913</v>
      </c>
    </row>
    <row r="172" spans="3:11" ht="16.5" hidden="1" customHeight="1">
      <c r="C172" s="17">
        <v>46113</v>
      </c>
      <c r="D172" s="69" t="str">
        <f>PROPER(TEXT(C172,"MMMM"))</f>
        <v>Abril</v>
      </c>
      <c r="E172" s="19" t="s">
        <v>15</v>
      </c>
      <c r="F172" s="20" t="s">
        <v>223</v>
      </c>
      <c r="G172" s="21" t="s">
        <v>86</v>
      </c>
      <c r="H172" s="22" t="s">
        <v>75</v>
      </c>
      <c r="I172" s="23">
        <v>900</v>
      </c>
      <c r="J172" s="104">
        <v>46122</v>
      </c>
      <c r="K172" s="24" t="s">
        <v>913</v>
      </c>
    </row>
    <row r="173" spans="3:11" ht="16.5" hidden="1" customHeight="1">
      <c r="C173" s="17">
        <v>46113</v>
      </c>
      <c r="D173" s="69" t="str">
        <f>PROPER(TEXT(C173,"MMMM"))</f>
        <v>Abril</v>
      </c>
      <c r="E173" s="19" t="s">
        <v>15</v>
      </c>
      <c r="F173" s="20" t="s">
        <v>223</v>
      </c>
      <c r="G173" s="21" t="s">
        <v>87</v>
      </c>
      <c r="H173" s="22" t="s">
        <v>75</v>
      </c>
      <c r="I173" s="23">
        <v>579.72</v>
      </c>
      <c r="J173" s="104">
        <v>46122</v>
      </c>
      <c r="K173" s="24" t="s">
        <v>913</v>
      </c>
    </row>
    <row r="174" spans="3:11" ht="16.5" hidden="1" customHeight="1">
      <c r="C174" s="17">
        <v>46113</v>
      </c>
      <c r="D174" s="69" t="str">
        <f>PROPER(TEXT(C174,"MMMM"))</f>
        <v>Abril</v>
      </c>
      <c r="E174" s="19" t="s">
        <v>15</v>
      </c>
      <c r="F174" s="20" t="s">
        <v>223</v>
      </c>
      <c r="G174" s="21" t="s">
        <v>90</v>
      </c>
      <c r="H174" s="22" t="s">
        <v>75</v>
      </c>
      <c r="I174" s="23">
        <v>400</v>
      </c>
      <c r="J174" s="104">
        <v>46113</v>
      </c>
      <c r="K174" s="24" t="s">
        <v>913</v>
      </c>
    </row>
    <row r="175" spans="3:11" ht="16.5" hidden="1" customHeight="1">
      <c r="C175" s="17">
        <v>46113</v>
      </c>
      <c r="D175" s="69" t="str">
        <f>PROPER(TEXT(C175,"MMMM"))</f>
        <v>Abril</v>
      </c>
      <c r="E175" s="19" t="s">
        <v>15</v>
      </c>
      <c r="F175" s="20" t="s">
        <v>223</v>
      </c>
      <c r="G175" s="21" t="s">
        <v>88</v>
      </c>
      <c r="H175" s="22" t="s">
        <v>75</v>
      </c>
      <c r="I175" s="23">
        <v>220</v>
      </c>
      <c r="J175" s="104">
        <v>46113</v>
      </c>
      <c r="K175" s="24" t="s">
        <v>913</v>
      </c>
    </row>
    <row r="176" spans="3:11" ht="16.5" hidden="1" customHeight="1">
      <c r="C176" s="17">
        <v>46113</v>
      </c>
      <c r="D176" s="69" t="str">
        <f>PROPER(TEXT(C176,"MMMM"))</f>
        <v>Abril</v>
      </c>
      <c r="E176" s="19" t="s">
        <v>15</v>
      </c>
      <c r="F176" s="20" t="s">
        <v>224</v>
      </c>
      <c r="G176" s="21" t="s">
        <v>1190</v>
      </c>
      <c r="H176" s="22" t="s">
        <v>75</v>
      </c>
      <c r="I176" s="27">
        <v>507.32</v>
      </c>
      <c r="J176" s="104">
        <v>46132</v>
      </c>
      <c r="K176" s="24" t="s">
        <v>913</v>
      </c>
    </row>
    <row r="177" spans="3:11" ht="16.5" hidden="1" customHeight="1">
      <c r="C177" s="17">
        <v>46113</v>
      </c>
      <c r="D177" s="69" t="str">
        <f>PROPER(TEXT(C177,"MMMM"))</f>
        <v>Abril</v>
      </c>
      <c r="E177" s="19" t="s">
        <v>15</v>
      </c>
      <c r="F177" s="20" t="s">
        <v>224</v>
      </c>
      <c r="G177" s="21" t="s">
        <v>1191</v>
      </c>
      <c r="H177" s="22" t="s">
        <v>75</v>
      </c>
      <c r="I177" s="27">
        <v>2200</v>
      </c>
      <c r="J177" s="104">
        <v>46117</v>
      </c>
      <c r="K177" s="24" t="s">
        <v>913</v>
      </c>
    </row>
    <row r="178" spans="3:11" ht="16.5" hidden="1" customHeight="1">
      <c r="C178" s="17">
        <v>46113</v>
      </c>
      <c r="D178" s="69" t="str">
        <f>PROPER(TEXT(C178,"MMMM"))</f>
        <v>Abril</v>
      </c>
      <c r="E178" s="19" t="s">
        <v>15</v>
      </c>
      <c r="F178" s="20" t="s">
        <v>224</v>
      </c>
      <c r="G178" s="21" t="s">
        <v>1215</v>
      </c>
      <c r="H178" s="22" t="s">
        <v>75</v>
      </c>
      <c r="I178" s="23">
        <v>198</v>
      </c>
      <c r="J178" s="104">
        <v>46113</v>
      </c>
      <c r="K178" s="24" t="s">
        <v>913</v>
      </c>
    </row>
    <row r="179" spans="3:11" ht="16.5" hidden="1" customHeight="1">
      <c r="C179" s="17">
        <v>46113</v>
      </c>
      <c r="D179" s="69" t="str">
        <f>PROPER(TEXT(C179,"MMMM"))</f>
        <v>Abril</v>
      </c>
      <c r="E179" s="19" t="s">
        <v>15</v>
      </c>
      <c r="F179" s="20" t="s">
        <v>225</v>
      </c>
      <c r="G179" s="21" t="s">
        <v>27</v>
      </c>
      <c r="H179" s="22" t="s">
        <v>23</v>
      </c>
      <c r="I179" s="23">
        <v>330</v>
      </c>
      <c r="J179" s="104">
        <v>46113</v>
      </c>
      <c r="K179" s="24" t="s">
        <v>913</v>
      </c>
    </row>
    <row r="180" spans="3:11" ht="16.5" hidden="1" customHeight="1">
      <c r="C180" s="17">
        <v>46113</v>
      </c>
      <c r="D180" s="69" t="str">
        <f>PROPER(TEXT(C180,"MMMM"))</f>
        <v>Abril</v>
      </c>
      <c r="E180" s="19" t="s">
        <v>15</v>
      </c>
      <c r="F180" s="20" t="s">
        <v>225</v>
      </c>
      <c r="G180" s="21" t="s">
        <v>20</v>
      </c>
      <c r="H180" s="22" t="s">
        <v>23</v>
      </c>
      <c r="I180" s="23">
        <v>11000</v>
      </c>
      <c r="J180" s="104">
        <v>46113</v>
      </c>
      <c r="K180" s="24" t="s">
        <v>913</v>
      </c>
    </row>
    <row r="181" spans="3:11" ht="16.5" hidden="1" customHeight="1">
      <c r="C181" s="17">
        <v>46113</v>
      </c>
      <c r="D181" s="69" t="str">
        <f>PROPER(TEXT(C181,"MMMM"))</f>
        <v>Abril</v>
      </c>
      <c r="E181" s="19" t="s">
        <v>15</v>
      </c>
      <c r="F181" s="20" t="s">
        <v>225</v>
      </c>
      <c r="G181" s="21" t="s">
        <v>33</v>
      </c>
      <c r="H181" s="22" t="s">
        <v>23</v>
      </c>
      <c r="I181" s="23">
        <v>220</v>
      </c>
      <c r="J181" s="104">
        <v>46113</v>
      </c>
      <c r="K181" s="24" t="s">
        <v>913</v>
      </c>
    </row>
    <row r="182" spans="3:11" ht="16.5" hidden="1" customHeight="1">
      <c r="C182" s="17">
        <v>46113</v>
      </c>
      <c r="D182" s="69" t="str">
        <f>PROPER(TEXT(C182,"MMMM"))</f>
        <v>Abril</v>
      </c>
      <c r="E182" s="19" t="s">
        <v>15</v>
      </c>
      <c r="F182" s="20" t="s">
        <v>226</v>
      </c>
      <c r="G182" s="21" t="s">
        <v>34</v>
      </c>
      <c r="H182" s="22" t="s">
        <v>75</v>
      </c>
      <c r="I182" s="23">
        <v>488.31</v>
      </c>
      <c r="J182" s="104">
        <v>46118</v>
      </c>
      <c r="K182" s="24" t="s">
        <v>913</v>
      </c>
    </row>
    <row r="183" spans="3:11" ht="16.5" hidden="1" customHeight="1">
      <c r="C183" s="17">
        <v>46113</v>
      </c>
      <c r="D183" s="69" t="str">
        <f>PROPER(TEXT(C183,"MMMM"))</f>
        <v>Abril</v>
      </c>
      <c r="E183" s="19" t="s">
        <v>16</v>
      </c>
      <c r="F183" s="20" t="s">
        <v>223</v>
      </c>
      <c r="G183" s="25" t="s">
        <v>118</v>
      </c>
      <c r="H183" s="22" t="s">
        <v>74</v>
      </c>
      <c r="I183" s="26">
        <v>4900</v>
      </c>
      <c r="J183" s="104">
        <v>46113</v>
      </c>
      <c r="K183" s="24" t="s">
        <v>913</v>
      </c>
    </row>
    <row r="184" spans="3:11" ht="16.5" hidden="1" customHeight="1">
      <c r="C184" s="17">
        <v>46113</v>
      </c>
      <c r="D184" s="69" t="str">
        <f>PROPER(TEXT(C184,"MMMM"))</f>
        <v>Abril</v>
      </c>
      <c r="E184" s="19" t="s">
        <v>16</v>
      </c>
      <c r="F184" s="20" t="s">
        <v>223</v>
      </c>
      <c r="G184" s="25" t="s">
        <v>157</v>
      </c>
      <c r="H184" s="22" t="s">
        <v>74</v>
      </c>
      <c r="I184" s="26">
        <v>2131</v>
      </c>
      <c r="J184" s="104">
        <v>46113</v>
      </c>
      <c r="K184" s="24" t="s">
        <v>913</v>
      </c>
    </row>
    <row r="185" spans="3:11" ht="16.5" hidden="1" customHeight="1">
      <c r="C185" s="17">
        <v>46113</v>
      </c>
      <c r="D185" s="69" t="str">
        <f>PROPER(TEXT(C185,"MMMM"))</f>
        <v>Abril</v>
      </c>
      <c r="E185" s="19" t="s">
        <v>16</v>
      </c>
      <c r="F185" s="20" t="s">
        <v>225</v>
      </c>
      <c r="G185" s="25" t="s">
        <v>35</v>
      </c>
      <c r="H185" s="22" t="s">
        <v>720</v>
      </c>
      <c r="I185" s="26">
        <v>1000</v>
      </c>
      <c r="J185" s="104">
        <v>46113</v>
      </c>
      <c r="K185" s="24" t="s">
        <v>913</v>
      </c>
    </row>
    <row r="186" spans="3:11" ht="16.5" hidden="1" customHeight="1">
      <c r="C186" s="17">
        <v>46113</v>
      </c>
      <c r="D186" s="69" t="str">
        <f>PROPER(TEXT(C186,"MMMM"))</f>
        <v>Abril</v>
      </c>
      <c r="E186" s="19" t="s">
        <v>16</v>
      </c>
      <c r="F186" s="20" t="s">
        <v>225</v>
      </c>
      <c r="G186" s="25" t="s">
        <v>27</v>
      </c>
      <c r="H186" s="22" t="s">
        <v>74</v>
      </c>
      <c r="I186" s="26">
        <v>200</v>
      </c>
      <c r="J186" s="104">
        <v>46113</v>
      </c>
      <c r="K186" s="24" t="s">
        <v>913</v>
      </c>
    </row>
    <row r="187" spans="3:11" ht="16.5" hidden="1" customHeight="1">
      <c r="C187" s="17">
        <v>46113</v>
      </c>
      <c r="D187" s="69" t="str">
        <f>PROPER(TEXT(C187,"MMMM"))</f>
        <v>Abril</v>
      </c>
      <c r="E187" s="19" t="s">
        <v>16</v>
      </c>
      <c r="F187" s="20" t="s">
        <v>225</v>
      </c>
      <c r="G187" s="21" t="s">
        <v>20</v>
      </c>
      <c r="H187" s="22" t="s">
        <v>74</v>
      </c>
      <c r="I187" s="27">
        <v>5000</v>
      </c>
      <c r="J187" s="104">
        <v>46113</v>
      </c>
      <c r="K187" s="24" t="s">
        <v>913</v>
      </c>
    </row>
    <row r="188" spans="3:11" ht="16.5" hidden="1" customHeight="1">
      <c r="C188" s="17">
        <v>46113</v>
      </c>
      <c r="D188" s="69" t="str">
        <f>PROPER(TEXT(C188,"MMMM"))</f>
        <v>Abril</v>
      </c>
      <c r="E188" s="19" t="s">
        <v>16</v>
      </c>
      <c r="F188" s="20" t="s">
        <v>225</v>
      </c>
      <c r="G188" s="21" t="s">
        <v>126</v>
      </c>
      <c r="H188" s="22" t="s">
        <v>720</v>
      </c>
      <c r="I188" s="27">
        <v>10000</v>
      </c>
      <c r="J188" s="104">
        <v>46113</v>
      </c>
      <c r="K188" s="24" t="s">
        <v>913</v>
      </c>
    </row>
    <row r="189" spans="3:11" ht="16.5" hidden="1" customHeight="1">
      <c r="C189" s="17">
        <v>46113</v>
      </c>
      <c r="D189" s="69" t="str">
        <f>PROPER(TEXT(C189,"MMMM"))</f>
        <v>Abril</v>
      </c>
      <c r="E189" s="19" t="s">
        <v>16</v>
      </c>
      <c r="F189" s="20" t="s">
        <v>225</v>
      </c>
      <c r="G189" s="21" t="s">
        <v>33</v>
      </c>
      <c r="H189" s="22" t="s">
        <v>74</v>
      </c>
      <c r="I189" s="27">
        <v>100</v>
      </c>
      <c r="J189" s="104">
        <v>46113</v>
      </c>
      <c r="K189" s="24" t="s">
        <v>913</v>
      </c>
    </row>
    <row r="190" spans="3:11" ht="16.5" hidden="1" customHeight="1">
      <c r="C190" s="17">
        <v>46113</v>
      </c>
      <c r="D190" s="69" t="str">
        <f>PROPER(TEXT(C190,"MMMM"))</f>
        <v>Abril</v>
      </c>
      <c r="E190" s="19" t="s">
        <v>16</v>
      </c>
      <c r="F190" s="20" t="s">
        <v>226</v>
      </c>
      <c r="G190" s="21" t="s">
        <v>116</v>
      </c>
      <c r="H190" s="22" t="s">
        <v>74</v>
      </c>
      <c r="I190" s="27">
        <v>1000</v>
      </c>
      <c r="J190" s="104">
        <v>46113</v>
      </c>
      <c r="K190" s="24" t="s">
        <v>913</v>
      </c>
    </row>
    <row r="191" spans="3:11" ht="16.5" hidden="1" customHeight="1">
      <c r="C191" s="17">
        <v>46122</v>
      </c>
      <c r="D191" s="69" t="str">
        <f>PROPER(TEXT(C191,"MMMM"))</f>
        <v>Abril</v>
      </c>
      <c r="E191" s="19" t="s">
        <v>14</v>
      </c>
      <c r="F191" s="20" t="s">
        <v>227</v>
      </c>
      <c r="G191" s="21" t="s">
        <v>48</v>
      </c>
      <c r="H191" s="22" t="s">
        <v>73</v>
      </c>
      <c r="I191" s="23">
        <v>2530.29</v>
      </c>
      <c r="J191" s="104">
        <v>46128</v>
      </c>
      <c r="K191" s="24" t="s">
        <v>913</v>
      </c>
    </row>
    <row r="192" spans="3:11" ht="16.5" hidden="1" customHeight="1">
      <c r="C192" s="17">
        <v>46126</v>
      </c>
      <c r="D192" s="69" t="str">
        <f>PROPER(TEXT(C192,"MMMM"))</f>
        <v>Abril</v>
      </c>
      <c r="E192" s="19" t="s">
        <v>12</v>
      </c>
      <c r="F192" s="20" t="s">
        <v>227</v>
      </c>
      <c r="G192" s="21" t="s">
        <v>1390</v>
      </c>
      <c r="H192" s="22" t="s">
        <v>1213</v>
      </c>
      <c r="I192" s="27">
        <v>600</v>
      </c>
      <c r="J192" s="104">
        <v>46126</v>
      </c>
      <c r="K192" s="24" t="s">
        <v>913</v>
      </c>
    </row>
    <row r="193" spans="3:11" ht="16.5" hidden="1" customHeight="1">
      <c r="C193" s="17">
        <v>46136</v>
      </c>
      <c r="D193" s="69" t="str">
        <f>PROPER(TEXT(C193,"MMMM"))</f>
        <v>Abril</v>
      </c>
      <c r="E193" s="19" t="s">
        <v>14</v>
      </c>
      <c r="F193" s="20" t="s">
        <v>223</v>
      </c>
      <c r="G193" s="21" t="s">
        <v>1409</v>
      </c>
      <c r="H193" s="22" t="s">
        <v>73</v>
      </c>
      <c r="I193" s="23">
        <v>1400</v>
      </c>
      <c r="J193" s="104">
        <v>46136</v>
      </c>
      <c r="K193" s="24" t="s">
        <v>913</v>
      </c>
    </row>
    <row r="194" spans="3:11" ht="16.5" hidden="1" customHeight="1">
      <c r="C194" s="17">
        <v>46136</v>
      </c>
      <c r="D194" s="69" t="str">
        <f>PROPER(TEXT(C194,"MMMM"))</f>
        <v>Abril</v>
      </c>
      <c r="E194" s="19" t="s">
        <v>16</v>
      </c>
      <c r="F194" s="20" t="s">
        <v>226</v>
      </c>
      <c r="G194" s="21" t="s">
        <v>1410</v>
      </c>
      <c r="H194" s="22" t="s">
        <v>74</v>
      </c>
      <c r="I194" s="23">
        <v>990</v>
      </c>
      <c r="J194" s="104">
        <v>46136</v>
      </c>
      <c r="K194" s="24" t="s">
        <v>913</v>
      </c>
    </row>
    <row r="195" spans="3:11" ht="16.5" hidden="1" customHeight="1">
      <c r="C195" s="17">
        <v>46140</v>
      </c>
      <c r="D195" s="69" t="str">
        <f>PROPER(TEXT(C195,"MMMM"))</f>
        <v>Abril</v>
      </c>
      <c r="E195" s="19" t="s">
        <v>14</v>
      </c>
      <c r="F195" s="20" t="s">
        <v>223</v>
      </c>
      <c r="G195" s="21" t="s">
        <v>932</v>
      </c>
      <c r="H195" s="22" t="s">
        <v>73</v>
      </c>
      <c r="I195" s="23">
        <v>1329.49</v>
      </c>
      <c r="J195" s="104">
        <v>46154</v>
      </c>
      <c r="K195" s="24" t="s">
        <v>151</v>
      </c>
    </row>
    <row r="196" spans="3:11" ht="16.5" hidden="1" customHeight="1">
      <c r="C196" s="17">
        <v>46140</v>
      </c>
      <c r="D196" s="69" t="str">
        <f>PROPER(TEXT(C196,"MMMM"))</f>
        <v>Abril</v>
      </c>
      <c r="E196" s="19" t="s">
        <v>14</v>
      </c>
      <c r="F196" s="20" t="s">
        <v>223</v>
      </c>
      <c r="G196" s="21" t="s">
        <v>938</v>
      </c>
      <c r="H196" s="22" t="s">
        <v>73</v>
      </c>
      <c r="I196" s="23">
        <v>204.78</v>
      </c>
      <c r="J196" s="104">
        <v>46154</v>
      </c>
      <c r="K196" s="24" t="s">
        <v>151</v>
      </c>
    </row>
    <row r="197" spans="3:11" ht="16.5" hidden="1" customHeight="1">
      <c r="C197" s="17">
        <v>46140</v>
      </c>
      <c r="D197" s="69" t="str">
        <f>PROPER(TEXT(C197,"MMMM"))</f>
        <v>Abril</v>
      </c>
      <c r="E197" s="19" t="s">
        <v>14</v>
      </c>
      <c r="F197" s="20" t="s">
        <v>223</v>
      </c>
      <c r="G197" s="25" t="s">
        <v>920</v>
      </c>
      <c r="H197" s="22" t="s">
        <v>73</v>
      </c>
      <c r="I197" s="23">
        <v>503.91</v>
      </c>
      <c r="J197" s="104">
        <v>46154</v>
      </c>
      <c r="K197" s="24" t="s">
        <v>151</v>
      </c>
    </row>
    <row r="198" spans="3:11" ht="16.5" hidden="1" customHeight="1">
      <c r="C198" s="17">
        <v>46140</v>
      </c>
      <c r="D198" s="69" t="str">
        <f>PROPER(TEXT(C198,"MMMM"))</f>
        <v>Abril</v>
      </c>
      <c r="E198" s="19" t="s">
        <v>14</v>
      </c>
      <c r="F198" s="20" t="s">
        <v>223</v>
      </c>
      <c r="G198" s="21" t="s">
        <v>45</v>
      </c>
      <c r="H198" s="22" t="s">
        <v>73</v>
      </c>
      <c r="I198" s="23">
        <v>13616.54</v>
      </c>
      <c r="J198" s="104">
        <v>46144</v>
      </c>
      <c r="K198" s="24" t="s">
        <v>151</v>
      </c>
    </row>
    <row r="199" spans="3:11" ht="16.5" hidden="1" customHeight="1">
      <c r="C199" s="17">
        <v>46140</v>
      </c>
      <c r="D199" s="69" t="str">
        <f>PROPER(TEXT(C199,"MMMM"))</f>
        <v>Abril</v>
      </c>
      <c r="E199" s="19" t="s">
        <v>14</v>
      </c>
      <c r="F199" s="20" t="s">
        <v>223</v>
      </c>
      <c r="G199" s="21" t="s">
        <v>26</v>
      </c>
      <c r="H199" s="22" t="s">
        <v>73</v>
      </c>
      <c r="I199" s="27">
        <v>2000</v>
      </c>
      <c r="J199" s="104">
        <v>46144</v>
      </c>
      <c r="K199" s="24" t="s">
        <v>151</v>
      </c>
    </row>
    <row r="200" spans="3:11" ht="16.5" hidden="1" customHeight="1">
      <c r="C200" s="17">
        <v>46140</v>
      </c>
      <c r="D200" s="69" t="str">
        <f>PROPER(TEXT(C200,"MMMM"))</f>
        <v>Abril</v>
      </c>
      <c r="E200" s="19" t="s">
        <v>14</v>
      </c>
      <c r="F200" s="20" t="s">
        <v>225</v>
      </c>
      <c r="G200" s="21" t="s">
        <v>27</v>
      </c>
      <c r="H200" s="22" t="s">
        <v>19</v>
      </c>
      <c r="I200" s="27">
        <v>300</v>
      </c>
      <c r="J200" s="104">
        <v>46144</v>
      </c>
      <c r="K200" s="24" t="s">
        <v>151</v>
      </c>
    </row>
    <row r="201" spans="3:11" ht="16.5" hidden="1" customHeight="1">
      <c r="C201" s="17">
        <v>46140</v>
      </c>
      <c r="D201" s="69" t="str">
        <f>PROPER(TEXT(C201,"MMMM"))</f>
        <v>Abril</v>
      </c>
      <c r="E201" s="19" t="s">
        <v>14</v>
      </c>
      <c r="F201" s="20" t="s">
        <v>225</v>
      </c>
      <c r="G201" s="21" t="s">
        <v>20</v>
      </c>
      <c r="H201" s="22" t="s">
        <v>19</v>
      </c>
      <c r="I201" s="27">
        <v>3105</v>
      </c>
      <c r="J201" s="104">
        <v>46144</v>
      </c>
      <c r="K201" s="24" t="s">
        <v>151</v>
      </c>
    </row>
    <row r="202" spans="3:11" ht="16.5" hidden="1" customHeight="1">
      <c r="C202" s="17">
        <v>46140</v>
      </c>
      <c r="D202" s="69" t="str">
        <f>PROPER(TEXT(C202,"MMMM"))</f>
        <v>Abril</v>
      </c>
      <c r="E202" s="19" t="s">
        <v>14</v>
      </c>
      <c r="F202" s="20" t="s">
        <v>225</v>
      </c>
      <c r="G202" s="21" t="s">
        <v>33</v>
      </c>
      <c r="H202" s="22" t="s">
        <v>19</v>
      </c>
      <c r="I202" s="27">
        <v>713.25</v>
      </c>
      <c r="J202" s="104">
        <v>46144</v>
      </c>
      <c r="K202" s="24" t="s">
        <v>151</v>
      </c>
    </row>
    <row r="203" spans="3:11" ht="16.5" hidden="1" customHeight="1">
      <c r="C203" s="17">
        <v>46140</v>
      </c>
      <c r="D203" s="69" t="str">
        <f>PROPER(TEXT(C203,"MMMM"))</f>
        <v>Abril</v>
      </c>
      <c r="E203" s="19" t="s">
        <v>14</v>
      </c>
      <c r="F203" s="20" t="s">
        <v>226</v>
      </c>
      <c r="G203" s="21" t="s">
        <v>29</v>
      </c>
      <c r="H203" s="22" t="s">
        <v>19</v>
      </c>
      <c r="I203" s="27">
        <v>150</v>
      </c>
      <c r="J203" s="104">
        <v>46144</v>
      </c>
      <c r="K203" s="24" t="s">
        <v>151</v>
      </c>
    </row>
    <row r="204" spans="3:11" ht="16.5" hidden="1" customHeight="1">
      <c r="C204" s="17">
        <v>46140</v>
      </c>
      <c r="D204" s="69" t="str">
        <f>PROPER(TEXT(C204,"MMMM"))</f>
        <v>Abril</v>
      </c>
      <c r="E204" s="19" t="s">
        <v>14</v>
      </c>
      <c r="F204" s="20" t="s">
        <v>226</v>
      </c>
      <c r="G204" s="21" t="s">
        <v>1341</v>
      </c>
      <c r="H204" s="22" t="s">
        <v>73</v>
      </c>
      <c r="I204" s="23">
        <v>1048.57</v>
      </c>
      <c r="J204" s="104">
        <v>46157</v>
      </c>
      <c r="K204" s="24" t="s">
        <v>151</v>
      </c>
    </row>
    <row r="205" spans="3:11" ht="16.5" hidden="1" customHeight="1">
      <c r="C205" s="17">
        <v>46140</v>
      </c>
      <c r="D205" s="69" t="str">
        <f>PROPER(TEXT(C205,"MMMM"))</f>
        <v>Abril</v>
      </c>
      <c r="E205" s="19" t="s">
        <v>14</v>
      </c>
      <c r="F205" s="20" t="s">
        <v>227</v>
      </c>
      <c r="G205" s="21" t="s">
        <v>49</v>
      </c>
      <c r="H205" s="22" t="s">
        <v>73</v>
      </c>
      <c r="I205" s="27">
        <v>529.67999999999995</v>
      </c>
      <c r="J205" s="104">
        <v>46162</v>
      </c>
      <c r="K205" s="24" t="s">
        <v>151</v>
      </c>
    </row>
    <row r="206" spans="3:11" ht="16.5" hidden="1" customHeight="1">
      <c r="C206" s="17">
        <v>46140</v>
      </c>
      <c r="D206" s="69" t="str">
        <f>PROPER(TEXT(C206,"MMMM"))</f>
        <v>Abril</v>
      </c>
      <c r="E206" s="19" t="s">
        <v>14</v>
      </c>
      <c r="F206" s="20" t="s">
        <v>227</v>
      </c>
      <c r="G206" s="21" t="s">
        <v>532</v>
      </c>
      <c r="H206" s="22" t="s">
        <v>73</v>
      </c>
      <c r="I206" s="27">
        <v>2299.3200000000002</v>
      </c>
      <c r="J206" s="104">
        <v>46147</v>
      </c>
      <c r="K206" s="24" t="s">
        <v>151</v>
      </c>
    </row>
    <row r="207" spans="3:11" ht="16.5" hidden="1" customHeight="1">
      <c r="C207" s="17">
        <v>46140</v>
      </c>
      <c r="D207" s="69" t="str">
        <f>PROPER(TEXT(C207,"MMMM"))</f>
        <v>Abril</v>
      </c>
      <c r="E207" s="19" t="s">
        <v>14</v>
      </c>
      <c r="F207" s="20" t="s">
        <v>227</v>
      </c>
      <c r="G207" s="21" t="s">
        <v>533</v>
      </c>
      <c r="H207" s="22" t="s">
        <v>73</v>
      </c>
      <c r="I207" s="27">
        <v>1566.97</v>
      </c>
      <c r="J207" s="104">
        <v>46147</v>
      </c>
      <c r="K207" s="24" t="s">
        <v>151</v>
      </c>
    </row>
    <row r="208" spans="3:11" ht="16.5" hidden="1" customHeight="1">
      <c r="C208" s="17">
        <v>46140</v>
      </c>
      <c r="D208" s="69" t="str">
        <f>PROPER(TEXT(C208,"MMMM"))</f>
        <v>Abril</v>
      </c>
      <c r="E208" s="19" t="s">
        <v>14</v>
      </c>
      <c r="F208" s="20" t="s">
        <v>227</v>
      </c>
      <c r="G208" s="21" t="s">
        <v>1170</v>
      </c>
      <c r="H208" s="22" t="s">
        <v>73</v>
      </c>
      <c r="I208" s="27">
        <v>2299.3200000000002</v>
      </c>
      <c r="J208" s="104">
        <v>46147</v>
      </c>
      <c r="K208" s="24" t="s">
        <v>151</v>
      </c>
    </row>
    <row r="209" spans="3:11" ht="16.5" hidden="1" customHeight="1">
      <c r="C209" s="17">
        <v>46140</v>
      </c>
      <c r="D209" s="69" t="str">
        <f>PROPER(TEXT(C209,"MMMM"))</f>
        <v>Abril</v>
      </c>
      <c r="E209" s="19" t="s">
        <v>14</v>
      </c>
      <c r="F209" s="20" t="s">
        <v>227</v>
      </c>
      <c r="G209" s="21" t="s">
        <v>50</v>
      </c>
      <c r="H209" s="22" t="s">
        <v>73</v>
      </c>
      <c r="I209" s="27">
        <v>468.63</v>
      </c>
      <c r="J209" s="104">
        <v>46162</v>
      </c>
      <c r="K209" s="24" t="s">
        <v>151</v>
      </c>
    </row>
    <row r="210" spans="3:11" ht="16.5" hidden="1" customHeight="1">
      <c r="C210" s="17">
        <v>46140</v>
      </c>
      <c r="D210" s="69" t="str">
        <f>PROPER(TEXT(C210,"MMMM"))</f>
        <v>Abril</v>
      </c>
      <c r="E210" s="19" t="s">
        <v>14</v>
      </c>
      <c r="F210" s="20" t="s">
        <v>227</v>
      </c>
      <c r="G210" s="21" t="s">
        <v>630</v>
      </c>
      <c r="H210" s="22" t="s">
        <v>73</v>
      </c>
      <c r="I210" s="27">
        <v>450</v>
      </c>
      <c r="J210" s="104">
        <v>46144</v>
      </c>
      <c r="K210" s="24" t="s">
        <v>151</v>
      </c>
    </row>
    <row r="211" spans="3:11" ht="16.5" hidden="1" customHeight="1">
      <c r="C211" s="17">
        <v>46140</v>
      </c>
      <c r="D211" s="69" t="str">
        <f>PROPER(TEXT(C211,"MMMM"))</f>
        <v>Abril</v>
      </c>
      <c r="E211" s="19" t="s">
        <v>14</v>
      </c>
      <c r="F211" s="20" t="s">
        <v>227</v>
      </c>
      <c r="G211" s="21" t="s">
        <v>631</v>
      </c>
      <c r="H211" s="22" t="s">
        <v>73</v>
      </c>
      <c r="I211" s="27">
        <v>350</v>
      </c>
      <c r="J211" s="104">
        <v>46144</v>
      </c>
      <c r="K211" s="24" t="s">
        <v>151</v>
      </c>
    </row>
    <row r="212" spans="3:11" ht="16.5" hidden="1" customHeight="1">
      <c r="C212" s="17">
        <v>46140</v>
      </c>
      <c r="D212" s="69" t="str">
        <f>PROPER(TEXT(C212,"MMMM"))</f>
        <v>Abril</v>
      </c>
      <c r="E212" s="19" t="s">
        <v>14</v>
      </c>
      <c r="F212" s="20" t="s">
        <v>227</v>
      </c>
      <c r="G212" s="21" t="s">
        <v>1173</v>
      </c>
      <c r="H212" s="22" t="s">
        <v>73</v>
      </c>
      <c r="I212" s="26">
        <v>450</v>
      </c>
      <c r="J212" s="104">
        <v>46144</v>
      </c>
      <c r="K212" s="24" t="s">
        <v>151</v>
      </c>
    </row>
    <row r="213" spans="3:11" ht="16.5" hidden="1" customHeight="1">
      <c r="C213" s="17">
        <v>46140</v>
      </c>
      <c r="D213" s="69" t="str">
        <f>PROPER(TEXT(C213,"MMMM"))</f>
        <v>Abril</v>
      </c>
      <c r="E213" s="19" t="s">
        <v>15</v>
      </c>
      <c r="F213" s="20" t="s">
        <v>223</v>
      </c>
      <c r="G213" s="21" t="s">
        <v>87</v>
      </c>
      <c r="H213" s="22" t="s">
        <v>75</v>
      </c>
      <c r="I213" s="26">
        <v>643</v>
      </c>
      <c r="J213" s="104">
        <v>46152</v>
      </c>
      <c r="K213" s="24" t="s">
        <v>151</v>
      </c>
    </row>
    <row r="214" spans="3:11" ht="16.5" hidden="1" customHeight="1">
      <c r="C214" s="17">
        <v>46140</v>
      </c>
      <c r="D214" s="69" t="str">
        <f>PROPER(TEXT(C214,"MMMM"))</f>
        <v>Abril</v>
      </c>
      <c r="E214" s="19" t="s">
        <v>15</v>
      </c>
      <c r="F214" s="20" t="s">
        <v>223</v>
      </c>
      <c r="G214" s="21" t="s">
        <v>90</v>
      </c>
      <c r="H214" s="22" t="s">
        <v>75</v>
      </c>
      <c r="I214" s="27">
        <v>400</v>
      </c>
      <c r="J214" s="104">
        <v>46144</v>
      </c>
      <c r="K214" s="24" t="s">
        <v>151</v>
      </c>
    </row>
    <row r="215" spans="3:11" ht="16.5" hidden="1" customHeight="1">
      <c r="C215" s="17">
        <v>46140</v>
      </c>
      <c r="D215" s="69" t="str">
        <f>PROPER(TEXT(C215,"MMMM"))</f>
        <v>Abril</v>
      </c>
      <c r="E215" s="19" t="s">
        <v>15</v>
      </c>
      <c r="F215" s="20" t="s">
        <v>223</v>
      </c>
      <c r="G215" s="21" t="s">
        <v>88</v>
      </c>
      <c r="H215" s="22" t="s">
        <v>75</v>
      </c>
      <c r="I215" s="23">
        <v>220</v>
      </c>
      <c r="J215" s="104">
        <v>46144</v>
      </c>
      <c r="K215" s="24" t="s">
        <v>151</v>
      </c>
    </row>
    <row r="216" spans="3:11" ht="16.5" hidden="1" customHeight="1">
      <c r="C216" s="17">
        <v>46140</v>
      </c>
      <c r="D216" s="69" t="str">
        <f>PROPER(TEXT(C216,"MMMM"))</f>
        <v>Abril</v>
      </c>
      <c r="E216" s="19" t="s">
        <v>15</v>
      </c>
      <c r="F216" s="20" t="s">
        <v>224</v>
      </c>
      <c r="G216" s="21" t="s">
        <v>1190</v>
      </c>
      <c r="H216" s="22" t="s">
        <v>75</v>
      </c>
      <c r="I216" s="26">
        <v>700.68</v>
      </c>
      <c r="J216" s="104">
        <v>46162</v>
      </c>
      <c r="K216" s="24" t="s">
        <v>151</v>
      </c>
    </row>
    <row r="217" spans="3:11" ht="16.5" hidden="1" customHeight="1">
      <c r="C217" s="17">
        <v>46140</v>
      </c>
      <c r="D217" s="69" t="str">
        <f>PROPER(TEXT(C217,"MMMM"))</f>
        <v>Abril</v>
      </c>
      <c r="E217" s="19" t="s">
        <v>15</v>
      </c>
      <c r="F217" s="20" t="s">
        <v>224</v>
      </c>
      <c r="G217" s="21" t="s">
        <v>1191</v>
      </c>
      <c r="H217" s="22" t="s">
        <v>75</v>
      </c>
      <c r="I217" s="27">
        <v>3000.32</v>
      </c>
      <c r="J217" s="104">
        <v>46147</v>
      </c>
      <c r="K217" s="24" t="s">
        <v>151</v>
      </c>
    </row>
    <row r="218" spans="3:11" ht="16.5" hidden="1" customHeight="1">
      <c r="C218" s="17">
        <v>46140</v>
      </c>
      <c r="D218" s="69" t="str">
        <f>PROPER(TEXT(C218,"MMMM"))</f>
        <v>Abril</v>
      </c>
      <c r="E218" s="19" t="s">
        <v>15</v>
      </c>
      <c r="F218" s="20" t="s">
        <v>224</v>
      </c>
      <c r="G218" s="21" t="s">
        <v>1215</v>
      </c>
      <c r="H218" s="22" t="s">
        <v>75</v>
      </c>
      <c r="I218" s="27">
        <v>198</v>
      </c>
      <c r="J218" s="104">
        <v>46144</v>
      </c>
      <c r="K218" s="24" t="s">
        <v>151</v>
      </c>
    </row>
    <row r="219" spans="3:11" ht="16.5" hidden="1" customHeight="1">
      <c r="C219" s="17">
        <v>46140</v>
      </c>
      <c r="D219" s="69" t="str">
        <f>PROPER(TEXT(C219,"MMMM"))</f>
        <v>Abril</v>
      </c>
      <c r="E219" s="19" t="s">
        <v>15</v>
      </c>
      <c r="F219" s="20" t="s">
        <v>225</v>
      </c>
      <c r="G219" s="21" t="s">
        <v>27</v>
      </c>
      <c r="H219" s="22" t="s">
        <v>23</v>
      </c>
      <c r="I219" s="23">
        <v>330</v>
      </c>
      <c r="J219" s="104">
        <v>46144</v>
      </c>
      <c r="K219" s="24" t="s">
        <v>151</v>
      </c>
    </row>
    <row r="220" spans="3:11" ht="16.5" hidden="1" customHeight="1">
      <c r="C220" s="17">
        <v>46140</v>
      </c>
      <c r="D220" s="69" t="str">
        <f>PROPER(TEXT(C220,"MMMM"))</f>
        <v>Abril</v>
      </c>
      <c r="E220" s="19" t="s">
        <v>15</v>
      </c>
      <c r="F220" s="20" t="s">
        <v>225</v>
      </c>
      <c r="G220" s="21" t="s">
        <v>20</v>
      </c>
      <c r="H220" s="22" t="s">
        <v>23</v>
      </c>
      <c r="I220" s="23">
        <v>11000</v>
      </c>
      <c r="J220" s="104">
        <v>46144</v>
      </c>
      <c r="K220" s="24" t="s">
        <v>151</v>
      </c>
    </row>
    <row r="221" spans="3:11" ht="16.5" hidden="1" customHeight="1">
      <c r="C221" s="17">
        <v>46140</v>
      </c>
      <c r="D221" s="69" t="str">
        <f>PROPER(TEXT(C221,"MMMM"))</f>
        <v>Abril</v>
      </c>
      <c r="E221" s="19" t="s">
        <v>15</v>
      </c>
      <c r="F221" s="20" t="s">
        <v>225</v>
      </c>
      <c r="G221" s="21" t="s">
        <v>78</v>
      </c>
      <c r="H221" s="22" t="s">
        <v>23</v>
      </c>
      <c r="I221" s="23">
        <v>6000</v>
      </c>
      <c r="J221" s="104">
        <v>46144</v>
      </c>
      <c r="K221" s="24" t="s">
        <v>151</v>
      </c>
    </row>
    <row r="222" spans="3:11" ht="16.5" hidden="1" customHeight="1">
      <c r="C222" s="17">
        <v>46140</v>
      </c>
      <c r="D222" s="69" t="str">
        <f>PROPER(TEXT(C222,"MMMM"))</f>
        <v>Abril</v>
      </c>
      <c r="E222" s="19" t="s">
        <v>15</v>
      </c>
      <c r="F222" s="20" t="s">
        <v>225</v>
      </c>
      <c r="G222" s="21" t="s">
        <v>33</v>
      </c>
      <c r="H222" s="22" t="s">
        <v>23</v>
      </c>
      <c r="I222" s="23">
        <v>220</v>
      </c>
      <c r="J222" s="104">
        <v>46144</v>
      </c>
      <c r="K222" s="24" t="s">
        <v>151</v>
      </c>
    </row>
    <row r="223" spans="3:11" ht="16.5" hidden="1" customHeight="1">
      <c r="C223" s="17">
        <v>46140</v>
      </c>
      <c r="D223" s="69" t="str">
        <f>PROPER(TEXT(C223,"MMMM"))</f>
        <v>Abril</v>
      </c>
      <c r="E223" s="19" t="s">
        <v>16</v>
      </c>
      <c r="F223" s="20" t="s">
        <v>223</v>
      </c>
      <c r="G223" s="21" t="s">
        <v>118</v>
      </c>
      <c r="H223" s="22" t="s">
        <v>1416</v>
      </c>
      <c r="I223" s="23">
        <v>4900</v>
      </c>
      <c r="J223" s="104">
        <v>46144</v>
      </c>
      <c r="K223" s="24" t="s">
        <v>151</v>
      </c>
    </row>
    <row r="224" spans="3:11" ht="16.5" hidden="1" customHeight="1">
      <c r="C224" s="17">
        <v>46140</v>
      </c>
      <c r="D224" s="69" t="str">
        <f>PROPER(TEXT(C224,"MMMM"))</f>
        <v>Abril</v>
      </c>
      <c r="E224" s="19" t="s">
        <v>16</v>
      </c>
      <c r="F224" s="20" t="s">
        <v>223</v>
      </c>
      <c r="G224" s="21" t="s">
        <v>157</v>
      </c>
      <c r="H224" s="22" t="s">
        <v>1416</v>
      </c>
      <c r="I224" s="23">
        <v>2131</v>
      </c>
      <c r="J224" s="104">
        <v>46144</v>
      </c>
      <c r="K224" s="24" t="s">
        <v>151</v>
      </c>
    </row>
    <row r="225" spans="3:11" ht="16.5" hidden="1" customHeight="1">
      <c r="C225" s="17">
        <v>46140</v>
      </c>
      <c r="D225" s="69" t="str">
        <f>PROPER(TEXT(C225,"MMMM"))</f>
        <v>Abril</v>
      </c>
      <c r="E225" s="19" t="s">
        <v>16</v>
      </c>
      <c r="F225" s="20" t="s">
        <v>225</v>
      </c>
      <c r="G225" s="21" t="s">
        <v>35</v>
      </c>
      <c r="H225" s="22" t="s">
        <v>720</v>
      </c>
      <c r="I225" s="23">
        <v>1000</v>
      </c>
      <c r="J225" s="104">
        <v>46144</v>
      </c>
      <c r="K225" s="24" t="s">
        <v>151</v>
      </c>
    </row>
    <row r="226" spans="3:11" ht="16.5" hidden="1" customHeight="1">
      <c r="C226" s="17">
        <v>46140</v>
      </c>
      <c r="D226" s="69" t="str">
        <f>PROPER(TEXT(C226,"MMMM"))</f>
        <v>Abril</v>
      </c>
      <c r="E226" s="19" t="s">
        <v>16</v>
      </c>
      <c r="F226" s="20" t="s">
        <v>225</v>
      </c>
      <c r="G226" s="21" t="s">
        <v>27</v>
      </c>
      <c r="H226" s="22" t="s">
        <v>1416</v>
      </c>
      <c r="I226" s="23">
        <v>200</v>
      </c>
      <c r="J226" s="104">
        <v>46144</v>
      </c>
      <c r="K226" s="24" t="s">
        <v>151</v>
      </c>
    </row>
    <row r="227" spans="3:11" ht="16.5" hidden="1" customHeight="1">
      <c r="C227" s="17">
        <v>46140</v>
      </c>
      <c r="D227" s="69" t="str">
        <f>PROPER(TEXT(C227,"MMMM"))</f>
        <v>Abril</v>
      </c>
      <c r="E227" s="19" t="s">
        <v>16</v>
      </c>
      <c r="F227" s="20" t="s">
        <v>225</v>
      </c>
      <c r="G227" s="21" t="s">
        <v>20</v>
      </c>
      <c r="H227" s="22" t="s">
        <v>1416</v>
      </c>
      <c r="I227" s="23">
        <v>5000</v>
      </c>
      <c r="J227" s="104">
        <v>46144</v>
      </c>
      <c r="K227" s="24" t="s">
        <v>151</v>
      </c>
    </row>
    <row r="228" spans="3:11" ht="16.5" hidden="1" customHeight="1">
      <c r="C228" s="17">
        <v>46140</v>
      </c>
      <c r="D228" s="69" t="str">
        <f>PROPER(TEXT(C228,"MMMM"))</f>
        <v>Abril</v>
      </c>
      <c r="E228" s="19" t="s">
        <v>16</v>
      </c>
      <c r="F228" s="20" t="s">
        <v>225</v>
      </c>
      <c r="G228" s="21" t="s">
        <v>33</v>
      </c>
      <c r="H228" s="22" t="s">
        <v>1416</v>
      </c>
      <c r="I228" s="27">
        <v>100</v>
      </c>
      <c r="J228" s="104">
        <v>46144</v>
      </c>
      <c r="K228" s="24" t="s">
        <v>151</v>
      </c>
    </row>
    <row r="229" spans="3:11" ht="16.5" hidden="1" customHeight="1">
      <c r="C229" s="17">
        <v>46140</v>
      </c>
      <c r="D229" s="69" t="str">
        <f>PROPER(TEXT(C229,"MMMM"))</f>
        <v>Abril</v>
      </c>
      <c r="E229" s="19" t="s">
        <v>16</v>
      </c>
      <c r="F229" s="20" t="s">
        <v>226</v>
      </c>
      <c r="G229" s="21" t="s">
        <v>116</v>
      </c>
      <c r="H229" s="22" t="s">
        <v>1416</v>
      </c>
      <c r="I229" s="27">
        <v>1000</v>
      </c>
      <c r="J229" s="104">
        <v>46144</v>
      </c>
      <c r="K229" s="24" t="s">
        <v>151</v>
      </c>
    </row>
    <row r="230" spans="3:11" ht="16.5" customHeight="1">
      <c r="C230" s="17">
        <v>46146</v>
      </c>
      <c r="D230" s="69" t="str">
        <f>PROPER(TEXT(C230,"MMMM"))</f>
        <v>Maio</v>
      </c>
      <c r="E230" s="19" t="s">
        <v>14</v>
      </c>
      <c r="F230" s="20" t="s">
        <v>226</v>
      </c>
      <c r="G230" s="21" t="s">
        <v>32</v>
      </c>
      <c r="H230" s="22" t="s">
        <v>73</v>
      </c>
      <c r="I230" s="23">
        <v>587.86</v>
      </c>
      <c r="J230" s="104">
        <v>46148</v>
      </c>
      <c r="K230" s="24" t="s">
        <v>151</v>
      </c>
    </row>
    <row r="231" spans="3:11" ht="16.5" customHeight="1">
      <c r="C231" s="17">
        <v>46147</v>
      </c>
      <c r="D231" s="69" t="str">
        <f>PROPER(TEXT(C231,"MMMM"))</f>
        <v>Maio</v>
      </c>
      <c r="E231" s="19" t="s">
        <v>15</v>
      </c>
      <c r="F231" s="20" t="s">
        <v>223</v>
      </c>
      <c r="G231" s="21" t="s">
        <v>85</v>
      </c>
      <c r="H231" s="22" t="s">
        <v>75</v>
      </c>
      <c r="I231" s="23">
        <v>226.29</v>
      </c>
      <c r="J231" s="104">
        <v>46157</v>
      </c>
      <c r="K231" s="24" t="s">
        <v>151</v>
      </c>
    </row>
    <row r="232" spans="3:11" ht="16.5" customHeight="1">
      <c r="C232" s="17">
        <v>46147</v>
      </c>
      <c r="D232" s="69" t="str">
        <f>PROPER(TEXT(C232,"MMMM"))</f>
        <v>Maio</v>
      </c>
      <c r="E232" s="19" t="s">
        <v>15</v>
      </c>
      <c r="F232" s="20" t="s">
        <v>223</v>
      </c>
      <c r="G232" s="21" t="s">
        <v>86</v>
      </c>
      <c r="H232" s="22" t="s">
        <v>75</v>
      </c>
      <c r="I232" s="23">
        <v>1900</v>
      </c>
      <c r="J232" s="104">
        <v>46152</v>
      </c>
      <c r="K232" s="24" t="s">
        <v>151</v>
      </c>
    </row>
    <row r="233" spans="3:11" ht="16.5" customHeight="1">
      <c r="C233" s="17">
        <v>46147</v>
      </c>
      <c r="D233" s="69" t="str">
        <f>PROPER(TEXT(C233,"MMMM"))</f>
        <v>Maio</v>
      </c>
      <c r="E233" s="19" t="s">
        <v>15</v>
      </c>
      <c r="F233" s="20" t="s">
        <v>226</v>
      </c>
      <c r="G233" s="21" t="s">
        <v>34</v>
      </c>
      <c r="H233" s="22" t="s">
        <v>75</v>
      </c>
      <c r="I233" s="23">
        <v>498.71</v>
      </c>
      <c r="J233" s="104">
        <v>46148</v>
      </c>
      <c r="K233" s="24" t="s">
        <v>151</v>
      </c>
    </row>
    <row r="234" spans="3:11" ht="16.5" customHeight="1">
      <c r="C234" s="17">
        <v>46152</v>
      </c>
      <c r="D234" s="69" t="str">
        <f>PROPER(TEXT(C234,"MMMM"))</f>
        <v>Maio</v>
      </c>
      <c r="E234" s="19" t="s">
        <v>14</v>
      </c>
      <c r="F234" s="20" t="s">
        <v>227</v>
      </c>
      <c r="G234" s="21" t="s">
        <v>48</v>
      </c>
      <c r="H234" s="22" t="s">
        <v>73</v>
      </c>
      <c r="I234" s="27">
        <v>860.91</v>
      </c>
      <c r="J234" s="104">
        <v>46158</v>
      </c>
      <c r="K234" s="24" t="s">
        <v>28</v>
      </c>
    </row>
    <row r="235" spans="3:11" ht="16.5" customHeight="1">
      <c r="C235" s="17">
        <v>46172</v>
      </c>
      <c r="D235" s="69" t="str">
        <f>PROPER(TEXT(C235,"MMMM"))</f>
        <v>Maio</v>
      </c>
      <c r="E235" s="19" t="s">
        <v>14</v>
      </c>
      <c r="F235" s="20" t="s">
        <v>226</v>
      </c>
      <c r="G235" s="21" t="s">
        <v>829</v>
      </c>
      <c r="H235" s="22" t="s">
        <v>73</v>
      </c>
      <c r="I235" s="27">
        <v>6847.64</v>
      </c>
      <c r="J235" s="104" t="s">
        <v>131</v>
      </c>
      <c r="K235" s="24" t="s">
        <v>28</v>
      </c>
    </row>
    <row r="236" spans="3:11" ht="16.5" customHeight="1">
      <c r="C236" s="17">
        <v>46172</v>
      </c>
      <c r="D236" s="69" t="str">
        <f>PROPER(TEXT(C236,"MMMM"))</f>
        <v>Maio</v>
      </c>
      <c r="E236" s="19" t="s">
        <v>14</v>
      </c>
      <c r="F236" s="20" t="s">
        <v>227</v>
      </c>
      <c r="G236" s="21" t="s">
        <v>828</v>
      </c>
      <c r="H236" s="22" t="s">
        <v>73</v>
      </c>
      <c r="I236" s="23">
        <v>3750</v>
      </c>
      <c r="J236" s="104" t="s">
        <v>131</v>
      </c>
      <c r="K236" s="24" t="s">
        <v>28</v>
      </c>
    </row>
    <row r="237" spans="3:11" ht="16.5" customHeight="1">
      <c r="C237" s="17">
        <v>46172</v>
      </c>
      <c r="D237" s="69" t="str">
        <f>PROPER(TEXT(C237,"MMMM"))</f>
        <v>Maio</v>
      </c>
      <c r="E237" s="19" t="s">
        <v>15</v>
      </c>
      <c r="F237" s="20" t="s">
        <v>226</v>
      </c>
      <c r="G237" s="21" t="s">
        <v>117</v>
      </c>
      <c r="H237" s="22" t="s">
        <v>75</v>
      </c>
      <c r="I237" s="27">
        <v>6000</v>
      </c>
      <c r="J237" s="104" t="s">
        <v>131</v>
      </c>
      <c r="K237" s="24" t="s">
        <v>28</v>
      </c>
    </row>
    <row r="238" spans="3:11" ht="16.5" customHeight="1">
      <c r="C238" s="17">
        <v>46172</v>
      </c>
      <c r="D238" s="69" t="str">
        <f>PROPER(TEXT(C238,"MMMM"))</f>
        <v>Maio</v>
      </c>
      <c r="E238" s="19" t="s">
        <v>15</v>
      </c>
      <c r="F238" s="20" t="s">
        <v>226</v>
      </c>
      <c r="G238" s="21" t="s">
        <v>124</v>
      </c>
      <c r="H238" s="22" t="s">
        <v>75</v>
      </c>
      <c r="I238" s="27">
        <v>7000</v>
      </c>
      <c r="J238" s="104" t="s">
        <v>131</v>
      </c>
      <c r="K238" s="24" t="s">
        <v>28</v>
      </c>
    </row>
    <row r="239" spans="3:11" ht="16.5" hidden="1" customHeight="1">
      <c r="C239" s="17">
        <v>46174</v>
      </c>
      <c r="D239" s="69" t="str">
        <f>PROPER(TEXT(C239,"MMMM"))</f>
        <v>Junho</v>
      </c>
      <c r="E239" s="19" t="s">
        <v>14</v>
      </c>
      <c r="F239" s="20" t="s">
        <v>223</v>
      </c>
      <c r="G239" s="21" t="s">
        <v>933</v>
      </c>
      <c r="H239" s="22" t="s">
        <v>73</v>
      </c>
      <c r="I239" s="23">
        <v>1329.49</v>
      </c>
      <c r="J239" s="104">
        <v>46185</v>
      </c>
      <c r="K239" s="24" t="s">
        <v>28</v>
      </c>
    </row>
    <row r="240" spans="3:11" ht="16.5" hidden="1" customHeight="1">
      <c r="C240" s="17">
        <v>46174</v>
      </c>
      <c r="D240" s="69" t="str">
        <f>PROPER(TEXT(C240,"MMMM"))</f>
        <v>Junho</v>
      </c>
      <c r="E240" s="19" t="s">
        <v>14</v>
      </c>
      <c r="F240" s="20" t="s">
        <v>223</v>
      </c>
      <c r="G240" s="21" t="s">
        <v>939</v>
      </c>
      <c r="H240" s="22" t="s">
        <v>73</v>
      </c>
      <c r="I240" s="23">
        <v>204.78</v>
      </c>
      <c r="J240" s="104">
        <v>46185</v>
      </c>
      <c r="K240" s="24" t="s">
        <v>28</v>
      </c>
    </row>
    <row r="241" spans="3:11" ht="16.5" hidden="1" customHeight="1">
      <c r="C241" s="17">
        <v>46174</v>
      </c>
      <c r="D241" s="69" t="str">
        <f>PROPER(TEXT(C241,"MMMM"))</f>
        <v>Junho</v>
      </c>
      <c r="E241" s="19" t="s">
        <v>14</v>
      </c>
      <c r="F241" s="20" t="s">
        <v>223</v>
      </c>
      <c r="G241" s="25" t="s">
        <v>921</v>
      </c>
      <c r="H241" s="22" t="s">
        <v>73</v>
      </c>
      <c r="I241" s="23">
        <v>503.91</v>
      </c>
      <c r="J241" s="104">
        <v>46185</v>
      </c>
      <c r="K241" s="24" t="s">
        <v>28</v>
      </c>
    </row>
    <row r="242" spans="3:11" ht="16.5" hidden="1" customHeight="1">
      <c r="C242" s="17">
        <v>46174</v>
      </c>
      <c r="D242" s="69" t="str">
        <f>PROPER(TEXT(C242,"MMMM"))</f>
        <v>Junho</v>
      </c>
      <c r="E242" s="19" t="s">
        <v>14</v>
      </c>
      <c r="F242" s="20" t="s">
        <v>223</v>
      </c>
      <c r="G242" s="21" t="s">
        <v>45</v>
      </c>
      <c r="H242" s="22" t="s">
        <v>73</v>
      </c>
      <c r="I242" s="23">
        <v>13616.54</v>
      </c>
      <c r="J242" s="104"/>
      <c r="K242" s="24" t="s">
        <v>28</v>
      </c>
    </row>
    <row r="243" spans="3:11" ht="16.5" hidden="1" customHeight="1">
      <c r="C243" s="17">
        <v>46174</v>
      </c>
      <c r="D243" s="69" t="str">
        <f>PROPER(TEXT(C243,"MMMM"))</f>
        <v>Junho</v>
      </c>
      <c r="E243" s="19" t="s">
        <v>14</v>
      </c>
      <c r="F243" s="20" t="s">
        <v>223</v>
      </c>
      <c r="G243" s="21" t="s">
        <v>26</v>
      </c>
      <c r="H243" s="22" t="s">
        <v>73</v>
      </c>
      <c r="I243" s="23">
        <v>2000</v>
      </c>
      <c r="J243" s="104"/>
      <c r="K243" s="24" t="s">
        <v>28</v>
      </c>
    </row>
    <row r="244" spans="3:11" ht="16.5" hidden="1" customHeight="1">
      <c r="C244" s="17">
        <v>46174</v>
      </c>
      <c r="D244" s="69" t="str">
        <f>PROPER(TEXT(C244,"MMMM"))</f>
        <v>Junho</v>
      </c>
      <c r="E244" s="19" t="s">
        <v>14</v>
      </c>
      <c r="F244" s="20" t="s">
        <v>225</v>
      </c>
      <c r="G244" s="21" t="s">
        <v>27</v>
      </c>
      <c r="H244" s="22" t="s">
        <v>19</v>
      </c>
      <c r="I244" s="23">
        <v>300</v>
      </c>
      <c r="J244" s="104"/>
      <c r="K244" s="24" t="s">
        <v>28</v>
      </c>
    </row>
    <row r="245" spans="3:11" ht="16.5" hidden="1" customHeight="1">
      <c r="C245" s="17">
        <v>46174</v>
      </c>
      <c r="D245" s="69" t="str">
        <f>PROPER(TEXT(C245,"MMMM"))</f>
        <v>Junho</v>
      </c>
      <c r="E245" s="19" t="s">
        <v>14</v>
      </c>
      <c r="F245" s="20" t="s">
        <v>225</v>
      </c>
      <c r="G245" s="21" t="s">
        <v>20</v>
      </c>
      <c r="H245" s="22" t="s">
        <v>19</v>
      </c>
      <c r="I245" s="23">
        <v>3105</v>
      </c>
      <c r="J245" s="104"/>
      <c r="K245" s="24" t="s">
        <v>28</v>
      </c>
    </row>
    <row r="246" spans="3:11" ht="16.5" hidden="1" customHeight="1">
      <c r="C246" s="17">
        <v>46174</v>
      </c>
      <c r="D246" s="69" t="str">
        <f>PROPER(TEXT(C246,"MMMM"))</f>
        <v>Junho</v>
      </c>
      <c r="E246" s="19" t="s">
        <v>14</v>
      </c>
      <c r="F246" s="20" t="s">
        <v>225</v>
      </c>
      <c r="G246" s="25" t="s">
        <v>33</v>
      </c>
      <c r="H246" s="22" t="s">
        <v>19</v>
      </c>
      <c r="I246" s="26">
        <v>713.25</v>
      </c>
      <c r="J246" s="104"/>
      <c r="K246" s="24" t="s">
        <v>28</v>
      </c>
    </row>
    <row r="247" spans="3:11" ht="16.5" hidden="1" customHeight="1">
      <c r="C247" s="17">
        <v>46174</v>
      </c>
      <c r="D247" s="69" t="str">
        <f>PROPER(TEXT(C247,"MMMM"))</f>
        <v>Junho</v>
      </c>
      <c r="E247" s="19" t="s">
        <v>14</v>
      </c>
      <c r="F247" s="20" t="s">
        <v>225</v>
      </c>
      <c r="G247" s="25" t="s">
        <v>60</v>
      </c>
      <c r="H247" s="22" t="s">
        <v>19</v>
      </c>
      <c r="I247" s="26">
        <v>2500</v>
      </c>
      <c r="J247" s="104"/>
      <c r="K247" s="24" t="s">
        <v>28</v>
      </c>
    </row>
    <row r="248" spans="3:11" ht="16.5" hidden="1" customHeight="1">
      <c r="C248" s="17">
        <v>46174</v>
      </c>
      <c r="D248" s="69" t="str">
        <f>PROPER(TEXT(C248,"MMMM"))</f>
        <v>Junho</v>
      </c>
      <c r="E248" s="19" t="s">
        <v>14</v>
      </c>
      <c r="F248" s="20" t="s">
        <v>225</v>
      </c>
      <c r="G248" s="21" t="s">
        <v>63</v>
      </c>
      <c r="H248" s="22" t="s">
        <v>540</v>
      </c>
      <c r="I248" s="27">
        <v>7600</v>
      </c>
      <c r="J248" s="104"/>
      <c r="K248" s="24" t="s">
        <v>28</v>
      </c>
    </row>
    <row r="249" spans="3:11" ht="16.5" hidden="1" customHeight="1">
      <c r="C249" s="17">
        <v>46174</v>
      </c>
      <c r="D249" s="69" t="str">
        <f>PROPER(TEXT(C249,"MMMM"))</f>
        <v>Junho</v>
      </c>
      <c r="E249" s="19" t="s">
        <v>14</v>
      </c>
      <c r="F249" s="20" t="s">
        <v>226</v>
      </c>
      <c r="G249" s="21" t="s">
        <v>1342</v>
      </c>
      <c r="H249" s="22" t="s">
        <v>73</v>
      </c>
      <c r="I249" s="23">
        <v>1048.57</v>
      </c>
      <c r="J249" s="104">
        <v>46188</v>
      </c>
      <c r="K249" s="24" t="s">
        <v>28</v>
      </c>
    </row>
    <row r="250" spans="3:11" ht="16.5" hidden="1" customHeight="1">
      <c r="C250" s="17">
        <v>46174</v>
      </c>
      <c r="D250" s="69" t="str">
        <f>PROPER(TEXT(C250,"MMMM"))</f>
        <v>Junho</v>
      </c>
      <c r="E250" s="19" t="s">
        <v>14</v>
      </c>
      <c r="F250" s="20" t="s">
        <v>226</v>
      </c>
      <c r="G250" s="21" t="s">
        <v>29</v>
      </c>
      <c r="H250" s="22" t="s">
        <v>19</v>
      </c>
      <c r="I250" s="27">
        <v>150</v>
      </c>
      <c r="J250" s="104"/>
      <c r="K250" s="24" t="s">
        <v>28</v>
      </c>
    </row>
    <row r="251" spans="3:11" ht="16.5" hidden="1" customHeight="1">
      <c r="C251" s="17">
        <v>46174</v>
      </c>
      <c r="D251" s="69" t="str">
        <f>PROPER(TEXT(C251,"MMMM"))</f>
        <v>Junho</v>
      </c>
      <c r="E251" s="19" t="s">
        <v>14</v>
      </c>
      <c r="F251" s="20" t="s">
        <v>226</v>
      </c>
      <c r="G251" s="21" t="s">
        <v>529</v>
      </c>
      <c r="H251" s="22" t="s">
        <v>73</v>
      </c>
      <c r="I251" s="27">
        <v>200</v>
      </c>
      <c r="J251" s="104"/>
      <c r="K251" s="24" t="s">
        <v>28</v>
      </c>
    </row>
    <row r="252" spans="3:11" ht="16.5" hidden="1" customHeight="1">
      <c r="C252" s="17">
        <v>46174</v>
      </c>
      <c r="D252" s="69" t="str">
        <f>PROPER(TEXT(C252,"MMMM"))</f>
        <v>Junho</v>
      </c>
      <c r="E252" s="19" t="s">
        <v>14</v>
      </c>
      <c r="F252" s="20" t="s">
        <v>226</v>
      </c>
      <c r="G252" s="21" t="s">
        <v>32</v>
      </c>
      <c r="H252" s="22" t="s">
        <v>73</v>
      </c>
      <c r="I252" s="23">
        <v>552.86</v>
      </c>
      <c r="J252" s="104"/>
      <c r="K252" s="24" t="s">
        <v>28</v>
      </c>
    </row>
    <row r="253" spans="3:11" ht="16.5" hidden="1" customHeight="1">
      <c r="C253" s="17">
        <v>46174</v>
      </c>
      <c r="D253" s="69" t="str">
        <f>PROPER(TEXT(C253,"MMMM"))</f>
        <v>Junho</v>
      </c>
      <c r="E253" s="19" t="s">
        <v>14</v>
      </c>
      <c r="F253" s="20" t="s">
        <v>227</v>
      </c>
      <c r="G253" s="21" t="s">
        <v>48</v>
      </c>
      <c r="H253" s="22" t="s">
        <v>73</v>
      </c>
      <c r="I253" s="27">
        <v>860.91</v>
      </c>
      <c r="J253" s="104"/>
      <c r="K253" s="24" t="s">
        <v>28</v>
      </c>
    </row>
    <row r="254" spans="3:11" ht="16.5" hidden="1" customHeight="1">
      <c r="C254" s="17">
        <v>46174</v>
      </c>
      <c r="D254" s="69" t="str">
        <f>PROPER(TEXT(C254,"MMMM"))</f>
        <v>Junho</v>
      </c>
      <c r="E254" s="19" t="s">
        <v>14</v>
      </c>
      <c r="F254" s="20" t="s">
        <v>227</v>
      </c>
      <c r="G254" s="21" t="s">
        <v>49</v>
      </c>
      <c r="H254" s="22" t="s">
        <v>73</v>
      </c>
      <c r="I254" s="27">
        <v>410</v>
      </c>
      <c r="J254" s="104"/>
      <c r="K254" s="24" t="s">
        <v>28</v>
      </c>
    </row>
    <row r="255" spans="3:11" ht="16.5" hidden="1" customHeight="1">
      <c r="C255" s="17">
        <v>46174</v>
      </c>
      <c r="D255" s="69" t="str">
        <f>PROPER(TEXT(C255,"MMMM"))</f>
        <v>Junho</v>
      </c>
      <c r="E255" s="19" t="s">
        <v>14</v>
      </c>
      <c r="F255" s="20" t="s">
        <v>227</v>
      </c>
      <c r="G255" s="21" t="s">
        <v>532</v>
      </c>
      <c r="H255" s="22" t="s">
        <v>73</v>
      </c>
      <c r="I255" s="27">
        <v>2300</v>
      </c>
      <c r="J255" s="104"/>
      <c r="K255" s="24" t="s">
        <v>28</v>
      </c>
    </row>
    <row r="256" spans="3:11" ht="16.5" hidden="1" customHeight="1">
      <c r="C256" s="17">
        <v>46174</v>
      </c>
      <c r="D256" s="69" t="str">
        <f>PROPER(TEXT(C256,"MMMM"))</f>
        <v>Junho</v>
      </c>
      <c r="E256" s="19" t="s">
        <v>14</v>
      </c>
      <c r="F256" s="20" t="s">
        <v>227</v>
      </c>
      <c r="G256" s="21" t="s">
        <v>533</v>
      </c>
      <c r="H256" s="22" t="s">
        <v>73</v>
      </c>
      <c r="I256" s="27">
        <v>1405</v>
      </c>
      <c r="J256" s="104"/>
      <c r="K256" s="24" t="s">
        <v>28</v>
      </c>
    </row>
    <row r="257" spans="3:11" ht="16.5" hidden="1" customHeight="1">
      <c r="C257" s="17">
        <v>46174</v>
      </c>
      <c r="D257" s="69" t="str">
        <f>PROPER(TEXT(C257,"MMMM"))</f>
        <v>Junho</v>
      </c>
      <c r="E257" s="19" t="s">
        <v>14</v>
      </c>
      <c r="F257" s="20" t="s">
        <v>227</v>
      </c>
      <c r="G257" s="21" t="s">
        <v>1170</v>
      </c>
      <c r="H257" s="22" t="s">
        <v>73</v>
      </c>
      <c r="I257" s="27">
        <v>2300</v>
      </c>
      <c r="J257" s="104"/>
      <c r="K257" s="24" t="s">
        <v>28</v>
      </c>
    </row>
    <row r="258" spans="3:11" ht="16.5" hidden="1" customHeight="1">
      <c r="C258" s="17">
        <v>46174</v>
      </c>
      <c r="D258" s="69" t="str">
        <f>PROPER(TEXT(C258,"MMMM"))</f>
        <v>Junho</v>
      </c>
      <c r="E258" s="19" t="s">
        <v>14</v>
      </c>
      <c r="F258" s="20" t="s">
        <v>227</v>
      </c>
      <c r="G258" s="21" t="s">
        <v>50</v>
      </c>
      <c r="H258" s="22" t="s">
        <v>73</v>
      </c>
      <c r="I258" s="27">
        <v>466.34</v>
      </c>
      <c r="J258" s="104"/>
      <c r="K258" s="24" t="s">
        <v>28</v>
      </c>
    </row>
    <row r="259" spans="3:11" ht="16.5" hidden="1" customHeight="1">
      <c r="C259" s="17">
        <v>46174</v>
      </c>
      <c r="D259" s="69" t="str">
        <f>PROPER(TEXT(C259,"MMMM"))</f>
        <v>Junho</v>
      </c>
      <c r="E259" s="19" t="s">
        <v>14</v>
      </c>
      <c r="F259" s="20" t="s">
        <v>227</v>
      </c>
      <c r="G259" s="21" t="s">
        <v>630</v>
      </c>
      <c r="H259" s="22" t="s">
        <v>73</v>
      </c>
      <c r="I259" s="27">
        <v>450</v>
      </c>
      <c r="J259" s="104"/>
      <c r="K259" s="24" t="s">
        <v>28</v>
      </c>
    </row>
    <row r="260" spans="3:11" ht="16.5" hidden="1" customHeight="1">
      <c r="C260" s="17">
        <v>46174</v>
      </c>
      <c r="D260" s="69" t="str">
        <f>PROPER(TEXT(C260,"MMMM"))</f>
        <v>Junho</v>
      </c>
      <c r="E260" s="19" t="s">
        <v>14</v>
      </c>
      <c r="F260" s="20" t="s">
        <v>227</v>
      </c>
      <c r="G260" s="21" t="s">
        <v>631</v>
      </c>
      <c r="H260" s="22" t="s">
        <v>73</v>
      </c>
      <c r="I260" s="27">
        <v>350</v>
      </c>
      <c r="J260" s="104"/>
      <c r="K260" s="24" t="s">
        <v>28</v>
      </c>
    </row>
    <row r="261" spans="3:11" ht="16.5" hidden="1" customHeight="1">
      <c r="C261" s="17">
        <v>46174</v>
      </c>
      <c r="D261" s="69" t="str">
        <f>PROPER(TEXT(C261,"MMMM"))</f>
        <v>Junho</v>
      </c>
      <c r="E261" s="19" t="s">
        <v>14</v>
      </c>
      <c r="F261" s="20" t="s">
        <v>227</v>
      </c>
      <c r="G261" s="21" t="s">
        <v>1173</v>
      </c>
      <c r="H261" s="22" t="s">
        <v>73</v>
      </c>
      <c r="I261" s="27">
        <v>450</v>
      </c>
      <c r="J261" s="104"/>
      <c r="K261" s="24" t="s">
        <v>28</v>
      </c>
    </row>
    <row r="262" spans="3:11" ht="16.5" hidden="1" customHeight="1">
      <c r="C262" s="17">
        <v>46174</v>
      </c>
      <c r="D262" s="69" t="str">
        <f>PROPER(TEXT(C262,"MMMM"))</f>
        <v>Junho</v>
      </c>
      <c r="E262" s="19" t="s">
        <v>15</v>
      </c>
      <c r="F262" s="20" t="s">
        <v>223</v>
      </c>
      <c r="G262" s="21" t="s">
        <v>85</v>
      </c>
      <c r="H262" s="22" t="s">
        <v>75</v>
      </c>
      <c r="I262" s="27">
        <v>1100</v>
      </c>
      <c r="J262" s="104"/>
      <c r="K262" s="24" t="s">
        <v>28</v>
      </c>
    </row>
    <row r="263" spans="3:11" ht="16.5" hidden="1" customHeight="1">
      <c r="C263" s="17">
        <v>46174</v>
      </c>
      <c r="D263" s="69" t="str">
        <f>PROPER(TEXT(C263,"MMMM"))</f>
        <v>Junho</v>
      </c>
      <c r="E263" s="19" t="s">
        <v>15</v>
      </c>
      <c r="F263" s="20" t="s">
        <v>223</v>
      </c>
      <c r="G263" s="21" t="s">
        <v>86</v>
      </c>
      <c r="H263" s="22" t="s">
        <v>75</v>
      </c>
      <c r="I263" s="27">
        <v>1100</v>
      </c>
      <c r="J263" s="104"/>
      <c r="K263" s="24" t="s">
        <v>28</v>
      </c>
    </row>
    <row r="264" spans="3:11" ht="16.5" hidden="1" customHeight="1">
      <c r="C264" s="17">
        <v>46174</v>
      </c>
      <c r="D264" s="69" t="str">
        <f>PROPER(TEXT(C264,"MMMM"))</f>
        <v>Junho</v>
      </c>
      <c r="E264" s="19" t="s">
        <v>15</v>
      </c>
      <c r="F264" s="20" t="s">
        <v>223</v>
      </c>
      <c r="G264" s="21" t="s">
        <v>87</v>
      </c>
      <c r="H264" s="22" t="s">
        <v>75</v>
      </c>
      <c r="I264" s="27">
        <v>700</v>
      </c>
      <c r="J264" s="104"/>
      <c r="K264" s="24" t="s">
        <v>28</v>
      </c>
    </row>
    <row r="265" spans="3:11" ht="16.5" hidden="1" customHeight="1">
      <c r="C265" s="17">
        <v>46174</v>
      </c>
      <c r="D265" s="69" t="str">
        <f>PROPER(TEXT(C265,"MMMM"))</f>
        <v>Junho</v>
      </c>
      <c r="E265" s="19" t="s">
        <v>15</v>
      </c>
      <c r="F265" s="20" t="s">
        <v>223</v>
      </c>
      <c r="G265" s="21" t="s">
        <v>90</v>
      </c>
      <c r="H265" s="22" t="s">
        <v>75</v>
      </c>
      <c r="I265" s="27">
        <v>400</v>
      </c>
      <c r="J265" s="104"/>
      <c r="K265" s="24" t="s">
        <v>28</v>
      </c>
    </row>
    <row r="266" spans="3:11" ht="16.5" hidden="1" customHeight="1">
      <c r="C266" s="17">
        <v>46174</v>
      </c>
      <c r="D266" s="69" t="str">
        <f>PROPER(TEXT(C266,"MMMM"))</f>
        <v>Junho</v>
      </c>
      <c r="E266" s="19" t="s">
        <v>15</v>
      </c>
      <c r="F266" s="20" t="s">
        <v>223</v>
      </c>
      <c r="G266" s="21" t="s">
        <v>88</v>
      </c>
      <c r="H266" s="22" t="s">
        <v>75</v>
      </c>
      <c r="I266" s="23">
        <v>220</v>
      </c>
      <c r="J266" s="104"/>
      <c r="K266" s="24" t="s">
        <v>28</v>
      </c>
    </row>
    <row r="267" spans="3:11" ht="16.5" hidden="1" customHeight="1">
      <c r="C267" s="17">
        <v>46174</v>
      </c>
      <c r="D267" s="69" t="str">
        <f>PROPER(TEXT(C267,"MMMM"))</f>
        <v>Junho</v>
      </c>
      <c r="E267" s="19" t="s">
        <v>15</v>
      </c>
      <c r="F267" s="20" t="s">
        <v>224</v>
      </c>
      <c r="G267" s="21" t="s">
        <v>1190</v>
      </c>
      <c r="H267" s="22" t="s">
        <v>75</v>
      </c>
      <c r="I267" s="27">
        <v>735</v>
      </c>
      <c r="J267" s="104"/>
      <c r="K267" s="24" t="s">
        <v>28</v>
      </c>
    </row>
    <row r="268" spans="3:11" ht="16.5" hidden="1" customHeight="1">
      <c r="C268" s="17">
        <v>46174</v>
      </c>
      <c r="D268" s="69" t="str">
        <f>PROPER(TEXT(C268,"MMMM"))</f>
        <v>Junho</v>
      </c>
      <c r="E268" s="19" t="s">
        <v>15</v>
      </c>
      <c r="F268" s="20" t="s">
        <v>224</v>
      </c>
      <c r="G268" s="21" t="s">
        <v>1191</v>
      </c>
      <c r="H268" s="22" t="s">
        <v>75</v>
      </c>
      <c r="I268" s="27">
        <v>3000</v>
      </c>
      <c r="J268" s="104"/>
      <c r="K268" s="24" t="s">
        <v>28</v>
      </c>
    </row>
    <row r="269" spans="3:11" ht="16.5" hidden="1" customHeight="1">
      <c r="C269" s="17">
        <v>46174</v>
      </c>
      <c r="D269" s="69" t="str">
        <f>PROPER(TEXT(C269,"MMMM"))</f>
        <v>Junho</v>
      </c>
      <c r="E269" s="19" t="s">
        <v>15</v>
      </c>
      <c r="F269" s="20" t="s">
        <v>224</v>
      </c>
      <c r="G269" s="21" t="s">
        <v>1215</v>
      </c>
      <c r="H269" s="22" t="s">
        <v>75</v>
      </c>
      <c r="I269" s="26">
        <v>209</v>
      </c>
      <c r="J269" s="104"/>
      <c r="K269" s="24" t="s">
        <v>28</v>
      </c>
    </row>
    <row r="270" spans="3:11" ht="16.5" hidden="1" customHeight="1">
      <c r="C270" s="17">
        <v>46174</v>
      </c>
      <c r="D270" s="69" t="str">
        <f>PROPER(TEXT(C270,"MMMM"))</f>
        <v>Junho</v>
      </c>
      <c r="E270" s="19" t="s">
        <v>15</v>
      </c>
      <c r="F270" s="20" t="s">
        <v>225</v>
      </c>
      <c r="G270" s="21" t="s">
        <v>27</v>
      </c>
      <c r="H270" s="22" t="s">
        <v>23</v>
      </c>
      <c r="I270" s="27">
        <v>330</v>
      </c>
      <c r="J270" s="104"/>
      <c r="K270" s="24" t="s">
        <v>28</v>
      </c>
    </row>
    <row r="271" spans="3:11" ht="16.5" hidden="1" customHeight="1">
      <c r="C271" s="17">
        <v>46174</v>
      </c>
      <c r="D271" s="69" t="str">
        <f>PROPER(TEXT(C271,"MMMM"))</f>
        <v>Junho</v>
      </c>
      <c r="E271" s="19" t="s">
        <v>15</v>
      </c>
      <c r="F271" s="20" t="s">
        <v>225</v>
      </c>
      <c r="G271" s="21" t="s">
        <v>20</v>
      </c>
      <c r="H271" s="22" t="s">
        <v>23</v>
      </c>
      <c r="I271" s="27">
        <v>11000</v>
      </c>
      <c r="J271" s="104"/>
      <c r="K271" s="24" t="s">
        <v>28</v>
      </c>
    </row>
    <row r="272" spans="3:11" ht="16.5" hidden="1" customHeight="1">
      <c r="C272" s="17">
        <v>46174</v>
      </c>
      <c r="D272" s="69" t="str">
        <f>PROPER(TEXT(C272,"MMMM"))</f>
        <v>Junho</v>
      </c>
      <c r="E272" s="19" t="s">
        <v>15</v>
      </c>
      <c r="F272" s="20" t="s">
        <v>225</v>
      </c>
      <c r="G272" s="21" t="s">
        <v>33</v>
      </c>
      <c r="H272" s="22" t="s">
        <v>23</v>
      </c>
      <c r="I272" s="23">
        <v>220</v>
      </c>
      <c r="J272" s="104"/>
      <c r="K272" s="24" t="s">
        <v>28</v>
      </c>
    </row>
    <row r="273" spans="3:11" ht="16.5" hidden="1" customHeight="1">
      <c r="C273" s="17">
        <v>46174</v>
      </c>
      <c r="D273" s="69" t="str">
        <f>PROPER(TEXT(C273,"MMMM"))</f>
        <v>Junho</v>
      </c>
      <c r="E273" s="19" t="s">
        <v>15</v>
      </c>
      <c r="F273" s="20" t="s">
        <v>225</v>
      </c>
      <c r="G273" s="21" t="s">
        <v>60</v>
      </c>
      <c r="H273" s="22" t="s">
        <v>23</v>
      </c>
      <c r="I273" s="23">
        <v>2500</v>
      </c>
      <c r="J273" s="104"/>
      <c r="K273" s="24" t="s">
        <v>28</v>
      </c>
    </row>
    <row r="274" spans="3:11" ht="16.5" hidden="1" customHeight="1">
      <c r="C274" s="17">
        <v>46174</v>
      </c>
      <c r="D274" s="69" t="str">
        <f>PROPER(TEXT(C274,"MMMM"))</f>
        <v>Junho</v>
      </c>
      <c r="E274" s="19" t="s">
        <v>15</v>
      </c>
      <c r="F274" s="20" t="s">
        <v>225</v>
      </c>
      <c r="G274" s="21" t="s">
        <v>63</v>
      </c>
      <c r="H274" s="22" t="s">
        <v>547</v>
      </c>
      <c r="I274" s="23">
        <v>7600</v>
      </c>
      <c r="J274" s="104"/>
      <c r="K274" s="24" t="s">
        <v>28</v>
      </c>
    </row>
    <row r="275" spans="3:11" ht="16.5" hidden="1" customHeight="1">
      <c r="C275" s="17">
        <v>46174</v>
      </c>
      <c r="D275" s="69" t="str">
        <f>PROPER(TEXT(C275,"MMMM"))</f>
        <v>Junho</v>
      </c>
      <c r="E275" s="19" t="s">
        <v>15</v>
      </c>
      <c r="F275" s="20" t="s">
        <v>226</v>
      </c>
      <c r="G275" s="21" t="s">
        <v>34</v>
      </c>
      <c r="H275" s="22" t="s">
        <v>75</v>
      </c>
      <c r="I275" s="23">
        <v>503.34</v>
      </c>
      <c r="J275" s="104"/>
      <c r="K275" s="24" t="s">
        <v>28</v>
      </c>
    </row>
    <row r="276" spans="3:11" ht="16.5" hidden="1" customHeight="1">
      <c r="C276" s="17">
        <v>46174</v>
      </c>
      <c r="D276" s="69" t="str">
        <f>PROPER(TEXT(C276,"MMMM"))</f>
        <v>Junho</v>
      </c>
      <c r="E276" s="19" t="s">
        <v>16</v>
      </c>
      <c r="F276" s="20" t="s">
        <v>223</v>
      </c>
      <c r="G276" s="21" t="s">
        <v>118</v>
      </c>
      <c r="H276" s="22" t="s">
        <v>1416</v>
      </c>
      <c r="I276" s="23">
        <v>4900</v>
      </c>
      <c r="J276" s="104"/>
      <c r="K276" s="24" t="s">
        <v>28</v>
      </c>
    </row>
    <row r="277" spans="3:11" ht="16.5" hidden="1" customHeight="1">
      <c r="C277" s="17">
        <v>46174</v>
      </c>
      <c r="D277" s="69" t="str">
        <f>PROPER(TEXT(C277,"MMMM"))</f>
        <v>Junho</v>
      </c>
      <c r="E277" s="19" t="s">
        <v>16</v>
      </c>
      <c r="F277" s="20" t="s">
        <v>223</v>
      </c>
      <c r="G277" s="21" t="s">
        <v>157</v>
      </c>
      <c r="H277" s="22" t="s">
        <v>1416</v>
      </c>
      <c r="I277" s="23">
        <v>2131</v>
      </c>
      <c r="J277" s="104"/>
      <c r="K277" s="24" t="s">
        <v>28</v>
      </c>
    </row>
    <row r="278" spans="3:11" ht="16.5" hidden="1" customHeight="1">
      <c r="C278" s="17">
        <v>46174</v>
      </c>
      <c r="D278" s="69" t="str">
        <f>PROPER(TEXT(C278,"MMMM"))</f>
        <v>Junho</v>
      </c>
      <c r="E278" s="19" t="s">
        <v>16</v>
      </c>
      <c r="F278" s="20" t="s">
        <v>225</v>
      </c>
      <c r="G278" s="21" t="s">
        <v>35</v>
      </c>
      <c r="H278" s="22" t="s">
        <v>720</v>
      </c>
      <c r="I278" s="23">
        <v>1000</v>
      </c>
      <c r="J278" s="104"/>
      <c r="K278" s="24" t="s">
        <v>28</v>
      </c>
    </row>
    <row r="279" spans="3:11" ht="16.5" hidden="1" customHeight="1">
      <c r="C279" s="17">
        <v>46174</v>
      </c>
      <c r="D279" s="69" t="str">
        <f>PROPER(TEXT(C279,"MMMM"))</f>
        <v>Junho</v>
      </c>
      <c r="E279" s="19" t="s">
        <v>16</v>
      </c>
      <c r="F279" s="20" t="s">
        <v>225</v>
      </c>
      <c r="G279" s="21" t="s">
        <v>27</v>
      </c>
      <c r="H279" s="22" t="s">
        <v>1416</v>
      </c>
      <c r="I279" s="23">
        <v>200</v>
      </c>
      <c r="J279" s="104"/>
      <c r="K279" s="24" t="s">
        <v>28</v>
      </c>
    </row>
    <row r="280" spans="3:11" ht="16.5" hidden="1" customHeight="1">
      <c r="C280" s="17">
        <v>46174</v>
      </c>
      <c r="D280" s="69" t="str">
        <f>PROPER(TEXT(C280,"MMMM"))</f>
        <v>Junho</v>
      </c>
      <c r="E280" s="19" t="s">
        <v>16</v>
      </c>
      <c r="F280" s="20" t="s">
        <v>225</v>
      </c>
      <c r="G280" s="21" t="s">
        <v>20</v>
      </c>
      <c r="H280" s="22" t="s">
        <v>1416</v>
      </c>
      <c r="I280" s="23">
        <v>5000</v>
      </c>
      <c r="J280" s="104"/>
      <c r="K280" s="24" t="s">
        <v>28</v>
      </c>
    </row>
    <row r="281" spans="3:11" ht="16.5" hidden="1" customHeight="1">
      <c r="C281" s="17">
        <v>46174</v>
      </c>
      <c r="D281" s="69" t="str">
        <f>PROPER(TEXT(C281,"MMMM"))</f>
        <v>Junho</v>
      </c>
      <c r="E281" s="19" t="s">
        <v>16</v>
      </c>
      <c r="F281" s="20" t="s">
        <v>225</v>
      </c>
      <c r="G281" s="21" t="s">
        <v>33</v>
      </c>
      <c r="H281" s="22" t="s">
        <v>1416</v>
      </c>
      <c r="I281" s="23">
        <v>100</v>
      </c>
      <c r="J281" s="104"/>
      <c r="K281" s="24" t="s">
        <v>28</v>
      </c>
    </row>
    <row r="282" spans="3:11" ht="16.5" hidden="1" customHeight="1">
      <c r="C282" s="17">
        <v>46174</v>
      </c>
      <c r="D282" s="69" t="str">
        <f>PROPER(TEXT(C282,"MMMM"))</f>
        <v>Junho</v>
      </c>
      <c r="E282" s="19" t="s">
        <v>16</v>
      </c>
      <c r="F282" s="20" t="s">
        <v>225</v>
      </c>
      <c r="G282" s="21" t="s">
        <v>127</v>
      </c>
      <c r="H282" s="22" t="s">
        <v>1416</v>
      </c>
      <c r="I282" s="23">
        <v>6400</v>
      </c>
      <c r="J282" s="104"/>
      <c r="K282" s="24" t="s">
        <v>28</v>
      </c>
    </row>
    <row r="283" spans="3:11" ht="16.5" hidden="1" customHeight="1">
      <c r="C283" s="17">
        <v>46174</v>
      </c>
      <c r="D283" s="69" t="str">
        <f>PROPER(TEXT(C283,"MMMM"))</f>
        <v>Junho</v>
      </c>
      <c r="E283" s="19" t="s">
        <v>16</v>
      </c>
      <c r="F283" s="20" t="s">
        <v>226</v>
      </c>
      <c r="G283" s="25" t="s">
        <v>116</v>
      </c>
      <c r="H283" s="22" t="s">
        <v>1416</v>
      </c>
      <c r="I283" s="26">
        <v>1000</v>
      </c>
      <c r="J283" s="104"/>
      <c r="K283" s="24" t="s">
        <v>28</v>
      </c>
    </row>
    <row r="284" spans="3:11" ht="16.5" hidden="1" customHeight="1">
      <c r="C284" s="17">
        <v>46204</v>
      </c>
      <c r="D284" s="69" t="str">
        <f>PROPER(TEXT(C284,"MMMM"))</f>
        <v>Julho</v>
      </c>
      <c r="E284" s="19" t="s">
        <v>14</v>
      </c>
      <c r="F284" s="20" t="s">
        <v>223</v>
      </c>
      <c r="G284" s="21" t="s">
        <v>940</v>
      </c>
      <c r="H284" s="22" t="s">
        <v>73</v>
      </c>
      <c r="I284" s="23">
        <v>204.78</v>
      </c>
      <c r="J284" s="104">
        <v>46215</v>
      </c>
      <c r="K284" s="24" t="s">
        <v>28</v>
      </c>
    </row>
    <row r="285" spans="3:11" ht="16.5" hidden="1" customHeight="1">
      <c r="C285" s="17">
        <v>46204</v>
      </c>
      <c r="D285" s="69" t="str">
        <f>PROPER(TEXT(C285,"MMMM"))</f>
        <v>Julho</v>
      </c>
      <c r="E285" s="19" t="s">
        <v>14</v>
      </c>
      <c r="F285" s="20" t="s">
        <v>223</v>
      </c>
      <c r="G285" s="25" t="s">
        <v>922</v>
      </c>
      <c r="H285" s="22" t="s">
        <v>73</v>
      </c>
      <c r="I285" s="23">
        <v>503.91</v>
      </c>
      <c r="J285" s="104">
        <v>46215</v>
      </c>
      <c r="K285" s="24" t="s">
        <v>28</v>
      </c>
    </row>
    <row r="286" spans="3:11" ht="16.5" hidden="1" customHeight="1">
      <c r="C286" s="17">
        <v>46204</v>
      </c>
      <c r="D286" s="69" t="str">
        <f>PROPER(TEXT(C286,"MMMM"))</f>
        <v>Julho</v>
      </c>
      <c r="E286" s="19" t="s">
        <v>14</v>
      </c>
      <c r="F286" s="20" t="s">
        <v>223</v>
      </c>
      <c r="G286" s="21" t="s">
        <v>45</v>
      </c>
      <c r="H286" s="22" t="s">
        <v>73</v>
      </c>
      <c r="I286" s="23">
        <v>13616.54</v>
      </c>
      <c r="J286" s="104"/>
      <c r="K286" s="24" t="s">
        <v>28</v>
      </c>
    </row>
    <row r="287" spans="3:11" ht="16.5" hidden="1" customHeight="1">
      <c r="C287" s="17">
        <v>46204</v>
      </c>
      <c r="D287" s="69" t="str">
        <f>PROPER(TEXT(C287,"MMMM"))</f>
        <v>Julho</v>
      </c>
      <c r="E287" s="19" t="s">
        <v>14</v>
      </c>
      <c r="F287" s="20" t="s">
        <v>223</v>
      </c>
      <c r="G287" s="21" t="s">
        <v>26</v>
      </c>
      <c r="H287" s="22" t="s">
        <v>73</v>
      </c>
      <c r="I287" s="23">
        <v>2000</v>
      </c>
      <c r="J287" s="104"/>
      <c r="K287" s="24" t="s">
        <v>28</v>
      </c>
    </row>
    <row r="288" spans="3:11" ht="16.5" hidden="1" customHeight="1">
      <c r="C288" s="17">
        <v>46204</v>
      </c>
      <c r="D288" s="69" t="str">
        <f>PROPER(TEXT(C288,"MMMM"))</f>
        <v>Julho</v>
      </c>
      <c r="E288" s="19" t="s">
        <v>14</v>
      </c>
      <c r="F288" s="20" t="s">
        <v>225</v>
      </c>
      <c r="G288" s="21" t="s">
        <v>27</v>
      </c>
      <c r="H288" s="22" t="s">
        <v>19</v>
      </c>
      <c r="I288" s="23">
        <v>300</v>
      </c>
      <c r="J288" s="104"/>
      <c r="K288" s="24" t="s">
        <v>28</v>
      </c>
    </row>
    <row r="289" spans="3:11" ht="16.5" hidden="1" customHeight="1">
      <c r="C289" s="17">
        <v>46204</v>
      </c>
      <c r="D289" s="69" t="str">
        <f>PROPER(TEXT(C289,"MMMM"))</f>
        <v>Julho</v>
      </c>
      <c r="E289" s="19" t="s">
        <v>14</v>
      </c>
      <c r="F289" s="20" t="s">
        <v>225</v>
      </c>
      <c r="G289" s="21" t="s">
        <v>20</v>
      </c>
      <c r="H289" s="22" t="s">
        <v>19</v>
      </c>
      <c r="I289" s="23">
        <v>3105</v>
      </c>
      <c r="J289" s="104"/>
      <c r="K289" s="24" t="s">
        <v>28</v>
      </c>
    </row>
    <row r="290" spans="3:11" ht="16.5" hidden="1" customHeight="1">
      <c r="C290" s="17">
        <v>46204</v>
      </c>
      <c r="D290" s="69" t="str">
        <f>PROPER(TEXT(C290,"MMMM"))</f>
        <v>Julho</v>
      </c>
      <c r="E290" s="19" t="s">
        <v>14</v>
      </c>
      <c r="F290" s="20" t="s">
        <v>225</v>
      </c>
      <c r="G290" s="25" t="s">
        <v>33</v>
      </c>
      <c r="H290" s="22" t="s">
        <v>19</v>
      </c>
      <c r="I290" s="26">
        <v>713.25</v>
      </c>
      <c r="J290" s="104"/>
      <c r="K290" s="24" t="s">
        <v>28</v>
      </c>
    </row>
    <row r="291" spans="3:11" ht="16.5" hidden="1" customHeight="1">
      <c r="C291" s="17">
        <v>46204</v>
      </c>
      <c r="D291" s="69" t="str">
        <f>PROPER(TEXT(C291,"MMMM"))</f>
        <v>Julho</v>
      </c>
      <c r="E291" s="19" t="s">
        <v>14</v>
      </c>
      <c r="F291" s="20" t="s">
        <v>226</v>
      </c>
      <c r="G291" s="21" t="s">
        <v>1343</v>
      </c>
      <c r="H291" s="22" t="s">
        <v>73</v>
      </c>
      <c r="I291" s="23">
        <v>1048.57</v>
      </c>
      <c r="J291" s="104">
        <v>46218</v>
      </c>
      <c r="K291" s="24" t="s">
        <v>28</v>
      </c>
    </row>
    <row r="292" spans="3:11" ht="16.5" hidden="1" customHeight="1">
      <c r="C292" s="17">
        <v>46204</v>
      </c>
      <c r="D292" s="69" t="str">
        <f>PROPER(TEXT(C292,"MMMM"))</f>
        <v>Julho</v>
      </c>
      <c r="E292" s="19" t="s">
        <v>14</v>
      </c>
      <c r="F292" s="20" t="s">
        <v>226</v>
      </c>
      <c r="G292" s="21" t="s">
        <v>29</v>
      </c>
      <c r="H292" s="22" t="s">
        <v>19</v>
      </c>
      <c r="I292" s="23">
        <v>150</v>
      </c>
      <c r="J292" s="104"/>
      <c r="K292" s="24" t="s">
        <v>28</v>
      </c>
    </row>
    <row r="293" spans="3:11" ht="16.5" hidden="1" customHeight="1">
      <c r="C293" s="17">
        <v>46204</v>
      </c>
      <c r="D293" s="69" t="str">
        <f>PROPER(TEXT(C293,"MMMM"))</f>
        <v>Julho</v>
      </c>
      <c r="E293" s="19" t="s">
        <v>14</v>
      </c>
      <c r="F293" s="20" t="s">
        <v>226</v>
      </c>
      <c r="G293" s="21" t="s">
        <v>32</v>
      </c>
      <c r="H293" s="22" t="s">
        <v>73</v>
      </c>
      <c r="I293" s="23">
        <v>552.86</v>
      </c>
      <c r="J293" s="104"/>
      <c r="K293" s="24" t="s">
        <v>28</v>
      </c>
    </row>
    <row r="294" spans="3:11" ht="16.5" hidden="1" customHeight="1">
      <c r="C294" s="17">
        <v>46204</v>
      </c>
      <c r="D294" s="69" t="str">
        <f>PROPER(TEXT(C294,"MMMM"))</f>
        <v>Julho</v>
      </c>
      <c r="E294" s="19" t="s">
        <v>14</v>
      </c>
      <c r="F294" s="20" t="s">
        <v>227</v>
      </c>
      <c r="G294" s="21" t="s">
        <v>48</v>
      </c>
      <c r="H294" s="22" t="s">
        <v>73</v>
      </c>
      <c r="I294" s="23">
        <v>860.91</v>
      </c>
      <c r="J294" s="104"/>
      <c r="K294" s="24" t="s">
        <v>28</v>
      </c>
    </row>
    <row r="295" spans="3:11" ht="16.5" hidden="1" customHeight="1">
      <c r="C295" s="17">
        <v>46204</v>
      </c>
      <c r="D295" s="69" t="str">
        <f>PROPER(TEXT(C295,"MMMM"))</f>
        <v>Julho</v>
      </c>
      <c r="E295" s="19" t="s">
        <v>14</v>
      </c>
      <c r="F295" s="20" t="s">
        <v>227</v>
      </c>
      <c r="G295" s="21" t="s">
        <v>830</v>
      </c>
      <c r="H295" s="22" t="s">
        <v>73</v>
      </c>
      <c r="I295" s="23">
        <v>3017.63</v>
      </c>
      <c r="J295" s="104"/>
      <c r="K295" s="24" t="s">
        <v>28</v>
      </c>
    </row>
    <row r="296" spans="3:11" ht="16.5" hidden="1" customHeight="1">
      <c r="C296" s="17">
        <v>46204</v>
      </c>
      <c r="D296" s="69" t="str">
        <f>PROPER(TEXT(C296,"MMMM"))</f>
        <v>Julho</v>
      </c>
      <c r="E296" s="19" t="s">
        <v>14</v>
      </c>
      <c r="F296" s="20" t="s">
        <v>227</v>
      </c>
      <c r="G296" s="21" t="s">
        <v>831</v>
      </c>
      <c r="H296" s="22" t="s">
        <v>73</v>
      </c>
      <c r="I296" s="27">
        <v>1864.61</v>
      </c>
      <c r="J296" s="104"/>
      <c r="K296" s="24" t="s">
        <v>28</v>
      </c>
    </row>
    <row r="297" spans="3:11" ht="16.5" hidden="1" customHeight="1">
      <c r="C297" s="17">
        <v>46204</v>
      </c>
      <c r="D297" s="69" t="str">
        <f>PROPER(TEXT(C297,"MMMM"))</f>
        <v>Julho</v>
      </c>
      <c r="E297" s="19" t="s">
        <v>14</v>
      </c>
      <c r="F297" s="20" t="s">
        <v>227</v>
      </c>
      <c r="G297" s="21" t="s">
        <v>49</v>
      </c>
      <c r="H297" s="22" t="s">
        <v>73</v>
      </c>
      <c r="I297" s="23">
        <v>410</v>
      </c>
      <c r="J297" s="104"/>
      <c r="K297" s="24" t="s">
        <v>28</v>
      </c>
    </row>
    <row r="298" spans="3:11" ht="16.5" hidden="1" customHeight="1">
      <c r="C298" s="17">
        <v>46204</v>
      </c>
      <c r="D298" s="69" t="str">
        <f>PROPER(TEXT(C298,"MMMM"))</f>
        <v>Julho</v>
      </c>
      <c r="E298" s="19" t="s">
        <v>14</v>
      </c>
      <c r="F298" s="20" t="s">
        <v>227</v>
      </c>
      <c r="G298" s="21" t="s">
        <v>532</v>
      </c>
      <c r="H298" s="22" t="s">
        <v>73</v>
      </c>
      <c r="I298" s="23">
        <v>2300</v>
      </c>
      <c r="J298" s="104"/>
      <c r="K298" s="24" t="s">
        <v>28</v>
      </c>
    </row>
    <row r="299" spans="3:11" ht="16.5" hidden="1" customHeight="1">
      <c r="C299" s="17">
        <v>46204</v>
      </c>
      <c r="D299" s="69" t="str">
        <f>PROPER(TEXT(C299,"MMMM"))</f>
        <v>Julho</v>
      </c>
      <c r="E299" s="19" t="s">
        <v>14</v>
      </c>
      <c r="F299" s="20" t="s">
        <v>227</v>
      </c>
      <c r="G299" s="21" t="s">
        <v>533</v>
      </c>
      <c r="H299" s="22" t="s">
        <v>73</v>
      </c>
      <c r="I299" s="27">
        <v>1405</v>
      </c>
      <c r="J299" s="104"/>
      <c r="K299" s="24" t="s">
        <v>28</v>
      </c>
    </row>
    <row r="300" spans="3:11" ht="16.5" hidden="1" customHeight="1">
      <c r="C300" s="17">
        <v>46204</v>
      </c>
      <c r="D300" s="69" t="str">
        <f>PROPER(TEXT(C300,"MMMM"))</f>
        <v>Julho</v>
      </c>
      <c r="E300" s="19" t="s">
        <v>14</v>
      </c>
      <c r="F300" s="20" t="s">
        <v>227</v>
      </c>
      <c r="G300" s="21" t="s">
        <v>1170</v>
      </c>
      <c r="H300" s="22" t="s">
        <v>73</v>
      </c>
      <c r="I300" s="23">
        <v>2300</v>
      </c>
      <c r="J300" s="104"/>
      <c r="K300" s="24" t="s">
        <v>28</v>
      </c>
    </row>
    <row r="301" spans="3:11" ht="16.5" hidden="1" customHeight="1">
      <c r="C301" s="17">
        <v>46204</v>
      </c>
      <c r="D301" s="69" t="str">
        <f>PROPER(TEXT(C301,"MMMM"))</f>
        <v>Julho</v>
      </c>
      <c r="E301" s="19" t="s">
        <v>14</v>
      </c>
      <c r="F301" s="20" t="s">
        <v>227</v>
      </c>
      <c r="G301" s="21" t="s">
        <v>50</v>
      </c>
      <c r="H301" s="22" t="s">
        <v>73</v>
      </c>
      <c r="I301" s="27">
        <v>466.34</v>
      </c>
      <c r="J301" s="104"/>
      <c r="K301" s="24" t="s">
        <v>28</v>
      </c>
    </row>
    <row r="302" spans="3:11" ht="16.5" hidden="1" customHeight="1">
      <c r="C302" s="17">
        <v>46204</v>
      </c>
      <c r="D302" s="69" t="str">
        <f>PROPER(TEXT(C302,"MMMM"))</f>
        <v>Julho</v>
      </c>
      <c r="E302" s="19" t="s">
        <v>14</v>
      </c>
      <c r="F302" s="20" t="s">
        <v>227</v>
      </c>
      <c r="G302" s="21" t="s">
        <v>630</v>
      </c>
      <c r="H302" s="22" t="s">
        <v>73</v>
      </c>
      <c r="I302" s="23">
        <v>450</v>
      </c>
      <c r="J302" s="104"/>
      <c r="K302" s="24" t="s">
        <v>28</v>
      </c>
    </row>
    <row r="303" spans="3:11" ht="16.5" hidden="1" customHeight="1">
      <c r="C303" s="17">
        <v>46204</v>
      </c>
      <c r="D303" s="69" t="str">
        <f>PROPER(TEXT(C303,"MMMM"))</f>
        <v>Julho</v>
      </c>
      <c r="E303" s="19" t="s">
        <v>14</v>
      </c>
      <c r="F303" s="20" t="s">
        <v>227</v>
      </c>
      <c r="G303" s="21" t="s">
        <v>631</v>
      </c>
      <c r="H303" s="22" t="s">
        <v>73</v>
      </c>
      <c r="I303" s="23">
        <v>350</v>
      </c>
      <c r="J303" s="104"/>
      <c r="K303" s="24" t="s">
        <v>28</v>
      </c>
    </row>
    <row r="304" spans="3:11" ht="16.5" hidden="1" customHeight="1">
      <c r="C304" s="17">
        <v>46204</v>
      </c>
      <c r="D304" s="69" t="str">
        <f>PROPER(TEXT(C304,"MMMM"))</f>
        <v>Julho</v>
      </c>
      <c r="E304" s="19" t="s">
        <v>14</v>
      </c>
      <c r="F304" s="20" t="s">
        <v>227</v>
      </c>
      <c r="G304" s="21" t="s">
        <v>1173</v>
      </c>
      <c r="H304" s="22" t="s">
        <v>73</v>
      </c>
      <c r="I304" s="27">
        <v>450</v>
      </c>
      <c r="J304" s="104"/>
      <c r="K304" s="24" t="s">
        <v>28</v>
      </c>
    </row>
    <row r="305" spans="3:11" ht="16.5" hidden="1" customHeight="1">
      <c r="C305" s="17">
        <v>46204</v>
      </c>
      <c r="D305" s="69" t="str">
        <f>PROPER(TEXT(C305,"MMMM"))</f>
        <v>Julho</v>
      </c>
      <c r="E305" s="19" t="s">
        <v>14</v>
      </c>
      <c r="F305" s="20" t="s">
        <v>227</v>
      </c>
      <c r="G305" s="21" t="s">
        <v>536</v>
      </c>
      <c r="H305" s="22" t="s">
        <v>73</v>
      </c>
      <c r="I305" s="27">
        <v>1480</v>
      </c>
      <c r="J305" s="104"/>
      <c r="K305" s="24" t="s">
        <v>28</v>
      </c>
    </row>
    <row r="306" spans="3:11" ht="16.5" hidden="1" customHeight="1">
      <c r="C306" s="17">
        <v>46204</v>
      </c>
      <c r="D306" s="69" t="str">
        <f>PROPER(TEXT(C306,"MMMM"))</f>
        <v>Julho</v>
      </c>
      <c r="E306" s="19" t="s">
        <v>15</v>
      </c>
      <c r="F306" s="20" t="s">
        <v>223</v>
      </c>
      <c r="G306" s="21" t="s">
        <v>85</v>
      </c>
      <c r="H306" s="22" t="s">
        <v>75</v>
      </c>
      <c r="I306" s="23">
        <v>1100</v>
      </c>
      <c r="J306" s="104"/>
      <c r="K306" s="24" t="s">
        <v>28</v>
      </c>
    </row>
    <row r="307" spans="3:11" ht="16.5" hidden="1" customHeight="1">
      <c r="C307" s="17">
        <v>46204</v>
      </c>
      <c r="D307" s="69" t="str">
        <f>PROPER(TEXT(C307,"MMMM"))</f>
        <v>Julho</v>
      </c>
      <c r="E307" s="19" t="s">
        <v>15</v>
      </c>
      <c r="F307" s="20" t="s">
        <v>223</v>
      </c>
      <c r="G307" s="21" t="s">
        <v>86</v>
      </c>
      <c r="H307" s="22" t="s">
        <v>75</v>
      </c>
      <c r="I307" s="23">
        <v>1100</v>
      </c>
      <c r="J307" s="104"/>
      <c r="K307" s="24" t="s">
        <v>28</v>
      </c>
    </row>
    <row r="308" spans="3:11" ht="16.5" hidden="1" customHeight="1">
      <c r="C308" s="17">
        <v>46204</v>
      </c>
      <c r="D308" s="69" t="str">
        <f>PROPER(TEXT(C308,"MMMM"))</f>
        <v>Julho</v>
      </c>
      <c r="E308" s="19" t="s">
        <v>15</v>
      </c>
      <c r="F308" s="20" t="s">
        <v>223</v>
      </c>
      <c r="G308" s="21" t="s">
        <v>87</v>
      </c>
      <c r="H308" s="22" t="s">
        <v>75</v>
      </c>
      <c r="I308" s="23">
        <v>700</v>
      </c>
      <c r="J308" s="104"/>
      <c r="K308" s="24" t="s">
        <v>28</v>
      </c>
    </row>
    <row r="309" spans="3:11" ht="16.5" hidden="1" customHeight="1">
      <c r="C309" s="17">
        <v>46204</v>
      </c>
      <c r="D309" s="69" t="str">
        <f>PROPER(TEXT(C309,"MMMM"))</f>
        <v>Julho</v>
      </c>
      <c r="E309" s="19" t="s">
        <v>15</v>
      </c>
      <c r="F309" s="20" t="s">
        <v>223</v>
      </c>
      <c r="G309" s="21" t="s">
        <v>90</v>
      </c>
      <c r="H309" s="22" t="s">
        <v>75</v>
      </c>
      <c r="I309" s="27">
        <v>400</v>
      </c>
      <c r="J309" s="104"/>
      <c r="K309" s="24" t="s">
        <v>28</v>
      </c>
    </row>
    <row r="310" spans="3:11" ht="16.5" hidden="1" customHeight="1">
      <c r="C310" s="17">
        <v>46204</v>
      </c>
      <c r="D310" s="69" t="str">
        <f>PROPER(TEXT(C310,"MMMM"))</f>
        <v>Julho</v>
      </c>
      <c r="E310" s="19" t="s">
        <v>15</v>
      </c>
      <c r="F310" s="20" t="s">
        <v>223</v>
      </c>
      <c r="G310" s="21" t="s">
        <v>88</v>
      </c>
      <c r="H310" s="22" t="s">
        <v>75</v>
      </c>
      <c r="I310" s="23">
        <v>220</v>
      </c>
      <c r="J310" s="104"/>
      <c r="K310" s="24" t="s">
        <v>28</v>
      </c>
    </row>
    <row r="311" spans="3:11" ht="16.5" hidden="1" customHeight="1">
      <c r="C311" s="17">
        <v>46204</v>
      </c>
      <c r="D311" s="69" t="str">
        <f>PROPER(TEXT(C311,"MMMM"))</f>
        <v>Julho</v>
      </c>
      <c r="E311" s="19" t="s">
        <v>15</v>
      </c>
      <c r="F311" s="20" t="s">
        <v>224</v>
      </c>
      <c r="G311" s="21" t="s">
        <v>1190</v>
      </c>
      <c r="H311" s="22" t="s">
        <v>75</v>
      </c>
      <c r="I311" s="27">
        <v>735</v>
      </c>
      <c r="J311" s="104"/>
      <c r="K311" s="24" t="s">
        <v>28</v>
      </c>
    </row>
    <row r="312" spans="3:11" ht="16.5" hidden="1" customHeight="1">
      <c r="C312" s="17">
        <v>46204</v>
      </c>
      <c r="D312" s="69" t="str">
        <f>PROPER(TEXT(C312,"MMMM"))</f>
        <v>Julho</v>
      </c>
      <c r="E312" s="19" t="s">
        <v>15</v>
      </c>
      <c r="F312" s="20" t="s">
        <v>224</v>
      </c>
      <c r="G312" s="21" t="s">
        <v>1191</v>
      </c>
      <c r="H312" s="22" t="s">
        <v>75</v>
      </c>
      <c r="I312" s="27">
        <v>3000</v>
      </c>
      <c r="J312" s="104"/>
      <c r="K312" s="24" t="s">
        <v>28</v>
      </c>
    </row>
    <row r="313" spans="3:11" ht="16.5" hidden="1" customHeight="1">
      <c r="C313" s="17">
        <v>46204</v>
      </c>
      <c r="D313" s="69" t="str">
        <f>PROPER(TEXT(C313,"MMMM"))</f>
        <v>Julho</v>
      </c>
      <c r="E313" s="19" t="s">
        <v>15</v>
      </c>
      <c r="F313" s="20" t="s">
        <v>224</v>
      </c>
      <c r="G313" s="21" t="s">
        <v>1215</v>
      </c>
      <c r="H313" s="22" t="s">
        <v>75</v>
      </c>
      <c r="I313" s="23">
        <v>209</v>
      </c>
      <c r="J313" s="104"/>
      <c r="K313" s="24" t="s">
        <v>28</v>
      </c>
    </row>
    <row r="314" spans="3:11" ht="16.5" hidden="1" customHeight="1">
      <c r="C314" s="17">
        <v>46204</v>
      </c>
      <c r="D314" s="69" t="str">
        <f>PROPER(TEXT(C314,"MMMM"))</f>
        <v>Julho</v>
      </c>
      <c r="E314" s="19" t="s">
        <v>15</v>
      </c>
      <c r="F314" s="20" t="s">
        <v>225</v>
      </c>
      <c r="G314" s="21" t="s">
        <v>27</v>
      </c>
      <c r="H314" s="22" t="s">
        <v>23</v>
      </c>
      <c r="I314" s="23">
        <v>330</v>
      </c>
      <c r="J314" s="104"/>
      <c r="K314" s="24" t="s">
        <v>28</v>
      </c>
    </row>
    <row r="315" spans="3:11" ht="16.5" hidden="1" customHeight="1">
      <c r="C315" s="17">
        <v>46204</v>
      </c>
      <c r="D315" s="69" t="str">
        <f>PROPER(TEXT(C315,"MMMM"))</f>
        <v>Julho</v>
      </c>
      <c r="E315" s="19" t="s">
        <v>15</v>
      </c>
      <c r="F315" s="20" t="s">
        <v>225</v>
      </c>
      <c r="G315" s="21" t="s">
        <v>20</v>
      </c>
      <c r="H315" s="22" t="s">
        <v>23</v>
      </c>
      <c r="I315" s="27">
        <v>11000</v>
      </c>
      <c r="J315" s="104"/>
      <c r="K315" s="24" t="s">
        <v>28</v>
      </c>
    </row>
    <row r="316" spans="3:11" ht="16.5" hidden="1" customHeight="1">
      <c r="C316" s="17">
        <v>46204</v>
      </c>
      <c r="D316" s="69" t="str">
        <f>PROPER(TEXT(C316,"MMMM"))</f>
        <v>Julho</v>
      </c>
      <c r="E316" s="19" t="s">
        <v>15</v>
      </c>
      <c r="F316" s="20" t="s">
        <v>225</v>
      </c>
      <c r="G316" s="21" t="s">
        <v>33</v>
      </c>
      <c r="H316" s="22" t="s">
        <v>23</v>
      </c>
      <c r="I316" s="27">
        <v>220</v>
      </c>
      <c r="J316" s="104"/>
      <c r="K316" s="24" t="s">
        <v>28</v>
      </c>
    </row>
    <row r="317" spans="3:11" ht="16.5" hidden="1" customHeight="1">
      <c r="C317" s="17">
        <v>46204</v>
      </c>
      <c r="D317" s="69" t="str">
        <f>PROPER(TEXT(C317,"MMMM"))</f>
        <v>Julho</v>
      </c>
      <c r="E317" s="19" t="s">
        <v>15</v>
      </c>
      <c r="F317" s="20" t="s">
        <v>226</v>
      </c>
      <c r="G317" s="21" t="s">
        <v>34</v>
      </c>
      <c r="H317" s="22" t="s">
        <v>75</v>
      </c>
      <c r="I317" s="27">
        <v>503.34</v>
      </c>
      <c r="J317" s="104"/>
      <c r="K317" s="24" t="s">
        <v>28</v>
      </c>
    </row>
    <row r="318" spans="3:11" ht="16.5" hidden="1" customHeight="1">
      <c r="C318" s="17">
        <v>46204</v>
      </c>
      <c r="D318" s="69" t="str">
        <f>PROPER(TEXT(C318,"MMMM"))</f>
        <v>Julho</v>
      </c>
      <c r="E318" s="19" t="s">
        <v>16</v>
      </c>
      <c r="F318" s="20" t="s">
        <v>223</v>
      </c>
      <c r="G318" s="21" t="s">
        <v>118</v>
      </c>
      <c r="H318" s="22" t="s">
        <v>1416</v>
      </c>
      <c r="I318" s="27">
        <v>4900</v>
      </c>
      <c r="J318" s="104"/>
      <c r="K318" s="24" t="s">
        <v>28</v>
      </c>
    </row>
    <row r="319" spans="3:11" ht="16.5" hidden="1" customHeight="1">
      <c r="C319" s="17">
        <v>46204</v>
      </c>
      <c r="D319" s="69" t="str">
        <f>PROPER(TEXT(C319,"MMMM"))</f>
        <v>Julho</v>
      </c>
      <c r="E319" s="19" t="s">
        <v>16</v>
      </c>
      <c r="F319" s="20" t="s">
        <v>223</v>
      </c>
      <c r="G319" s="21" t="s">
        <v>157</v>
      </c>
      <c r="H319" s="22" t="s">
        <v>1416</v>
      </c>
      <c r="I319" s="23">
        <v>2131</v>
      </c>
      <c r="J319" s="104"/>
      <c r="K319" s="24" t="s">
        <v>28</v>
      </c>
    </row>
    <row r="320" spans="3:11" ht="16.5" hidden="1" customHeight="1">
      <c r="C320" s="17">
        <v>46204</v>
      </c>
      <c r="D320" s="69" t="str">
        <f>PROPER(TEXT(C320,"MMMM"))</f>
        <v>Julho</v>
      </c>
      <c r="E320" s="19" t="s">
        <v>16</v>
      </c>
      <c r="F320" s="20" t="s">
        <v>225</v>
      </c>
      <c r="G320" s="21" t="s">
        <v>35</v>
      </c>
      <c r="H320" s="22" t="s">
        <v>720</v>
      </c>
      <c r="I320" s="23">
        <v>1000</v>
      </c>
      <c r="J320" s="104"/>
      <c r="K320" s="24" t="s">
        <v>28</v>
      </c>
    </row>
    <row r="321" spans="3:11" ht="16.5" hidden="1" customHeight="1">
      <c r="C321" s="17">
        <v>46204</v>
      </c>
      <c r="D321" s="69" t="str">
        <f>PROPER(TEXT(C321,"MMMM"))</f>
        <v>Julho</v>
      </c>
      <c r="E321" s="19" t="s">
        <v>16</v>
      </c>
      <c r="F321" s="20" t="s">
        <v>225</v>
      </c>
      <c r="G321" s="21" t="s">
        <v>27</v>
      </c>
      <c r="H321" s="22" t="s">
        <v>1416</v>
      </c>
      <c r="I321" s="27">
        <v>200</v>
      </c>
      <c r="J321" s="104"/>
      <c r="K321" s="24" t="s">
        <v>28</v>
      </c>
    </row>
    <row r="322" spans="3:11" ht="16.5" hidden="1" customHeight="1">
      <c r="C322" s="17">
        <v>46204</v>
      </c>
      <c r="D322" s="69" t="str">
        <f>PROPER(TEXT(C322,"MMMM"))</f>
        <v>Julho</v>
      </c>
      <c r="E322" s="19" t="s">
        <v>16</v>
      </c>
      <c r="F322" s="20" t="s">
        <v>225</v>
      </c>
      <c r="G322" s="21" t="s">
        <v>20</v>
      </c>
      <c r="H322" s="22" t="s">
        <v>1416</v>
      </c>
      <c r="I322" s="23">
        <v>5000</v>
      </c>
      <c r="J322" s="104"/>
      <c r="K322" s="24" t="s">
        <v>28</v>
      </c>
    </row>
    <row r="323" spans="3:11" ht="16.5" hidden="1" customHeight="1">
      <c r="C323" s="17">
        <v>46204</v>
      </c>
      <c r="D323" s="69" t="str">
        <f>PROPER(TEXT(C323,"MMMM"))</f>
        <v>Julho</v>
      </c>
      <c r="E323" s="19" t="s">
        <v>16</v>
      </c>
      <c r="F323" s="20" t="s">
        <v>225</v>
      </c>
      <c r="G323" s="21" t="s">
        <v>33</v>
      </c>
      <c r="H323" s="22" t="s">
        <v>1416</v>
      </c>
      <c r="I323" s="23">
        <v>100</v>
      </c>
      <c r="J323" s="104"/>
      <c r="K323" s="24" t="s">
        <v>28</v>
      </c>
    </row>
    <row r="324" spans="3:11" ht="16.5" hidden="1" customHeight="1">
      <c r="C324" s="17">
        <v>46204</v>
      </c>
      <c r="D324" s="69" t="str">
        <f>PROPER(TEXT(C324,"MMMM"))</f>
        <v>Julho</v>
      </c>
      <c r="E324" s="19" t="s">
        <v>16</v>
      </c>
      <c r="F324" s="20" t="s">
        <v>226</v>
      </c>
      <c r="G324" s="21" t="s">
        <v>116</v>
      </c>
      <c r="H324" s="22" t="s">
        <v>1416</v>
      </c>
      <c r="I324" s="23">
        <v>1000</v>
      </c>
      <c r="J324" s="104"/>
      <c r="K324" s="24" t="s">
        <v>28</v>
      </c>
    </row>
    <row r="325" spans="3:11" ht="16.5" hidden="1" customHeight="1">
      <c r="C325" s="17">
        <v>46235</v>
      </c>
      <c r="D325" s="69" t="str">
        <f>PROPER(TEXT(C325,"MMMM"))</f>
        <v>Agosto</v>
      </c>
      <c r="E325" s="19" t="s">
        <v>14</v>
      </c>
      <c r="F325" s="20" t="s">
        <v>223</v>
      </c>
      <c r="G325" s="21" t="s">
        <v>941</v>
      </c>
      <c r="H325" s="22" t="s">
        <v>73</v>
      </c>
      <c r="I325" s="23">
        <v>204.78</v>
      </c>
      <c r="J325" s="104">
        <v>46246</v>
      </c>
      <c r="K325" s="24" t="s">
        <v>28</v>
      </c>
    </row>
    <row r="326" spans="3:11" ht="16.5" hidden="1" customHeight="1">
      <c r="C326" s="17">
        <v>46235</v>
      </c>
      <c r="D326" s="69" t="str">
        <f>PROPER(TEXT(C326,"MMMM"))</f>
        <v>Agosto</v>
      </c>
      <c r="E326" s="19" t="s">
        <v>14</v>
      </c>
      <c r="F326" s="20" t="s">
        <v>223</v>
      </c>
      <c r="G326" s="25" t="s">
        <v>923</v>
      </c>
      <c r="H326" s="22" t="s">
        <v>73</v>
      </c>
      <c r="I326" s="23">
        <v>503.91</v>
      </c>
      <c r="J326" s="104">
        <v>46246</v>
      </c>
      <c r="K326" s="24" t="s">
        <v>28</v>
      </c>
    </row>
    <row r="327" spans="3:11" ht="16.5" hidden="1" customHeight="1">
      <c r="C327" s="17">
        <v>46235</v>
      </c>
      <c r="D327" s="69" t="str">
        <f>PROPER(TEXT(C327,"MMMM"))</f>
        <v>Agosto</v>
      </c>
      <c r="E327" s="19" t="s">
        <v>14</v>
      </c>
      <c r="F327" s="20" t="s">
        <v>223</v>
      </c>
      <c r="G327" s="21" t="s">
        <v>45</v>
      </c>
      <c r="H327" s="22" t="s">
        <v>73</v>
      </c>
      <c r="I327" s="23">
        <v>13616.54</v>
      </c>
      <c r="J327" s="104"/>
      <c r="K327" s="24" t="s">
        <v>28</v>
      </c>
    </row>
    <row r="328" spans="3:11" ht="16.5" hidden="1" customHeight="1">
      <c r="C328" s="17">
        <v>46235</v>
      </c>
      <c r="D328" s="69" t="str">
        <f>PROPER(TEXT(C328,"MMMM"))</f>
        <v>Agosto</v>
      </c>
      <c r="E328" s="19" t="s">
        <v>14</v>
      </c>
      <c r="F328" s="20" t="s">
        <v>223</v>
      </c>
      <c r="G328" s="21" t="s">
        <v>26</v>
      </c>
      <c r="H328" s="22" t="s">
        <v>73</v>
      </c>
      <c r="I328" s="23">
        <v>2000</v>
      </c>
      <c r="J328" s="104"/>
      <c r="K328" s="24" t="s">
        <v>28</v>
      </c>
    </row>
    <row r="329" spans="3:11" ht="16.5" hidden="1" customHeight="1">
      <c r="C329" s="17">
        <v>46235</v>
      </c>
      <c r="D329" s="69" t="str">
        <f>PROPER(TEXT(C329,"MMMM"))</f>
        <v>Agosto</v>
      </c>
      <c r="E329" s="19" t="s">
        <v>14</v>
      </c>
      <c r="F329" s="20" t="s">
        <v>225</v>
      </c>
      <c r="G329" s="21" t="s">
        <v>27</v>
      </c>
      <c r="H329" s="22" t="s">
        <v>19</v>
      </c>
      <c r="I329" s="23">
        <v>300</v>
      </c>
      <c r="J329" s="104"/>
      <c r="K329" s="24" t="s">
        <v>28</v>
      </c>
    </row>
    <row r="330" spans="3:11" ht="16.5" hidden="1" customHeight="1">
      <c r="C330" s="17">
        <v>46235</v>
      </c>
      <c r="D330" s="69" t="str">
        <f>PROPER(TEXT(C330,"MMMM"))</f>
        <v>Agosto</v>
      </c>
      <c r="E330" s="19" t="s">
        <v>14</v>
      </c>
      <c r="F330" s="20" t="s">
        <v>225</v>
      </c>
      <c r="G330" s="21" t="s">
        <v>20</v>
      </c>
      <c r="H330" s="22" t="s">
        <v>19</v>
      </c>
      <c r="I330" s="23">
        <v>3105</v>
      </c>
      <c r="J330" s="104"/>
      <c r="K330" s="24" t="s">
        <v>28</v>
      </c>
    </row>
    <row r="331" spans="3:11" ht="16.5" hidden="1" customHeight="1">
      <c r="C331" s="17">
        <v>46235</v>
      </c>
      <c r="D331" s="69" t="str">
        <f>PROPER(TEXT(C331,"MMMM"))</f>
        <v>Agosto</v>
      </c>
      <c r="E331" s="19" t="s">
        <v>14</v>
      </c>
      <c r="F331" s="20" t="s">
        <v>225</v>
      </c>
      <c r="G331" s="21" t="s">
        <v>33</v>
      </c>
      <c r="H331" s="22" t="s">
        <v>19</v>
      </c>
      <c r="I331" s="23">
        <v>713.25</v>
      </c>
      <c r="J331" s="104"/>
      <c r="K331" s="24" t="s">
        <v>28</v>
      </c>
    </row>
    <row r="332" spans="3:11" ht="16.5" hidden="1" customHeight="1">
      <c r="C332" s="17">
        <v>46235</v>
      </c>
      <c r="D332" s="69" t="str">
        <f>PROPER(TEXT(C332,"MMMM"))</f>
        <v>Agosto</v>
      </c>
      <c r="E332" s="19" t="s">
        <v>14</v>
      </c>
      <c r="F332" s="20" t="s">
        <v>225</v>
      </c>
      <c r="G332" s="21" t="s">
        <v>62</v>
      </c>
      <c r="H332" s="22" t="s">
        <v>540</v>
      </c>
      <c r="I332" s="23">
        <v>36627.5</v>
      </c>
      <c r="J332" s="104"/>
      <c r="K332" s="24" t="s">
        <v>28</v>
      </c>
    </row>
    <row r="333" spans="3:11" ht="16.5" hidden="1" customHeight="1">
      <c r="C333" s="17">
        <v>46235</v>
      </c>
      <c r="D333" s="69" t="str">
        <f>PROPER(TEXT(C333,"MMMM"))</f>
        <v>Agosto</v>
      </c>
      <c r="E333" s="19" t="s">
        <v>14</v>
      </c>
      <c r="F333" s="20" t="s">
        <v>226</v>
      </c>
      <c r="G333" s="21" t="s">
        <v>1344</v>
      </c>
      <c r="H333" s="22" t="s">
        <v>73</v>
      </c>
      <c r="I333" s="23">
        <v>1048.57</v>
      </c>
      <c r="J333" s="104">
        <v>46249</v>
      </c>
      <c r="K333" s="24" t="s">
        <v>28</v>
      </c>
    </row>
    <row r="334" spans="3:11" ht="16.5" hidden="1" customHeight="1">
      <c r="C334" s="17">
        <v>46235</v>
      </c>
      <c r="D334" s="69" t="str">
        <f>PROPER(TEXT(C334,"MMMM"))</f>
        <v>Agosto</v>
      </c>
      <c r="E334" s="19" t="s">
        <v>14</v>
      </c>
      <c r="F334" s="20" t="s">
        <v>226</v>
      </c>
      <c r="G334" s="21" t="s">
        <v>832</v>
      </c>
      <c r="H334" s="22" t="s">
        <v>73</v>
      </c>
      <c r="I334" s="23">
        <v>238.36</v>
      </c>
      <c r="J334" s="104"/>
      <c r="K334" s="24" t="s">
        <v>28</v>
      </c>
    </row>
    <row r="335" spans="3:11" ht="16.5" hidden="1" customHeight="1">
      <c r="C335" s="17">
        <v>46235</v>
      </c>
      <c r="D335" s="69" t="str">
        <f>PROPER(TEXT(C335,"MMMM"))</f>
        <v>Agosto</v>
      </c>
      <c r="E335" s="19" t="s">
        <v>14</v>
      </c>
      <c r="F335" s="20" t="s">
        <v>226</v>
      </c>
      <c r="G335" s="21" t="s">
        <v>29</v>
      </c>
      <c r="H335" s="22" t="s">
        <v>19</v>
      </c>
      <c r="I335" s="23">
        <v>150</v>
      </c>
      <c r="J335" s="104"/>
      <c r="K335" s="24" t="s">
        <v>28</v>
      </c>
    </row>
    <row r="336" spans="3:11" ht="16.5" hidden="1" customHeight="1">
      <c r="C336" s="17">
        <v>46235</v>
      </c>
      <c r="D336" s="69" t="str">
        <f>PROPER(TEXT(C336,"MMMM"))</f>
        <v>Agosto</v>
      </c>
      <c r="E336" s="19" t="s">
        <v>14</v>
      </c>
      <c r="F336" s="20" t="s">
        <v>226</v>
      </c>
      <c r="G336" s="21" t="s">
        <v>32</v>
      </c>
      <c r="H336" s="22" t="s">
        <v>73</v>
      </c>
      <c r="I336" s="23">
        <v>552.86</v>
      </c>
      <c r="J336" s="104"/>
      <c r="K336" s="24" t="s">
        <v>28</v>
      </c>
    </row>
    <row r="337" spans="3:11" ht="16.5" hidden="1" customHeight="1">
      <c r="C337" s="17">
        <v>46235</v>
      </c>
      <c r="D337" s="69" t="str">
        <f>PROPER(TEXT(C337,"MMMM"))</f>
        <v>Agosto</v>
      </c>
      <c r="E337" s="19" t="s">
        <v>14</v>
      </c>
      <c r="F337" s="20" t="s">
        <v>227</v>
      </c>
      <c r="G337" s="21" t="s">
        <v>48</v>
      </c>
      <c r="H337" s="22" t="s">
        <v>73</v>
      </c>
      <c r="I337" s="23">
        <v>860.91</v>
      </c>
      <c r="J337" s="104"/>
      <c r="K337" s="24" t="s">
        <v>28</v>
      </c>
    </row>
    <row r="338" spans="3:11" ht="16.5" hidden="1" customHeight="1">
      <c r="C338" s="17">
        <v>46235</v>
      </c>
      <c r="D338" s="69" t="str">
        <f>PROPER(TEXT(C338,"MMMM"))</f>
        <v>Agosto</v>
      </c>
      <c r="E338" s="19" t="s">
        <v>14</v>
      </c>
      <c r="F338" s="20" t="s">
        <v>227</v>
      </c>
      <c r="G338" s="25" t="s">
        <v>833</v>
      </c>
      <c r="H338" s="22" t="s">
        <v>73</v>
      </c>
      <c r="I338" s="26">
        <v>2297.77</v>
      </c>
      <c r="J338" s="104"/>
      <c r="K338" s="24" t="s">
        <v>28</v>
      </c>
    </row>
    <row r="339" spans="3:11" ht="16.5" hidden="1" customHeight="1">
      <c r="C339" s="17">
        <v>46235</v>
      </c>
      <c r="D339" s="69" t="str">
        <f>PROPER(TEXT(C339,"MMMM"))</f>
        <v>Agosto</v>
      </c>
      <c r="E339" s="19" t="s">
        <v>14</v>
      </c>
      <c r="F339" s="20" t="s">
        <v>227</v>
      </c>
      <c r="G339" s="25" t="s">
        <v>834</v>
      </c>
      <c r="H339" s="22" t="s">
        <v>73</v>
      </c>
      <c r="I339" s="26">
        <v>1469.15</v>
      </c>
      <c r="J339" s="104"/>
      <c r="K339" s="24" t="s">
        <v>28</v>
      </c>
    </row>
    <row r="340" spans="3:11" ht="16.5" hidden="1" customHeight="1">
      <c r="C340" s="17">
        <v>46235</v>
      </c>
      <c r="D340" s="69" t="str">
        <f>PROPER(TEXT(C340,"MMMM"))</f>
        <v>Agosto</v>
      </c>
      <c r="E340" s="19" t="s">
        <v>14</v>
      </c>
      <c r="F340" s="20" t="s">
        <v>227</v>
      </c>
      <c r="G340" s="25" t="s">
        <v>49</v>
      </c>
      <c r="H340" s="22" t="s">
        <v>73</v>
      </c>
      <c r="I340" s="26">
        <v>410</v>
      </c>
      <c r="J340" s="104"/>
      <c r="K340" s="24" t="s">
        <v>28</v>
      </c>
    </row>
    <row r="341" spans="3:11" ht="16.5" hidden="1" customHeight="1">
      <c r="C341" s="17">
        <v>46235</v>
      </c>
      <c r="D341" s="69" t="str">
        <f>PROPER(TEXT(C341,"MMMM"))</f>
        <v>Agosto</v>
      </c>
      <c r="E341" s="19" t="s">
        <v>14</v>
      </c>
      <c r="F341" s="20" t="s">
        <v>227</v>
      </c>
      <c r="G341" s="21" t="s">
        <v>532</v>
      </c>
      <c r="H341" s="22" t="s">
        <v>73</v>
      </c>
      <c r="I341" s="23">
        <v>2300</v>
      </c>
      <c r="J341" s="104"/>
      <c r="K341" s="24" t="s">
        <v>28</v>
      </c>
    </row>
    <row r="342" spans="3:11" ht="16.5" hidden="1" customHeight="1">
      <c r="C342" s="17">
        <v>46235</v>
      </c>
      <c r="D342" s="69" t="str">
        <f>PROPER(TEXT(C342,"MMMM"))</f>
        <v>Agosto</v>
      </c>
      <c r="E342" s="19" t="s">
        <v>14</v>
      </c>
      <c r="F342" s="20" t="s">
        <v>227</v>
      </c>
      <c r="G342" s="21" t="s">
        <v>533</v>
      </c>
      <c r="H342" s="22" t="s">
        <v>73</v>
      </c>
      <c r="I342" s="23">
        <v>1405</v>
      </c>
      <c r="J342" s="104"/>
      <c r="K342" s="24" t="s">
        <v>28</v>
      </c>
    </row>
    <row r="343" spans="3:11" ht="16.5" hidden="1" customHeight="1">
      <c r="C343" s="17">
        <v>46235</v>
      </c>
      <c r="D343" s="69" t="str">
        <f>PROPER(TEXT(C343,"MMMM"))</f>
        <v>Agosto</v>
      </c>
      <c r="E343" s="19" t="s">
        <v>14</v>
      </c>
      <c r="F343" s="20" t="s">
        <v>227</v>
      </c>
      <c r="G343" s="21" t="s">
        <v>1170</v>
      </c>
      <c r="H343" s="22" t="s">
        <v>73</v>
      </c>
      <c r="I343" s="23">
        <v>2300</v>
      </c>
      <c r="J343" s="104"/>
      <c r="K343" s="24" t="s">
        <v>28</v>
      </c>
    </row>
    <row r="344" spans="3:11" ht="16.5" hidden="1" customHeight="1">
      <c r="C344" s="17">
        <v>46235</v>
      </c>
      <c r="D344" s="69" t="str">
        <f>PROPER(TEXT(C344,"MMMM"))</f>
        <v>Agosto</v>
      </c>
      <c r="E344" s="19" t="s">
        <v>14</v>
      </c>
      <c r="F344" s="20" t="s">
        <v>227</v>
      </c>
      <c r="G344" s="21" t="s">
        <v>50</v>
      </c>
      <c r="H344" s="22" t="s">
        <v>73</v>
      </c>
      <c r="I344" s="27">
        <v>466.34</v>
      </c>
      <c r="J344" s="104"/>
      <c r="K344" s="24" t="s">
        <v>28</v>
      </c>
    </row>
    <row r="345" spans="3:11" ht="16.5" hidden="1" customHeight="1">
      <c r="C345" s="17">
        <v>46235</v>
      </c>
      <c r="D345" s="69" t="str">
        <f>PROPER(TEXT(C345,"MMMM"))</f>
        <v>Agosto</v>
      </c>
      <c r="E345" s="19" t="s">
        <v>14</v>
      </c>
      <c r="F345" s="20" t="s">
        <v>227</v>
      </c>
      <c r="G345" s="21" t="s">
        <v>835</v>
      </c>
      <c r="H345" s="22" t="s">
        <v>73</v>
      </c>
      <c r="I345" s="27">
        <v>238.36</v>
      </c>
      <c r="J345" s="104"/>
      <c r="K345" s="24" t="s">
        <v>28</v>
      </c>
    </row>
    <row r="346" spans="3:11" ht="16.5" hidden="1" customHeight="1">
      <c r="C346" s="17">
        <v>46235</v>
      </c>
      <c r="D346" s="69" t="str">
        <f>PROPER(TEXT(C346,"MMMM"))</f>
        <v>Agosto</v>
      </c>
      <c r="E346" s="19" t="s">
        <v>14</v>
      </c>
      <c r="F346" s="20" t="s">
        <v>227</v>
      </c>
      <c r="G346" s="21" t="s">
        <v>630</v>
      </c>
      <c r="H346" s="22" t="s">
        <v>73</v>
      </c>
      <c r="I346" s="23">
        <v>450</v>
      </c>
      <c r="J346" s="104"/>
      <c r="K346" s="24" t="s">
        <v>28</v>
      </c>
    </row>
    <row r="347" spans="3:11" ht="16.5" hidden="1" customHeight="1">
      <c r="C347" s="17">
        <v>46235</v>
      </c>
      <c r="D347" s="69" t="str">
        <f>PROPER(TEXT(C347,"MMMM"))</f>
        <v>Agosto</v>
      </c>
      <c r="E347" s="19" t="s">
        <v>14</v>
      </c>
      <c r="F347" s="20" t="s">
        <v>227</v>
      </c>
      <c r="G347" s="21" t="s">
        <v>631</v>
      </c>
      <c r="H347" s="22" t="s">
        <v>73</v>
      </c>
      <c r="I347" s="23">
        <v>350</v>
      </c>
      <c r="J347" s="104"/>
      <c r="K347" s="24" t="s">
        <v>28</v>
      </c>
    </row>
    <row r="348" spans="3:11" ht="16.5" hidden="1" customHeight="1">
      <c r="C348" s="17">
        <v>46235</v>
      </c>
      <c r="D348" s="69" t="str">
        <f>PROPER(TEXT(C348,"MMMM"))</f>
        <v>Agosto</v>
      </c>
      <c r="E348" s="19" t="s">
        <v>14</v>
      </c>
      <c r="F348" s="20" t="s">
        <v>227</v>
      </c>
      <c r="G348" s="21" t="s">
        <v>1173</v>
      </c>
      <c r="H348" s="22" t="s">
        <v>73</v>
      </c>
      <c r="I348" s="27">
        <v>450</v>
      </c>
      <c r="J348" s="104"/>
      <c r="K348" s="24" t="s">
        <v>28</v>
      </c>
    </row>
    <row r="349" spans="3:11" ht="16.5" hidden="1" customHeight="1">
      <c r="C349" s="17">
        <v>46235</v>
      </c>
      <c r="D349" s="69" t="str">
        <f>PROPER(TEXT(C349,"MMMM"))</f>
        <v>Agosto</v>
      </c>
      <c r="E349" s="19" t="s">
        <v>15</v>
      </c>
      <c r="F349" s="20" t="s">
        <v>223</v>
      </c>
      <c r="G349" s="21" t="s">
        <v>85</v>
      </c>
      <c r="H349" s="22" t="s">
        <v>75</v>
      </c>
      <c r="I349" s="23">
        <v>1100</v>
      </c>
      <c r="J349" s="104"/>
      <c r="K349" s="24" t="s">
        <v>28</v>
      </c>
    </row>
    <row r="350" spans="3:11" ht="16.5" hidden="1" customHeight="1">
      <c r="C350" s="17">
        <v>46235</v>
      </c>
      <c r="D350" s="69" t="str">
        <f>PROPER(TEXT(C350,"MMMM"))</f>
        <v>Agosto</v>
      </c>
      <c r="E350" s="19" t="s">
        <v>15</v>
      </c>
      <c r="F350" s="20" t="s">
        <v>223</v>
      </c>
      <c r="G350" s="21" t="s">
        <v>86</v>
      </c>
      <c r="H350" s="22" t="s">
        <v>75</v>
      </c>
      <c r="I350" s="23">
        <v>1100</v>
      </c>
      <c r="J350" s="104"/>
      <c r="K350" s="24" t="s">
        <v>28</v>
      </c>
    </row>
    <row r="351" spans="3:11" ht="16.5" hidden="1" customHeight="1">
      <c r="C351" s="17">
        <v>46235</v>
      </c>
      <c r="D351" s="69" t="str">
        <f>PROPER(TEXT(C351,"MMMM"))</f>
        <v>Agosto</v>
      </c>
      <c r="E351" s="19" t="s">
        <v>15</v>
      </c>
      <c r="F351" s="20" t="s">
        <v>223</v>
      </c>
      <c r="G351" s="21" t="s">
        <v>87</v>
      </c>
      <c r="H351" s="22" t="s">
        <v>75</v>
      </c>
      <c r="I351" s="23">
        <v>700</v>
      </c>
      <c r="J351" s="104"/>
      <c r="K351" s="24" t="s">
        <v>28</v>
      </c>
    </row>
    <row r="352" spans="3:11" ht="16.5" hidden="1" customHeight="1">
      <c r="C352" s="17">
        <v>46235</v>
      </c>
      <c r="D352" s="69" t="str">
        <f>PROPER(TEXT(C352,"MMMM"))</f>
        <v>Agosto</v>
      </c>
      <c r="E352" s="19" t="s">
        <v>15</v>
      </c>
      <c r="F352" s="20" t="s">
        <v>223</v>
      </c>
      <c r="G352" s="21" t="s">
        <v>90</v>
      </c>
      <c r="H352" s="22" t="s">
        <v>75</v>
      </c>
      <c r="I352" s="27">
        <v>400</v>
      </c>
      <c r="J352" s="104"/>
      <c r="K352" s="24" t="s">
        <v>28</v>
      </c>
    </row>
    <row r="353" spans="3:11" ht="16.5" hidden="1" customHeight="1">
      <c r="C353" s="17">
        <v>46235</v>
      </c>
      <c r="D353" s="69" t="str">
        <f>PROPER(TEXT(C353,"MMMM"))</f>
        <v>Agosto</v>
      </c>
      <c r="E353" s="19" t="s">
        <v>15</v>
      </c>
      <c r="F353" s="20" t="s">
        <v>223</v>
      </c>
      <c r="G353" s="21" t="s">
        <v>88</v>
      </c>
      <c r="H353" s="22" t="s">
        <v>75</v>
      </c>
      <c r="I353" s="23">
        <v>220</v>
      </c>
      <c r="J353" s="104"/>
      <c r="K353" s="24" t="s">
        <v>28</v>
      </c>
    </row>
    <row r="354" spans="3:11" ht="16.5" hidden="1" customHeight="1">
      <c r="C354" s="17">
        <v>46235</v>
      </c>
      <c r="D354" s="69" t="str">
        <f>PROPER(TEXT(C354,"MMMM"))</f>
        <v>Agosto</v>
      </c>
      <c r="E354" s="19" t="s">
        <v>15</v>
      </c>
      <c r="F354" s="20" t="s">
        <v>224</v>
      </c>
      <c r="G354" s="21" t="s">
        <v>1190</v>
      </c>
      <c r="H354" s="22" t="s">
        <v>75</v>
      </c>
      <c r="I354" s="23">
        <v>735</v>
      </c>
      <c r="J354" s="104"/>
      <c r="K354" s="24" t="s">
        <v>28</v>
      </c>
    </row>
    <row r="355" spans="3:11" ht="16.5" hidden="1" customHeight="1">
      <c r="C355" s="17">
        <v>46235</v>
      </c>
      <c r="D355" s="69" t="str">
        <f>PROPER(TEXT(C355,"MMMM"))</f>
        <v>Agosto</v>
      </c>
      <c r="E355" s="19" t="s">
        <v>15</v>
      </c>
      <c r="F355" s="20" t="s">
        <v>224</v>
      </c>
      <c r="G355" s="21" t="s">
        <v>1191</v>
      </c>
      <c r="H355" s="22" t="s">
        <v>75</v>
      </c>
      <c r="I355" s="27">
        <v>3000</v>
      </c>
      <c r="J355" s="104"/>
      <c r="K355" s="24" t="s">
        <v>28</v>
      </c>
    </row>
    <row r="356" spans="3:11" ht="16.5" hidden="1" customHeight="1">
      <c r="C356" s="17">
        <v>46235</v>
      </c>
      <c r="D356" s="69" t="str">
        <f>PROPER(TEXT(C356,"MMMM"))</f>
        <v>Agosto</v>
      </c>
      <c r="E356" s="19" t="s">
        <v>15</v>
      </c>
      <c r="F356" s="20" t="s">
        <v>224</v>
      </c>
      <c r="G356" s="21" t="s">
        <v>1215</v>
      </c>
      <c r="H356" s="22" t="s">
        <v>75</v>
      </c>
      <c r="I356" s="23">
        <v>209</v>
      </c>
      <c r="J356" s="104"/>
      <c r="K356" s="24" t="s">
        <v>28</v>
      </c>
    </row>
    <row r="357" spans="3:11" ht="16.5" hidden="1" customHeight="1">
      <c r="C357" s="17">
        <v>46235</v>
      </c>
      <c r="D357" s="69" t="str">
        <f>PROPER(TEXT(C357,"MMMM"))</f>
        <v>Agosto</v>
      </c>
      <c r="E357" s="19" t="s">
        <v>15</v>
      </c>
      <c r="F357" s="20" t="s">
        <v>225</v>
      </c>
      <c r="G357" s="21" t="s">
        <v>27</v>
      </c>
      <c r="H357" s="22" t="s">
        <v>23</v>
      </c>
      <c r="I357" s="27">
        <v>330</v>
      </c>
      <c r="J357" s="104"/>
      <c r="K357" s="24" t="s">
        <v>28</v>
      </c>
    </row>
    <row r="358" spans="3:11" ht="16.5" hidden="1" customHeight="1">
      <c r="C358" s="17">
        <v>46235</v>
      </c>
      <c r="D358" s="69" t="str">
        <f>PROPER(TEXT(C358,"MMMM"))</f>
        <v>Agosto</v>
      </c>
      <c r="E358" s="19" t="s">
        <v>15</v>
      </c>
      <c r="F358" s="20" t="s">
        <v>225</v>
      </c>
      <c r="G358" s="21" t="s">
        <v>20</v>
      </c>
      <c r="H358" s="22" t="s">
        <v>23</v>
      </c>
      <c r="I358" s="27">
        <v>11000</v>
      </c>
      <c r="J358" s="104"/>
      <c r="K358" s="24" t="s">
        <v>28</v>
      </c>
    </row>
    <row r="359" spans="3:11" ht="16.5" hidden="1" customHeight="1">
      <c r="C359" s="17">
        <v>46235</v>
      </c>
      <c r="D359" s="69" t="str">
        <f>PROPER(TEXT(C359,"MMMM"))</f>
        <v>Agosto</v>
      </c>
      <c r="E359" s="19" t="s">
        <v>15</v>
      </c>
      <c r="F359" s="20" t="s">
        <v>225</v>
      </c>
      <c r="G359" s="21" t="s">
        <v>33</v>
      </c>
      <c r="H359" s="22" t="s">
        <v>23</v>
      </c>
      <c r="I359" s="26">
        <v>220</v>
      </c>
      <c r="J359" s="104"/>
      <c r="K359" s="24" t="s">
        <v>28</v>
      </c>
    </row>
    <row r="360" spans="3:11" ht="16.5" hidden="1" customHeight="1">
      <c r="C360" s="17">
        <v>46235</v>
      </c>
      <c r="D360" s="69" t="str">
        <f>PROPER(TEXT(C360,"MMMM"))</f>
        <v>Agosto</v>
      </c>
      <c r="E360" s="19" t="s">
        <v>15</v>
      </c>
      <c r="F360" s="20" t="s">
        <v>225</v>
      </c>
      <c r="G360" s="25" t="s">
        <v>62</v>
      </c>
      <c r="H360" s="22" t="s">
        <v>547</v>
      </c>
      <c r="I360" s="26">
        <v>36627.5</v>
      </c>
      <c r="J360" s="104"/>
      <c r="K360" s="24" t="s">
        <v>28</v>
      </c>
    </row>
    <row r="361" spans="3:11" ht="16.5" hidden="1" customHeight="1">
      <c r="C361" s="17">
        <v>46235</v>
      </c>
      <c r="D361" s="69" t="str">
        <f>PROPER(TEXT(C361,"MMMM"))</f>
        <v>Agosto</v>
      </c>
      <c r="E361" s="19" t="s">
        <v>15</v>
      </c>
      <c r="F361" s="20" t="s">
        <v>225</v>
      </c>
      <c r="G361" s="25" t="s">
        <v>51</v>
      </c>
      <c r="H361" s="22" t="s">
        <v>75</v>
      </c>
      <c r="I361" s="26">
        <v>36000</v>
      </c>
      <c r="J361" s="104"/>
      <c r="K361" s="24" t="s">
        <v>28</v>
      </c>
    </row>
    <row r="362" spans="3:11" ht="16.5" hidden="1" customHeight="1">
      <c r="C362" s="17">
        <v>46235</v>
      </c>
      <c r="D362" s="69" t="str">
        <f>PROPER(TEXT(C362,"MMMM"))</f>
        <v>Agosto</v>
      </c>
      <c r="E362" s="19" t="s">
        <v>15</v>
      </c>
      <c r="F362" s="20" t="s">
        <v>226</v>
      </c>
      <c r="G362" s="21" t="s">
        <v>34</v>
      </c>
      <c r="H362" s="22" t="s">
        <v>75</v>
      </c>
      <c r="I362" s="23">
        <v>503.34</v>
      </c>
      <c r="J362" s="104"/>
      <c r="K362" s="24" t="s">
        <v>28</v>
      </c>
    </row>
    <row r="363" spans="3:11" ht="16.5" hidden="1" customHeight="1">
      <c r="C363" s="17">
        <v>46235</v>
      </c>
      <c r="D363" s="69" t="str">
        <f>PROPER(TEXT(C363,"MMMM"))</f>
        <v>Agosto</v>
      </c>
      <c r="E363" s="19" t="s">
        <v>16</v>
      </c>
      <c r="F363" s="20" t="s">
        <v>223</v>
      </c>
      <c r="G363" s="21" t="s">
        <v>118</v>
      </c>
      <c r="H363" s="22" t="s">
        <v>1416</v>
      </c>
      <c r="I363" s="23">
        <v>4900</v>
      </c>
      <c r="J363" s="104"/>
      <c r="K363" s="24" t="s">
        <v>28</v>
      </c>
    </row>
    <row r="364" spans="3:11" ht="16.5" hidden="1" customHeight="1">
      <c r="C364" s="17">
        <v>46235</v>
      </c>
      <c r="D364" s="69" t="str">
        <f>PROPER(TEXT(C364,"MMMM"))</f>
        <v>Agosto</v>
      </c>
      <c r="E364" s="19" t="s">
        <v>16</v>
      </c>
      <c r="F364" s="20" t="s">
        <v>223</v>
      </c>
      <c r="G364" s="21" t="s">
        <v>157</v>
      </c>
      <c r="H364" s="22" t="s">
        <v>1416</v>
      </c>
      <c r="I364" s="23">
        <v>2131</v>
      </c>
      <c r="J364" s="104"/>
      <c r="K364" s="24" t="s">
        <v>28</v>
      </c>
    </row>
    <row r="365" spans="3:11" ht="16.5" hidden="1" customHeight="1">
      <c r="C365" s="17">
        <v>46235</v>
      </c>
      <c r="D365" s="69" t="str">
        <f>PROPER(TEXT(C365,"MMMM"))</f>
        <v>Agosto</v>
      </c>
      <c r="E365" s="19" t="s">
        <v>16</v>
      </c>
      <c r="F365" s="20" t="s">
        <v>225</v>
      </c>
      <c r="G365" s="21" t="s">
        <v>35</v>
      </c>
      <c r="H365" s="22" t="s">
        <v>720</v>
      </c>
      <c r="I365" s="23">
        <v>1000</v>
      </c>
      <c r="J365" s="104"/>
      <c r="K365" s="24" t="s">
        <v>28</v>
      </c>
    </row>
    <row r="366" spans="3:11" ht="16.5" hidden="1" customHeight="1">
      <c r="C366" s="17">
        <v>46235</v>
      </c>
      <c r="D366" s="69" t="str">
        <f>PROPER(TEXT(C366,"MMMM"))</f>
        <v>Agosto</v>
      </c>
      <c r="E366" s="19" t="s">
        <v>16</v>
      </c>
      <c r="F366" s="20" t="s">
        <v>225</v>
      </c>
      <c r="G366" s="21" t="s">
        <v>27</v>
      </c>
      <c r="H366" s="22" t="s">
        <v>1416</v>
      </c>
      <c r="I366" s="23">
        <v>200</v>
      </c>
      <c r="J366" s="104"/>
      <c r="K366" s="24" t="s">
        <v>28</v>
      </c>
    </row>
    <row r="367" spans="3:11" ht="16.5" hidden="1" customHeight="1">
      <c r="C367" s="17">
        <v>46235</v>
      </c>
      <c r="D367" s="69" t="str">
        <f>PROPER(TEXT(C367,"MMMM"))</f>
        <v>Agosto</v>
      </c>
      <c r="E367" s="19" t="s">
        <v>16</v>
      </c>
      <c r="F367" s="20" t="s">
        <v>225</v>
      </c>
      <c r="G367" s="21" t="s">
        <v>20</v>
      </c>
      <c r="H367" s="22" t="s">
        <v>1416</v>
      </c>
      <c r="I367" s="23">
        <v>5000</v>
      </c>
      <c r="J367" s="104"/>
      <c r="K367" s="24" t="s">
        <v>28</v>
      </c>
    </row>
    <row r="368" spans="3:11" ht="16.5" hidden="1" customHeight="1">
      <c r="C368" s="17">
        <v>46235</v>
      </c>
      <c r="D368" s="69" t="str">
        <f>PROPER(TEXT(C368,"MMMM"))</f>
        <v>Agosto</v>
      </c>
      <c r="E368" s="19" t="s">
        <v>16</v>
      </c>
      <c r="F368" s="20" t="s">
        <v>225</v>
      </c>
      <c r="G368" s="21" t="s">
        <v>33</v>
      </c>
      <c r="H368" s="22" t="s">
        <v>1416</v>
      </c>
      <c r="I368" s="23">
        <v>100</v>
      </c>
      <c r="J368" s="104"/>
      <c r="K368" s="24" t="s">
        <v>28</v>
      </c>
    </row>
    <row r="369" spans="3:11" ht="16.5" hidden="1" customHeight="1">
      <c r="C369" s="17">
        <v>46266</v>
      </c>
      <c r="D369" s="69" t="str">
        <f>PROPER(TEXT(C369,"MMMM"))</f>
        <v>Setembro</v>
      </c>
      <c r="E369" s="19" t="s">
        <v>14</v>
      </c>
      <c r="F369" s="20" t="s">
        <v>223</v>
      </c>
      <c r="G369" s="21" t="s">
        <v>942</v>
      </c>
      <c r="H369" s="22" t="s">
        <v>73</v>
      </c>
      <c r="I369" s="23">
        <v>204.78</v>
      </c>
      <c r="J369" s="104">
        <v>46277</v>
      </c>
      <c r="K369" s="24" t="s">
        <v>28</v>
      </c>
    </row>
    <row r="370" spans="3:11" ht="16.5" hidden="1" customHeight="1">
      <c r="C370" s="17">
        <v>46266</v>
      </c>
      <c r="D370" s="69" t="str">
        <f>PROPER(TEXT(C370,"MMMM"))</f>
        <v>Setembro</v>
      </c>
      <c r="E370" s="19" t="s">
        <v>14</v>
      </c>
      <c r="F370" s="20" t="s">
        <v>223</v>
      </c>
      <c r="G370" s="25" t="s">
        <v>924</v>
      </c>
      <c r="H370" s="22" t="s">
        <v>73</v>
      </c>
      <c r="I370" s="23">
        <v>503.91</v>
      </c>
      <c r="J370" s="104">
        <v>46277</v>
      </c>
      <c r="K370" s="24" t="s">
        <v>28</v>
      </c>
    </row>
    <row r="371" spans="3:11" ht="16.5" hidden="1" customHeight="1">
      <c r="C371" s="17">
        <v>46266</v>
      </c>
      <c r="D371" s="69" t="str">
        <f>PROPER(TEXT(C371,"MMMM"))</f>
        <v>Setembro</v>
      </c>
      <c r="E371" s="19" t="s">
        <v>14</v>
      </c>
      <c r="F371" s="20" t="s">
        <v>223</v>
      </c>
      <c r="G371" s="21" t="s">
        <v>45</v>
      </c>
      <c r="H371" s="22" t="s">
        <v>73</v>
      </c>
      <c r="I371" s="23">
        <v>13616.54</v>
      </c>
      <c r="J371" s="104"/>
      <c r="K371" s="24" t="s">
        <v>28</v>
      </c>
    </row>
    <row r="372" spans="3:11" ht="16.5" hidden="1" customHeight="1">
      <c r="C372" s="17">
        <v>46266</v>
      </c>
      <c r="D372" s="69" t="str">
        <f>PROPER(TEXT(C372,"MMMM"))</f>
        <v>Setembro</v>
      </c>
      <c r="E372" s="19" t="s">
        <v>14</v>
      </c>
      <c r="F372" s="20" t="s">
        <v>223</v>
      </c>
      <c r="G372" s="21" t="s">
        <v>26</v>
      </c>
      <c r="H372" s="22" t="s">
        <v>73</v>
      </c>
      <c r="I372" s="23">
        <v>2000</v>
      </c>
      <c r="J372" s="104"/>
      <c r="K372" s="24" t="s">
        <v>28</v>
      </c>
    </row>
    <row r="373" spans="3:11" ht="16.5" hidden="1" customHeight="1">
      <c r="C373" s="17">
        <v>46266</v>
      </c>
      <c r="D373" s="69" t="str">
        <f>PROPER(TEXT(C373,"MMMM"))</f>
        <v>Setembro</v>
      </c>
      <c r="E373" s="19" t="s">
        <v>14</v>
      </c>
      <c r="F373" s="20" t="s">
        <v>225</v>
      </c>
      <c r="G373" s="21" t="s">
        <v>27</v>
      </c>
      <c r="H373" s="22" t="s">
        <v>19</v>
      </c>
      <c r="I373" s="23">
        <v>300</v>
      </c>
      <c r="J373" s="104"/>
      <c r="K373" s="24" t="s">
        <v>28</v>
      </c>
    </row>
    <row r="374" spans="3:11" ht="16.5" hidden="1" customHeight="1">
      <c r="C374" s="17">
        <v>46266</v>
      </c>
      <c r="D374" s="69" t="str">
        <f>PROPER(TEXT(C374,"MMMM"))</f>
        <v>Setembro</v>
      </c>
      <c r="E374" s="19" t="s">
        <v>14</v>
      </c>
      <c r="F374" s="20" t="s">
        <v>225</v>
      </c>
      <c r="G374" s="21" t="s">
        <v>20</v>
      </c>
      <c r="H374" s="22" t="s">
        <v>19</v>
      </c>
      <c r="I374" s="23">
        <v>3105</v>
      </c>
      <c r="J374" s="104"/>
      <c r="K374" s="24" t="s">
        <v>28</v>
      </c>
    </row>
    <row r="375" spans="3:11" ht="16.5" hidden="1" customHeight="1">
      <c r="C375" s="17">
        <v>46266</v>
      </c>
      <c r="D375" s="69" t="str">
        <f>PROPER(TEXT(C375,"MMMM"))</f>
        <v>Setembro</v>
      </c>
      <c r="E375" s="19" t="s">
        <v>14</v>
      </c>
      <c r="F375" s="20" t="s">
        <v>225</v>
      </c>
      <c r="G375" s="21" t="s">
        <v>33</v>
      </c>
      <c r="H375" s="22" t="s">
        <v>19</v>
      </c>
      <c r="I375" s="23">
        <v>713.25</v>
      </c>
      <c r="J375" s="104"/>
      <c r="K375" s="24" t="s">
        <v>28</v>
      </c>
    </row>
    <row r="376" spans="3:11" ht="16.5" hidden="1" customHeight="1">
      <c r="C376" s="17">
        <v>46266</v>
      </c>
      <c r="D376" s="69" t="str">
        <f>PROPER(TEXT(C376,"MMMM"))</f>
        <v>Setembro</v>
      </c>
      <c r="E376" s="19" t="s">
        <v>14</v>
      </c>
      <c r="F376" s="20" t="s">
        <v>225</v>
      </c>
      <c r="G376" s="21" t="s">
        <v>60</v>
      </c>
      <c r="H376" s="22" t="s">
        <v>19</v>
      </c>
      <c r="I376" s="26">
        <v>500</v>
      </c>
      <c r="J376" s="104"/>
      <c r="K376" s="24" t="s">
        <v>28</v>
      </c>
    </row>
    <row r="377" spans="3:11" ht="16.5" hidden="1" customHeight="1">
      <c r="C377" s="17">
        <v>46266</v>
      </c>
      <c r="D377" s="69" t="str">
        <f>PROPER(TEXT(C377,"MMMM"))</f>
        <v>Setembro</v>
      </c>
      <c r="E377" s="19" t="s">
        <v>14</v>
      </c>
      <c r="F377" s="20" t="s">
        <v>225</v>
      </c>
      <c r="G377" s="21" t="s">
        <v>63</v>
      </c>
      <c r="H377" s="22" t="s">
        <v>540</v>
      </c>
      <c r="I377" s="23">
        <v>7600</v>
      </c>
      <c r="J377" s="104"/>
      <c r="K377" s="24" t="s">
        <v>28</v>
      </c>
    </row>
    <row r="378" spans="3:11" ht="16.5" hidden="1" customHeight="1">
      <c r="C378" s="17">
        <v>46266</v>
      </c>
      <c r="D378" s="69" t="str">
        <f>PROPER(TEXT(C378,"MMMM"))</f>
        <v>Setembro</v>
      </c>
      <c r="E378" s="19" t="s">
        <v>14</v>
      </c>
      <c r="F378" s="20" t="s">
        <v>226</v>
      </c>
      <c r="G378" s="21" t="s">
        <v>1345</v>
      </c>
      <c r="H378" s="22" t="s">
        <v>73</v>
      </c>
      <c r="I378" s="23">
        <v>1048.57</v>
      </c>
      <c r="J378" s="104">
        <v>46280</v>
      </c>
      <c r="K378" s="24" t="s">
        <v>28</v>
      </c>
    </row>
    <row r="379" spans="3:11" ht="16.5" hidden="1" customHeight="1">
      <c r="C379" s="17">
        <v>46266</v>
      </c>
      <c r="D379" s="69" t="str">
        <f>PROPER(TEXT(C379,"MMMM"))</f>
        <v>Setembro</v>
      </c>
      <c r="E379" s="19" t="s">
        <v>14</v>
      </c>
      <c r="F379" s="20" t="s">
        <v>226</v>
      </c>
      <c r="G379" s="21" t="s">
        <v>836</v>
      </c>
      <c r="H379" s="22" t="s">
        <v>73</v>
      </c>
      <c r="I379" s="23">
        <v>300</v>
      </c>
      <c r="J379" s="104"/>
      <c r="K379" s="24" t="s">
        <v>28</v>
      </c>
    </row>
    <row r="380" spans="3:11" ht="16.5" hidden="1" customHeight="1">
      <c r="C380" s="17">
        <v>46266</v>
      </c>
      <c r="D380" s="69" t="str">
        <f>PROPER(TEXT(C380,"MMMM"))</f>
        <v>Setembro</v>
      </c>
      <c r="E380" s="19" t="s">
        <v>14</v>
      </c>
      <c r="F380" s="20" t="s">
        <v>226</v>
      </c>
      <c r="G380" s="21" t="s">
        <v>29</v>
      </c>
      <c r="H380" s="22" t="s">
        <v>19</v>
      </c>
      <c r="I380" s="23">
        <v>150</v>
      </c>
      <c r="J380" s="104"/>
      <c r="K380" s="24" t="s">
        <v>28</v>
      </c>
    </row>
    <row r="381" spans="3:11" ht="16.5" hidden="1" customHeight="1">
      <c r="C381" s="17">
        <v>46266</v>
      </c>
      <c r="D381" s="69" t="str">
        <f>PROPER(TEXT(C381,"MMMM"))</f>
        <v>Setembro</v>
      </c>
      <c r="E381" s="19" t="s">
        <v>14</v>
      </c>
      <c r="F381" s="20" t="s">
        <v>226</v>
      </c>
      <c r="G381" s="21" t="s">
        <v>32</v>
      </c>
      <c r="H381" s="22" t="s">
        <v>73</v>
      </c>
      <c r="I381" s="23">
        <v>552.86</v>
      </c>
      <c r="J381" s="104"/>
      <c r="K381" s="24" t="s">
        <v>28</v>
      </c>
    </row>
    <row r="382" spans="3:11" ht="16.5" hidden="1" customHeight="1">
      <c r="C382" s="17">
        <v>46266</v>
      </c>
      <c r="D382" s="69" t="str">
        <f>PROPER(TEXT(C382,"MMMM"))</f>
        <v>Setembro</v>
      </c>
      <c r="E382" s="19" t="s">
        <v>14</v>
      </c>
      <c r="F382" s="20" t="s">
        <v>227</v>
      </c>
      <c r="G382" s="21" t="s">
        <v>837</v>
      </c>
      <c r="H382" s="22" t="s">
        <v>73</v>
      </c>
      <c r="I382" s="23">
        <v>1518</v>
      </c>
      <c r="J382" s="104"/>
      <c r="K382" s="24" t="s">
        <v>28</v>
      </c>
    </row>
    <row r="383" spans="3:11" ht="16.5" hidden="1" customHeight="1">
      <c r="C383" s="17">
        <v>46266</v>
      </c>
      <c r="D383" s="69" t="str">
        <f>PROPER(TEXT(C383,"MMMM"))</f>
        <v>Setembro</v>
      </c>
      <c r="E383" s="19" t="s">
        <v>14</v>
      </c>
      <c r="F383" s="20" t="s">
        <v>227</v>
      </c>
      <c r="G383" s="25" t="s">
        <v>48</v>
      </c>
      <c r="H383" s="22" t="s">
        <v>73</v>
      </c>
      <c r="I383" s="26">
        <v>860.91</v>
      </c>
      <c r="J383" s="104"/>
      <c r="K383" s="24" t="s">
        <v>28</v>
      </c>
    </row>
    <row r="384" spans="3:11" ht="16.5" hidden="1" customHeight="1">
      <c r="C384" s="17">
        <v>46266</v>
      </c>
      <c r="D384" s="69" t="str">
        <f>PROPER(TEXT(C384,"MMMM"))</f>
        <v>Setembro</v>
      </c>
      <c r="E384" s="19" t="s">
        <v>14</v>
      </c>
      <c r="F384" s="20" t="s">
        <v>227</v>
      </c>
      <c r="G384" s="25" t="s">
        <v>1174</v>
      </c>
      <c r="H384" s="22" t="s">
        <v>73</v>
      </c>
      <c r="I384" s="26">
        <v>3017.63</v>
      </c>
      <c r="J384" s="104"/>
      <c r="K384" s="24" t="s">
        <v>28</v>
      </c>
    </row>
    <row r="385" spans="3:11" ht="16.5" hidden="1" customHeight="1">
      <c r="C385" s="17">
        <v>46266</v>
      </c>
      <c r="D385" s="69" t="str">
        <f>PROPER(TEXT(C385,"MMMM"))</f>
        <v>Setembro</v>
      </c>
      <c r="E385" s="19" t="s">
        <v>14</v>
      </c>
      <c r="F385" s="20" t="s">
        <v>227</v>
      </c>
      <c r="G385" s="25" t="s">
        <v>49</v>
      </c>
      <c r="H385" s="22" t="s">
        <v>73</v>
      </c>
      <c r="I385" s="26">
        <v>410</v>
      </c>
      <c r="J385" s="104"/>
      <c r="K385" s="24" t="s">
        <v>28</v>
      </c>
    </row>
    <row r="386" spans="3:11" ht="16.5" hidden="1" customHeight="1">
      <c r="C386" s="17">
        <v>46266</v>
      </c>
      <c r="D386" s="69" t="str">
        <f>PROPER(TEXT(C386,"MMMM"))</f>
        <v>Setembro</v>
      </c>
      <c r="E386" s="19" t="s">
        <v>14</v>
      </c>
      <c r="F386" s="20" t="s">
        <v>227</v>
      </c>
      <c r="G386" s="21" t="s">
        <v>532</v>
      </c>
      <c r="H386" s="22" t="s">
        <v>73</v>
      </c>
      <c r="I386" s="23">
        <v>2300</v>
      </c>
      <c r="J386" s="104"/>
      <c r="K386" s="24" t="s">
        <v>28</v>
      </c>
    </row>
    <row r="387" spans="3:11" ht="16.5" hidden="1" customHeight="1">
      <c r="C387" s="17">
        <v>46266</v>
      </c>
      <c r="D387" s="69" t="str">
        <f>PROPER(TEXT(C387,"MMMM"))</f>
        <v>Setembro</v>
      </c>
      <c r="E387" s="19" t="s">
        <v>14</v>
      </c>
      <c r="F387" s="20" t="s">
        <v>227</v>
      </c>
      <c r="G387" s="21" t="s">
        <v>533</v>
      </c>
      <c r="H387" s="22" t="s">
        <v>73</v>
      </c>
      <c r="I387" s="23">
        <v>1405</v>
      </c>
      <c r="J387" s="104"/>
      <c r="K387" s="24" t="s">
        <v>28</v>
      </c>
    </row>
    <row r="388" spans="3:11" ht="16.5" hidden="1" customHeight="1">
      <c r="C388" s="17">
        <v>46266</v>
      </c>
      <c r="D388" s="69" t="str">
        <f>PROPER(TEXT(C388,"MMMM"))</f>
        <v>Setembro</v>
      </c>
      <c r="E388" s="19" t="s">
        <v>14</v>
      </c>
      <c r="F388" s="20" t="s">
        <v>227</v>
      </c>
      <c r="G388" s="21" t="s">
        <v>1170</v>
      </c>
      <c r="H388" s="22" t="s">
        <v>73</v>
      </c>
      <c r="I388" s="23">
        <v>2300</v>
      </c>
      <c r="J388" s="104"/>
      <c r="K388" s="24" t="s">
        <v>28</v>
      </c>
    </row>
    <row r="389" spans="3:11" ht="16.5" hidden="1" customHeight="1">
      <c r="C389" s="17">
        <v>46266</v>
      </c>
      <c r="D389" s="69" t="str">
        <f>PROPER(TEXT(C389,"MMMM"))</f>
        <v>Setembro</v>
      </c>
      <c r="E389" s="19" t="s">
        <v>14</v>
      </c>
      <c r="F389" s="20" t="s">
        <v>227</v>
      </c>
      <c r="G389" s="21" t="s">
        <v>50</v>
      </c>
      <c r="H389" s="22" t="s">
        <v>73</v>
      </c>
      <c r="I389" s="27">
        <v>466.34</v>
      </c>
      <c r="J389" s="104"/>
      <c r="K389" s="24" t="s">
        <v>28</v>
      </c>
    </row>
    <row r="390" spans="3:11" ht="16.5" hidden="1" customHeight="1">
      <c r="C390" s="17">
        <v>46266</v>
      </c>
      <c r="D390" s="69" t="str">
        <f>PROPER(TEXT(C390,"MMMM"))</f>
        <v>Setembro</v>
      </c>
      <c r="E390" s="19" t="s">
        <v>14</v>
      </c>
      <c r="F390" s="20" t="s">
        <v>227</v>
      </c>
      <c r="G390" s="21" t="s">
        <v>630</v>
      </c>
      <c r="H390" s="22" t="s">
        <v>73</v>
      </c>
      <c r="I390" s="23">
        <v>450</v>
      </c>
      <c r="J390" s="104"/>
      <c r="K390" s="24" t="s">
        <v>28</v>
      </c>
    </row>
    <row r="391" spans="3:11" ht="16.5" hidden="1" customHeight="1">
      <c r="C391" s="17">
        <v>46266</v>
      </c>
      <c r="D391" s="69" t="str">
        <f>PROPER(TEXT(C391,"MMMM"))</f>
        <v>Setembro</v>
      </c>
      <c r="E391" s="19" t="s">
        <v>14</v>
      </c>
      <c r="F391" s="20" t="s">
        <v>227</v>
      </c>
      <c r="G391" s="21" t="s">
        <v>631</v>
      </c>
      <c r="H391" s="22" t="s">
        <v>73</v>
      </c>
      <c r="I391" s="27">
        <v>350</v>
      </c>
      <c r="J391" s="104"/>
      <c r="K391" s="24" t="s">
        <v>28</v>
      </c>
    </row>
    <row r="392" spans="3:11" ht="16.5" hidden="1" customHeight="1">
      <c r="C392" s="17">
        <v>46266</v>
      </c>
      <c r="D392" s="69" t="str">
        <f>PROPER(TEXT(C392,"MMMM"))</f>
        <v>Setembro</v>
      </c>
      <c r="E392" s="19" t="s">
        <v>14</v>
      </c>
      <c r="F392" s="20" t="s">
        <v>227</v>
      </c>
      <c r="G392" s="21" t="s">
        <v>1173</v>
      </c>
      <c r="H392" s="22" t="s">
        <v>73</v>
      </c>
      <c r="I392" s="23">
        <v>450</v>
      </c>
      <c r="J392" s="104"/>
      <c r="K392" s="24" t="s">
        <v>28</v>
      </c>
    </row>
    <row r="393" spans="3:11" ht="16.5" hidden="1" customHeight="1">
      <c r="C393" s="17">
        <v>46266</v>
      </c>
      <c r="D393" s="69" t="str">
        <f>PROPER(TEXT(C393,"MMMM"))</f>
        <v>Setembro</v>
      </c>
      <c r="E393" s="19" t="s">
        <v>15</v>
      </c>
      <c r="F393" s="20" t="s">
        <v>223</v>
      </c>
      <c r="G393" s="21" t="s">
        <v>85</v>
      </c>
      <c r="H393" s="22" t="s">
        <v>75</v>
      </c>
      <c r="I393" s="23">
        <v>1100</v>
      </c>
      <c r="J393" s="104"/>
      <c r="K393" s="24" t="s">
        <v>28</v>
      </c>
    </row>
    <row r="394" spans="3:11" ht="16.5" hidden="1" customHeight="1">
      <c r="C394" s="17">
        <v>46266</v>
      </c>
      <c r="D394" s="69" t="str">
        <f>PROPER(TEXT(C394,"MMMM"))</f>
        <v>Setembro</v>
      </c>
      <c r="E394" s="19" t="s">
        <v>15</v>
      </c>
      <c r="F394" s="20" t="s">
        <v>223</v>
      </c>
      <c r="G394" s="21" t="s">
        <v>86</v>
      </c>
      <c r="H394" s="22" t="s">
        <v>75</v>
      </c>
      <c r="I394" s="27">
        <v>1100</v>
      </c>
      <c r="J394" s="104"/>
      <c r="K394" s="24" t="s">
        <v>28</v>
      </c>
    </row>
    <row r="395" spans="3:11" ht="16.5" hidden="1" customHeight="1">
      <c r="C395" s="17">
        <v>46266</v>
      </c>
      <c r="D395" s="69" t="str">
        <f>PROPER(TEXT(C395,"MMMM"))</f>
        <v>Setembro</v>
      </c>
      <c r="E395" s="19" t="s">
        <v>15</v>
      </c>
      <c r="F395" s="20" t="s">
        <v>223</v>
      </c>
      <c r="G395" s="21" t="s">
        <v>87</v>
      </c>
      <c r="H395" s="22" t="s">
        <v>75</v>
      </c>
      <c r="I395" s="23">
        <v>700</v>
      </c>
      <c r="J395" s="104"/>
      <c r="K395" s="24" t="s">
        <v>28</v>
      </c>
    </row>
    <row r="396" spans="3:11" ht="16.5" hidden="1" customHeight="1">
      <c r="C396" s="17">
        <v>46266</v>
      </c>
      <c r="D396" s="69" t="str">
        <f>PROPER(TEXT(C396,"MMMM"))</f>
        <v>Setembro</v>
      </c>
      <c r="E396" s="19" t="s">
        <v>15</v>
      </c>
      <c r="F396" s="20" t="s">
        <v>223</v>
      </c>
      <c r="G396" s="21" t="s">
        <v>90</v>
      </c>
      <c r="H396" s="22" t="s">
        <v>75</v>
      </c>
      <c r="I396" s="23">
        <v>400</v>
      </c>
      <c r="J396" s="104"/>
      <c r="K396" s="24" t="s">
        <v>28</v>
      </c>
    </row>
    <row r="397" spans="3:11" ht="16.5" hidden="1" customHeight="1">
      <c r="C397" s="17">
        <v>46266</v>
      </c>
      <c r="D397" s="69" t="str">
        <f>PROPER(TEXT(C397,"MMMM"))</f>
        <v>Setembro</v>
      </c>
      <c r="E397" s="19" t="s">
        <v>15</v>
      </c>
      <c r="F397" s="20" t="s">
        <v>223</v>
      </c>
      <c r="G397" s="21" t="s">
        <v>88</v>
      </c>
      <c r="H397" s="22" t="s">
        <v>75</v>
      </c>
      <c r="I397" s="23">
        <v>220</v>
      </c>
      <c r="J397" s="104"/>
      <c r="K397" s="24" t="s">
        <v>28</v>
      </c>
    </row>
    <row r="398" spans="3:11" ht="16.5" hidden="1" customHeight="1">
      <c r="C398" s="17">
        <v>46266</v>
      </c>
      <c r="D398" s="69" t="str">
        <f>PROPER(TEXT(C398,"MMMM"))</f>
        <v>Setembro</v>
      </c>
      <c r="E398" s="19" t="s">
        <v>15</v>
      </c>
      <c r="F398" s="20" t="s">
        <v>224</v>
      </c>
      <c r="G398" s="21" t="s">
        <v>1190</v>
      </c>
      <c r="H398" s="22" t="s">
        <v>75</v>
      </c>
      <c r="I398" s="23">
        <v>735</v>
      </c>
      <c r="J398" s="104"/>
      <c r="K398" s="24" t="s">
        <v>28</v>
      </c>
    </row>
    <row r="399" spans="3:11" ht="16.5" hidden="1" customHeight="1">
      <c r="C399" s="17">
        <v>46266</v>
      </c>
      <c r="D399" s="69" t="str">
        <f>PROPER(TEXT(C399,"MMMM"))</f>
        <v>Setembro</v>
      </c>
      <c r="E399" s="19" t="s">
        <v>15</v>
      </c>
      <c r="F399" s="20" t="s">
        <v>224</v>
      </c>
      <c r="G399" s="21" t="s">
        <v>1191</v>
      </c>
      <c r="H399" s="22" t="s">
        <v>75</v>
      </c>
      <c r="I399" s="27">
        <v>3000</v>
      </c>
      <c r="J399" s="104"/>
      <c r="K399" s="24" t="s">
        <v>28</v>
      </c>
    </row>
    <row r="400" spans="3:11" ht="16.5" hidden="1" customHeight="1">
      <c r="C400" s="17">
        <v>46266</v>
      </c>
      <c r="D400" s="69" t="str">
        <f>PROPER(TEXT(C400,"MMMM"))</f>
        <v>Setembro</v>
      </c>
      <c r="E400" s="19" t="s">
        <v>15</v>
      </c>
      <c r="F400" s="20" t="s">
        <v>224</v>
      </c>
      <c r="G400" s="21" t="s">
        <v>1215</v>
      </c>
      <c r="H400" s="22" t="s">
        <v>75</v>
      </c>
      <c r="I400" s="27">
        <v>209</v>
      </c>
      <c r="J400" s="104"/>
      <c r="K400" s="24" t="s">
        <v>28</v>
      </c>
    </row>
    <row r="401" spans="3:11" ht="16.5" hidden="1" customHeight="1">
      <c r="C401" s="17">
        <v>46266</v>
      </c>
      <c r="D401" s="69" t="str">
        <f>PROPER(TEXT(C401,"MMMM"))</f>
        <v>Setembro</v>
      </c>
      <c r="E401" s="19" t="s">
        <v>15</v>
      </c>
      <c r="F401" s="20" t="s">
        <v>225</v>
      </c>
      <c r="G401" s="21" t="s">
        <v>27</v>
      </c>
      <c r="H401" s="22" t="s">
        <v>23</v>
      </c>
      <c r="I401" s="23">
        <v>330</v>
      </c>
      <c r="J401" s="104"/>
      <c r="K401" s="24" t="s">
        <v>28</v>
      </c>
    </row>
    <row r="402" spans="3:11" ht="16.5" hidden="1" customHeight="1">
      <c r="C402" s="17">
        <v>46266</v>
      </c>
      <c r="D402" s="69" t="str">
        <f>PROPER(TEXT(C402,"MMMM"))</f>
        <v>Setembro</v>
      </c>
      <c r="E402" s="19" t="s">
        <v>15</v>
      </c>
      <c r="F402" s="20" t="s">
        <v>225</v>
      </c>
      <c r="G402" s="21" t="s">
        <v>20</v>
      </c>
      <c r="H402" s="22" t="s">
        <v>23</v>
      </c>
      <c r="I402" s="23">
        <v>11000</v>
      </c>
      <c r="J402" s="104"/>
      <c r="K402" s="24" t="s">
        <v>28</v>
      </c>
    </row>
    <row r="403" spans="3:11" ht="16.5" hidden="1" customHeight="1">
      <c r="C403" s="17">
        <v>46266</v>
      </c>
      <c r="D403" s="69" t="str">
        <f>PROPER(TEXT(C403,"MMMM"))</f>
        <v>Setembro</v>
      </c>
      <c r="E403" s="19" t="s">
        <v>15</v>
      </c>
      <c r="F403" s="20" t="s">
        <v>225</v>
      </c>
      <c r="G403" s="21" t="s">
        <v>33</v>
      </c>
      <c r="H403" s="22" t="s">
        <v>23</v>
      </c>
      <c r="I403" s="23">
        <v>220</v>
      </c>
      <c r="J403" s="104"/>
      <c r="K403" s="24" t="s">
        <v>28</v>
      </c>
    </row>
    <row r="404" spans="3:11" ht="16.5" hidden="1" customHeight="1">
      <c r="C404" s="17">
        <v>46266</v>
      </c>
      <c r="D404" s="69" t="str">
        <f>PROPER(TEXT(C404,"MMMM"))</f>
        <v>Setembro</v>
      </c>
      <c r="E404" s="19" t="s">
        <v>15</v>
      </c>
      <c r="F404" s="20" t="s">
        <v>225</v>
      </c>
      <c r="G404" s="21" t="s">
        <v>60</v>
      </c>
      <c r="H404" s="22" t="s">
        <v>23</v>
      </c>
      <c r="I404" s="23">
        <v>500</v>
      </c>
      <c r="J404" s="104"/>
      <c r="K404" s="24" t="s">
        <v>28</v>
      </c>
    </row>
    <row r="405" spans="3:11" ht="16.5" hidden="1" customHeight="1">
      <c r="C405" s="17">
        <v>46266</v>
      </c>
      <c r="D405" s="69" t="str">
        <f>PROPER(TEXT(C405,"MMMM"))</f>
        <v>Setembro</v>
      </c>
      <c r="E405" s="19" t="s">
        <v>15</v>
      </c>
      <c r="F405" s="20" t="s">
        <v>225</v>
      </c>
      <c r="G405" s="21" t="s">
        <v>63</v>
      </c>
      <c r="H405" s="22" t="s">
        <v>547</v>
      </c>
      <c r="I405" s="27">
        <v>7600</v>
      </c>
      <c r="J405" s="104"/>
      <c r="K405" s="24" t="s">
        <v>28</v>
      </c>
    </row>
    <row r="406" spans="3:11" ht="16.5" hidden="1" customHeight="1">
      <c r="C406" s="17">
        <v>46266</v>
      </c>
      <c r="D406" s="69" t="str">
        <f>PROPER(TEXT(C406,"MMMM"))</f>
        <v>Setembro</v>
      </c>
      <c r="E406" s="19" t="s">
        <v>15</v>
      </c>
      <c r="F406" s="20" t="s">
        <v>225</v>
      </c>
      <c r="G406" s="21" t="s">
        <v>51</v>
      </c>
      <c r="H406" s="22" t="s">
        <v>75</v>
      </c>
      <c r="I406" s="23">
        <v>36000</v>
      </c>
      <c r="J406" s="104"/>
      <c r="K406" s="24" t="s">
        <v>28</v>
      </c>
    </row>
    <row r="407" spans="3:11" ht="16.5" hidden="1" customHeight="1">
      <c r="C407" s="17">
        <v>46266</v>
      </c>
      <c r="D407" s="69" t="str">
        <f>PROPER(TEXT(C407,"MMMM"))</f>
        <v>Setembro</v>
      </c>
      <c r="E407" s="19" t="s">
        <v>15</v>
      </c>
      <c r="F407" s="20" t="s">
        <v>226</v>
      </c>
      <c r="G407" s="21" t="s">
        <v>34</v>
      </c>
      <c r="H407" s="22" t="s">
        <v>75</v>
      </c>
      <c r="I407" s="23">
        <v>503.34</v>
      </c>
      <c r="J407" s="104"/>
      <c r="K407" s="24" t="s">
        <v>28</v>
      </c>
    </row>
    <row r="408" spans="3:11" ht="16.5" hidden="1" customHeight="1">
      <c r="C408" s="17">
        <v>46266</v>
      </c>
      <c r="D408" s="69" t="str">
        <f>PROPER(TEXT(C408,"MMMM"))</f>
        <v>Setembro</v>
      </c>
      <c r="E408" s="19" t="s">
        <v>16</v>
      </c>
      <c r="F408" s="20" t="s">
        <v>223</v>
      </c>
      <c r="G408" s="21" t="s">
        <v>118</v>
      </c>
      <c r="H408" s="22" t="s">
        <v>1416</v>
      </c>
      <c r="I408" s="23">
        <v>4900</v>
      </c>
      <c r="J408" s="104"/>
      <c r="K408" s="24" t="s">
        <v>28</v>
      </c>
    </row>
    <row r="409" spans="3:11" ht="16.5" hidden="1" customHeight="1">
      <c r="C409" s="17">
        <v>46266</v>
      </c>
      <c r="D409" s="69" t="str">
        <f>PROPER(TEXT(C409,"MMMM"))</f>
        <v>Setembro</v>
      </c>
      <c r="E409" s="19" t="s">
        <v>16</v>
      </c>
      <c r="F409" s="20" t="s">
        <v>223</v>
      </c>
      <c r="G409" s="21" t="s">
        <v>157</v>
      </c>
      <c r="H409" s="22" t="s">
        <v>1416</v>
      </c>
      <c r="I409" s="26">
        <v>2131</v>
      </c>
      <c r="J409" s="104"/>
      <c r="K409" s="24" t="s">
        <v>28</v>
      </c>
    </row>
    <row r="410" spans="3:11" ht="16.5" hidden="1" customHeight="1">
      <c r="C410" s="17">
        <v>46266</v>
      </c>
      <c r="D410" s="69" t="str">
        <f>PROPER(TEXT(C410,"MMMM"))</f>
        <v>Setembro</v>
      </c>
      <c r="E410" s="19" t="s">
        <v>16</v>
      </c>
      <c r="F410" s="20" t="s">
        <v>225</v>
      </c>
      <c r="G410" s="21" t="s">
        <v>35</v>
      </c>
      <c r="H410" s="22" t="s">
        <v>720</v>
      </c>
      <c r="I410" s="23">
        <v>1000</v>
      </c>
      <c r="J410" s="104"/>
      <c r="K410" s="24" t="s">
        <v>28</v>
      </c>
    </row>
    <row r="411" spans="3:11" ht="16.5" hidden="1" customHeight="1">
      <c r="C411" s="17">
        <v>46266</v>
      </c>
      <c r="D411" s="69" t="str">
        <f>PROPER(TEXT(C411,"MMMM"))</f>
        <v>Setembro</v>
      </c>
      <c r="E411" s="19" t="s">
        <v>16</v>
      </c>
      <c r="F411" s="20" t="s">
        <v>225</v>
      </c>
      <c r="G411" s="21" t="s">
        <v>27</v>
      </c>
      <c r="H411" s="22" t="s">
        <v>1416</v>
      </c>
      <c r="I411" s="23">
        <v>200</v>
      </c>
      <c r="J411" s="104"/>
      <c r="K411" s="24" t="s">
        <v>28</v>
      </c>
    </row>
    <row r="412" spans="3:11" ht="16.5" hidden="1" customHeight="1">
      <c r="C412" s="17">
        <v>46266</v>
      </c>
      <c r="D412" s="69" t="str">
        <f>PROPER(TEXT(C412,"MMMM"))</f>
        <v>Setembro</v>
      </c>
      <c r="E412" s="19" t="s">
        <v>16</v>
      </c>
      <c r="F412" s="20" t="s">
        <v>225</v>
      </c>
      <c r="G412" s="21" t="s">
        <v>20</v>
      </c>
      <c r="H412" s="22" t="s">
        <v>1416</v>
      </c>
      <c r="I412" s="23">
        <v>5000</v>
      </c>
      <c r="J412" s="104"/>
      <c r="K412" s="24" t="s">
        <v>28</v>
      </c>
    </row>
    <row r="413" spans="3:11" ht="16.5" hidden="1" customHeight="1">
      <c r="C413" s="17">
        <v>46266</v>
      </c>
      <c r="D413" s="69" t="str">
        <f>PROPER(TEXT(C413,"MMMM"))</f>
        <v>Setembro</v>
      </c>
      <c r="E413" s="19" t="s">
        <v>16</v>
      </c>
      <c r="F413" s="20" t="s">
        <v>225</v>
      </c>
      <c r="G413" s="25" t="s">
        <v>33</v>
      </c>
      <c r="H413" s="22" t="s">
        <v>1416</v>
      </c>
      <c r="I413" s="26">
        <v>100</v>
      </c>
      <c r="J413" s="104"/>
      <c r="K413" s="24" t="s">
        <v>28</v>
      </c>
    </row>
    <row r="414" spans="3:11" ht="16.5" hidden="1" customHeight="1">
      <c r="C414" s="17">
        <v>46296</v>
      </c>
      <c r="D414" s="69" t="str">
        <f>PROPER(TEXT(C414,"MMMM"))</f>
        <v>Outubro</v>
      </c>
      <c r="E414" s="19" t="s">
        <v>14</v>
      </c>
      <c r="F414" s="20" t="s">
        <v>223</v>
      </c>
      <c r="G414" s="21" t="s">
        <v>943</v>
      </c>
      <c r="H414" s="22" t="s">
        <v>73</v>
      </c>
      <c r="I414" s="23">
        <v>204.78</v>
      </c>
      <c r="J414" s="104">
        <v>46307</v>
      </c>
      <c r="K414" s="24" t="s">
        <v>28</v>
      </c>
    </row>
    <row r="415" spans="3:11" ht="16.5" hidden="1" customHeight="1">
      <c r="C415" s="17">
        <v>46296</v>
      </c>
      <c r="D415" s="69" t="str">
        <f>PROPER(TEXT(C415,"MMMM"))</f>
        <v>Outubro</v>
      </c>
      <c r="E415" s="19" t="s">
        <v>14</v>
      </c>
      <c r="F415" s="20" t="s">
        <v>223</v>
      </c>
      <c r="G415" s="25" t="s">
        <v>925</v>
      </c>
      <c r="H415" s="22" t="s">
        <v>73</v>
      </c>
      <c r="I415" s="23">
        <v>503.91</v>
      </c>
      <c r="J415" s="104">
        <v>46307</v>
      </c>
      <c r="K415" s="24" t="s">
        <v>28</v>
      </c>
    </row>
    <row r="416" spans="3:11" ht="16.5" hidden="1" customHeight="1">
      <c r="C416" s="17">
        <v>46296</v>
      </c>
      <c r="D416" s="69" t="str">
        <f>PROPER(TEXT(C416,"MMMM"))</f>
        <v>Outubro</v>
      </c>
      <c r="E416" s="19" t="s">
        <v>14</v>
      </c>
      <c r="F416" s="20" t="s">
        <v>223</v>
      </c>
      <c r="G416" s="25" t="s">
        <v>45</v>
      </c>
      <c r="H416" s="22" t="s">
        <v>73</v>
      </c>
      <c r="I416" s="23">
        <v>13616.54</v>
      </c>
      <c r="J416" s="104"/>
      <c r="K416" s="24" t="s">
        <v>28</v>
      </c>
    </row>
    <row r="417" spans="3:11" ht="16.5" hidden="1" customHeight="1">
      <c r="C417" s="17">
        <v>46296</v>
      </c>
      <c r="D417" s="69" t="str">
        <f>PROPER(TEXT(C417,"MMMM"))</f>
        <v>Outubro</v>
      </c>
      <c r="E417" s="19" t="s">
        <v>14</v>
      </c>
      <c r="F417" s="20" t="s">
        <v>223</v>
      </c>
      <c r="G417" s="21" t="s">
        <v>26</v>
      </c>
      <c r="H417" s="22" t="s">
        <v>73</v>
      </c>
      <c r="I417" s="26">
        <v>2000</v>
      </c>
      <c r="J417" s="104"/>
      <c r="K417" s="24" t="s">
        <v>28</v>
      </c>
    </row>
    <row r="418" spans="3:11" ht="16.5" hidden="1" customHeight="1">
      <c r="C418" s="17">
        <v>46296</v>
      </c>
      <c r="D418" s="69" t="str">
        <f>PROPER(TEXT(C418,"MMMM"))</f>
        <v>Outubro</v>
      </c>
      <c r="E418" s="19" t="s">
        <v>14</v>
      </c>
      <c r="F418" s="20" t="s">
        <v>225</v>
      </c>
      <c r="G418" s="21" t="s">
        <v>27</v>
      </c>
      <c r="H418" s="22" t="s">
        <v>19</v>
      </c>
      <c r="I418" s="23">
        <v>300</v>
      </c>
      <c r="J418" s="104"/>
      <c r="K418" s="24" t="s">
        <v>28</v>
      </c>
    </row>
    <row r="419" spans="3:11" ht="16.5" hidden="1" customHeight="1">
      <c r="C419" s="17">
        <v>46296</v>
      </c>
      <c r="D419" s="69" t="str">
        <f>PROPER(TEXT(C419,"MMMM"))</f>
        <v>Outubro</v>
      </c>
      <c r="E419" s="19" t="s">
        <v>14</v>
      </c>
      <c r="F419" s="20" t="s">
        <v>225</v>
      </c>
      <c r="G419" s="21" t="s">
        <v>20</v>
      </c>
      <c r="H419" s="22" t="s">
        <v>19</v>
      </c>
      <c r="I419" s="23">
        <v>3105</v>
      </c>
      <c r="J419" s="104"/>
      <c r="K419" s="24" t="s">
        <v>28</v>
      </c>
    </row>
    <row r="420" spans="3:11" ht="16.5" hidden="1" customHeight="1">
      <c r="C420" s="17">
        <v>46296</v>
      </c>
      <c r="D420" s="69" t="str">
        <f>PROPER(TEXT(C420,"MMMM"))</f>
        <v>Outubro</v>
      </c>
      <c r="E420" s="19" t="s">
        <v>14</v>
      </c>
      <c r="F420" s="20" t="s">
        <v>225</v>
      </c>
      <c r="G420" s="21" t="s">
        <v>33</v>
      </c>
      <c r="H420" s="22" t="s">
        <v>19</v>
      </c>
      <c r="I420" s="23">
        <v>713.25</v>
      </c>
      <c r="J420" s="104"/>
      <c r="K420" s="24" t="s">
        <v>28</v>
      </c>
    </row>
    <row r="421" spans="3:11" ht="16.5" hidden="1" customHeight="1">
      <c r="C421" s="17">
        <v>46296</v>
      </c>
      <c r="D421" s="69" t="str">
        <f>PROPER(TEXT(C421,"MMMM"))</f>
        <v>Outubro</v>
      </c>
      <c r="E421" s="19" t="s">
        <v>14</v>
      </c>
      <c r="F421" s="20" t="s">
        <v>225</v>
      </c>
      <c r="G421" s="21" t="s">
        <v>61</v>
      </c>
      <c r="H421" s="22" t="s">
        <v>540</v>
      </c>
      <c r="I421" s="23">
        <v>17000</v>
      </c>
      <c r="J421" s="104"/>
      <c r="K421" s="24" t="s">
        <v>28</v>
      </c>
    </row>
    <row r="422" spans="3:11" ht="16.5" hidden="1" customHeight="1">
      <c r="C422" s="17">
        <v>46296</v>
      </c>
      <c r="D422" s="69" t="str">
        <f>PROPER(TEXT(C422,"MMMM"))</f>
        <v>Outubro</v>
      </c>
      <c r="E422" s="19" t="s">
        <v>14</v>
      </c>
      <c r="F422" s="20" t="s">
        <v>226</v>
      </c>
      <c r="G422" s="21" t="s">
        <v>1346</v>
      </c>
      <c r="H422" s="22" t="s">
        <v>73</v>
      </c>
      <c r="I422" s="23">
        <v>1048.57</v>
      </c>
      <c r="J422" s="104">
        <v>46310</v>
      </c>
      <c r="K422" s="24" t="s">
        <v>28</v>
      </c>
    </row>
    <row r="423" spans="3:11" ht="16.5" hidden="1" customHeight="1">
      <c r="C423" s="17">
        <v>46296</v>
      </c>
      <c r="D423" s="69" t="str">
        <f>PROPER(TEXT(C423,"MMMM"))</f>
        <v>Outubro</v>
      </c>
      <c r="E423" s="19" t="s">
        <v>14</v>
      </c>
      <c r="F423" s="20" t="s">
        <v>226</v>
      </c>
      <c r="G423" s="21" t="s">
        <v>29</v>
      </c>
      <c r="H423" s="22" t="s">
        <v>19</v>
      </c>
      <c r="I423" s="23">
        <v>150</v>
      </c>
      <c r="J423" s="104"/>
      <c r="K423" s="24" t="s">
        <v>28</v>
      </c>
    </row>
    <row r="424" spans="3:11" ht="16.5" hidden="1" customHeight="1">
      <c r="C424" s="17">
        <v>46296</v>
      </c>
      <c r="D424" s="69" t="str">
        <f>PROPER(TEXT(C424,"MMMM"))</f>
        <v>Outubro</v>
      </c>
      <c r="E424" s="19" t="s">
        <v>14</v>
      </c>
      <c r="F424" s="20" t="s">
        <v>226</v>
      </c>
      <c r="G424" s="21" t="s">
        <v>32</v>
      </c>
      <c r="H424" s="22" t="s">
        <v>73</v>
      </c>
      <c r="I424" s="23">
        <v>552.86</v>
      </c>
      <c r="J424" s="104"/>
      <c r="K424" s="24" t="s">
        <v>28</v>
      </c>
    </row>
    <row r="425" spans="3:11" ht="16.5" hidden="1" customHeight="1">
      <c r="C425" s="17">
        <v>46296</v>
      </c>
      <c r="D425" s="69" t="str">
        <f>PROPER(TEXT(C425,"MMMM"))</f>
        <v>Outubro</v>
      </c>
      <c r="E425" s="19" t="s">
        <v>14</v>
      </c>
      <c r="F425" s="20" t="s">
        <v>227</v>
      </c>
      <c r="G425" s="21" t="s">
        <v>48</v>
      </c>
      <c r="H425" s="22" t="s">
        <v>73</v>
      </c>
      <c r="I425" s="23">
        <v>860.91</v>
      </c>
      <c r="J425" s="104"/>
      <c r="K425" s="24" t="s">
        <v>28</v>
      </c>
    </row>
    <row r="426" spans="3:11" ht="16.5" hidden="1" customHeight="1">
      <c r="C426" s="17">
        <v>46296</v>
      </c>
      <c r="D426" s="69" t="str">
        <f>PROPER(TEXT(C426,"MMMM"))</f>
        <v>Outubro</v>
      </c>
      <c r="E426" s="19" t="s">
        <v>14</v>
      </c>
      <c r="F426" s="20" t="s">
        <v>227</v>
      </c>
      <c r="G426" s="21" t="s">
        <v>1175</v>
      </c>
      <c r="H426" s="22" t="s">
        <v>73</v>
      </c>
      <c r="I426" s="23">
        <v>2297.77</v>
      </c>
      <c r="J426" s="104"/>
      <c r="K426" s="24" t="s">
        <v>28</v>
      </c>
    </row>
    <row r="427" spans="3:11" ht="16.5" hidden="1" customHeight="1">
      <c r="C427" s="17">
        <v>46296</v>
      </c>
      <c r="D427" s="69" t="str">
        <f>PROPER(TEXT(C427,"MMMM"))</f>
        <v>Outubro</v>
      </c>
      <c r="E427" s="19" t="s">
        <v>14</v>
      </c>
      <c r="F427" s="20" t="s">
        <v>227</v>
      </c>
      <c r="G427" s="21" t="s">
        <v>49</v>
      </c>
      <c r="H427" s="22" t="s">
        <v>73</v>
      </c>
      <c r="I427" s="23">
        <v>410</v>
      </c>
      <c r="J427" s="104"/>
      <c r="K427" s="24" t="s">
        <v>28</v>
      </c>
    </row>
    <row r="428" spans="3:11" ht="16.5" hidden="1" customHeight="1">
      <c r="C428" s="17">
        <v>46296</v>
      </c>
      <c r="D428" s="69" t="str">
        <f>PROPER(TEXT(C428,"MMMM"))</f>
        <v>Outubro</v>
      </c>
      <c r="E428" s="19" t="s">
        <v>14</v>
      </c>
      <c r="F428" s="20" t="s">
        <v>227</v>
      </c>
      <c r="G428" s="21" t="s">
        <v>532</v>
      </c>
      <c r="H428" s="22" t="s">
        <v>73</v>
      </c>
      <c r="I428" s="23">
        <v>2300</v>
      </c>
      <c r="J428" s="104"/>
      <c r="K428" s="24" t="s">
        <v>28</v>
      </c>
    </row>
    <row r="429" spans="3:11" ht="16.5" hidden="1" customHeight="1">
      <c r="C429" s="17">
        <v>46296</v>
      </c>
      <c r="D429" s="69" t="str">
        <f>PROPER(TEXT(C429,"MMMM"))</f>
        <v>Outubro</v>
      </c>
      <c r="E429" s="19" t="s">
        <v>14</v>
      </c>
      <c r="F429" s="20" t="s">
        <v>227</v>
      </c>
      <c r="G429" s="21" t="s">
        <v>533</v>
      </c>
      <c r="H429" s="22" t="s">
        <v>73</v>
      </c>
      <c r="I429" s="23">
        <v>1405</v>
      </c>
      <c r="J429" s="104"/>
      <c r="K429" s="24" t="s">
        <v>28</v>
      </c>
    </row>
    <row r="430" spans="3:11" ht="16.5" hidden="1" customHeight="1">
      <c r="C430" s="17">
        <v>46296</v>
      </c>
      <c r="D430" s="69" t="str">
        <f>PROPER(TEXT(C430,"MMMM"))</f>
        <v>Outubro</v>
      </c>
      <c r="E430" s="19" t="s">
        <v>14</v>
      </c>
      <c r="F430" s="20" t="s">
        <v>227</v>
      </c>
      <c r="G430" s="21" t="s">
        <v>1170</v>
      </c>
      <c r="H430" s="22" t="s">
        <v>73</v>
      </c>
      <c r="I430" s="23">
        <v>2300</v>
      </c>
      <c r="J430" s="104"/>
      <c r="K430" s="24" t="s">
        <v>28</v>
      </c>
    </row>
    <row r="431" spans="3:11" ht="16.5" hidden="1" customHeight="1">
      <c r="C431" s="17">
        <v>46296</v>
      </c>
      <c r="D431" s="69" t="str">
        <f>PROPER(TEXT(C431,"MMMM"))</f>
        <v>Outubro</v>
      </c>
      <c r="E431" s="19" t="s">
        <v>14</v>
      </c>
      <c r="F431" s="20" t="s">
        <v>227</v>
      </c>
      <c r="G431" s="21" t="s">
        <v>50</v>
      </c>
      <c r="H431" s="22" t="s">
        <v>73</v>
      </c>
      <c r="I431" s="27">
        <v>466.34</v>
      </c>
      <c r="J431" s="104"/>
      <c r="K431" s="24" t="s">
        <v>28</v>
      </c>
    </row>
    <row r="432" spans="3:11" ht="16.5" hidden="1" customHeight="1">
      <c r="C432" s="17">
        <v>46296</v>
      </c>
      <c r="D432" s="69" t="str">
        <f>PROPER(TEXT(C432,"MMMM"))</f>
        <v>Outubro</v>
      </c>
      <c r="E432" s="19" t="s">
        <v>14</v>
      </c>
      <c r="F432" s="20" t="s">
        <v>227</v>
      </c>
      <c r="G432" s="21" t="s">
        <v>630</v>
      </c>
      <c r="H432" s="22" t="s">
        <v>73</v>
      </c>
      <c r="I432" s="23">
        <v>450</v>
      </c>
      <c r="J432" s="104"/>
      <c r="K432" s="24" t="s">
        <v>28</v>
      </c>
    </row>
    <row r="433" spans="3:11" ht="16.5" hidden="1" customHeight="1">
      <c r="C433" s="17">
        <v>46296</v>
      </c>
      <c r="D433" s="69" t="str">
        <f>PROPER(TEXT(C433,"MMMM"))</f>
        <v>Outubro</v>
      </c>
      <c r="E433" s="19" t="s">
        <v>14</v>
      </c>
      <c r="F433" s="20" t="s">
        <v>227</v>
      </c>
      <c r="G433" s="21" t="s">
        <v>631</v>
      </c>
      <c r="H433" s="22" t="s">
        <v>73</v>
      </c>
      <c r="I433" s="23">
        <v>350</v>
      </c>
      <c r="J433" s="104"/>
      <c r="K433" s="24" t="s">
        <v>28</v>
      </c>
    </row>
    <row r="434" spans="3:11" ht="16.5" hidden="1" customHeight="1">
      <c r="C434" s="17">
        <v>46296</v>
      </c>
      <c r="D434" s="69" t="str">
        <f>PROPER(TEXT(C434,"MMMM"))</f>
        <v>Outubro</v>
      </c>
      <c r="E434" s="19" t="s">
        <v>14</v>
      </c>
      <c r="F434" s="20" t="s">
        <v>227</v>
      </c>
      <c r="G434" s="21" t="s">
        <v>1173</v>
      </c>
      <c r="H434" s="22" t="s">
        <v>73</v>
      </c>
      <c r="I434" s="23">
        <v>450</v>
      </c>
      <c r="J434" s="104"/>
      <c r="K434" s="24" t="s">
        <v>28</v>
      </c>
    </row>
    <row r="435" spans="3:11" ht="16.5" hidden="1" customHeight="1">
      <c r="C435" s="17">
        <v>46296</v>
      </c>
      <c r="D435" s="69" t="str">
        <f>PROPER(TEXT(C435,"MMMM"))</f>
        <v>Outubro</v>
      </c>
      <c r="E435" s="19" t="s">
        <v>15</v>
      </c>
      <c r="F435" s="20" t="s">
        <v>223</v>
      </c>
      <c r="G435" s="25" t="s">
        <v>85</v>
      </c>
      <c r="H435" s="22" t="s">
        <v>75</v>
      </c>
      <c r="I435" s="26">
        <v>1100</v>
      </c>
      <c r="J435" s="104"/>
      <c r="K435" s="24" t="s">
        <v>28</v>
      </c>
    </row>
    <row r="436" spans="3:11" ht="16.5" hidden="1" customHeight="1">
      <c r="C436" s="17">
        <v>46296</v>
      </c>
      <c r="D436" s="69" t="str">
        <f>PROPER(TEXT(C436,"MMMM"))</f>
        <v>Outubro</v>
      </c>
      <c r="E436" s="19" t="s">
        <v>15</v>
      </c>
      <c r="F436" s="20" t="s">
        <v>223</v>
      </c>
      <c r="G436" s="25" t="s">
        <v>86</v>
      </c>
      <c r="H436" s="22" t="s">
        <v>75</v>
      </c>
      <c r="I436" s="26">
        <v>1100</v>
      </c>
      <c r="J436" s="104"/>
      <c r="K436" s="24" t="s">
        <v>28</v>
      </c>
    </row>
    <row r="437" spans="3:11" ht="16.5" hidden="1" customHeight="1">
      <c r="C437" s="17">
        <v>46296</v>
      </c>
      <c r="D437" s="69" t="str">
        <f>PROPER(TEXT(C437,"MMMM"))</f>
        <v>Outubro</v>
      </c>
      <c r="E437" s="19" t="s">
        <v>15</v>
      </c>
      <c r="F437" s="20" t="s">
        <v>223</v>
      </c>
      <c r="G437" s="25" t="s">
        <v>87</v>
      </c>
      <c r="H437" s="22" t="s">
        <v>75</v>
      </c>
      <c r="I437" s="26">
        <v>700</v>
      </c>
      <c r="J437" s="104"/>
      <c r="K437" s="24" t="s">
        <v>28</v>
      </c>
    </row>
    <row r="438" spans="3:11" ht="16.5" hidden="1" customHeight="1">
      <c r="C438" s="17">
        <v>46296</v>
      </c>
      <c r="D438" s="69" t="str">
        <f>PROPER(TEXT(C438,"MMMM"))</f>
        <v>Outubro</v>
      </c>
      <c r="E438" s="19" t="s">
        <v>15</v>
      </c>
      <c r="F438" s="20" t="s">
        <v>223</v>
      </c>
      <c r="G438" s="21" t="s">
        <v>90</v>
      </c>
      <c r="H438" s="22" t="s">
        <v>75</v>
      </c>
      <c r="I438" s="23">
        <v>400</v>
      </c>
      <c r="J438" s="104"/>
      <c r="K438" s="24" t="s">
        <v>28</v>
      </c>
    </row>
    <row r="439" spans="3:11" ht="16.5" hidden="1" customHeight="1">
      <c r="C439" s="17">
        <v>46296</v>
      </c>
      <c r="D439" s="69" t="str">
        <f>PROPER(TEXT(C439,"MMMM"))</f>
        <v>Outubro</v>
      </c>
      <c r="E439" s="19" t="s">
        <v>15</v>
      </c>
      <c r="F439" s="20" t="s">
        <v>223</v>
      </c>
      <c r="G439" s="21" t="s">
        <v>88</v>
      </c>
      <c r="H439" s="22" t="s">
        <v>75</v>
      </c>
      <c r="I439" s="23">
        <v>220</v>
      </c>
      <c r="J439" s="104"/>
      <c r="K439" s="24" t="s">
        <v>28</v>
      </c>
    </row>
    <row r="440" spans="3:11" ht="16.5" hidden="1" customHeight="1">
      <c r="C440" s="17">
        <v>46296</v>
      </c>
      <c r="D440" s="69" t="str">
        <f>PROPER(TEXT(C440,"MMMM"))</f>
        <v>Outubro</v>
      </c>
      <c r="E440" s="19" t="s">
        <v>15</v>
      </c>
      <c r="F440" s="20" t="s">
        <v>224</v>
      </c>
      <c r="G440" s="21" t="s">
        <v>1190</v>
      </c>
      <c r="H440" s="22" t="s">
        <v>75</v>
      </c>
      <c r="I440" s="23">
        <v>735</v>
      </c>
      <c r="J440" s="104"/>
      <c r="K440" s="24" t="s">
        <v>28</v>
      </c>
    </row>
    <row r="441" spans="3:11" ht="16.5" hidden="1" customHeight="1">
      <c r="C441" s="17">
        <v>46296</v>
      </c>
      <c r="D441" s="69" t="str">
        <f>PROPER(TEXT(C441,"MMMM"))</f>
        <v>Outubro</v>
      </c>
      <c r="E441" s="19" t="s">
        <v>15</v>
      </c>
      <c r="F441" s="20" t="s">
        <v>224</v>
      </c>
      <c r="G441" s="21" t="s">
        <v>1191</v>
      </c>
      <c r="H441" s="22" t="s">
        <v>75</v>
      </c>
      <c r="I441" s="27">
        <v>3000</v>
      </c>
      <c r="J441" s="104"/>
      <c r="K441" s="24" t="s">
        <v>28</v>
      </c>
    </row>
    <row r="442" spans="3:11" ht="16.5" hidden="1" customHeight="1">
      <c r="C442" s="17">
        <v>46296</v>
      </c>
      <c r="D442" s="69" t="str">
        <f>PROPER(TEXT(C442,"MMMM"))</f>
        <v>Outubro</v>
      </c>
      <c r="E442" s="19" t="s">
        <v>15</v>
      </c>
      <c r="F442" s="20" t="s">
        <v>224</v>
      </c>
      <c r="G442" s="21" t="s">
        <v>1215</v>
      </c>
      <c r="H442" s="22" t="s">
        <v>75</v>
      </c>
      <c r="I442" s="27">
        <v>209</v>
      </c>
      <c r="J442" s="104"/>
      <c r="K442" s="24" t="s">
        <v>28</v>
      </c>
    </row>
    <row r="443" spans="3:11" ht="16.5" hidden="1" customHeight="1">
      <c r="C443" s="17">
        <v>46296</v>
      </c>
      <c r="D443" s="69" t="str">
        <f>PROPER(TEXT(C443,"MMMM"))</f>
        <v>Outubro</v>
      </c>
      <c r="E443" s="19" t="s">
        <v>15</v>
      </c>
      <c r="F443" s="20" t="s">
        <v>225</v>
      </c>
      <c r="G443" s="21" t="s">
        <v>27</v>
      </c>
      <c r="H443" s="22" t="s">
        <v>23</v>
      </c>
      <c r="I443" s="23">
        <v>330</v>
      </c>
      <c r="J443" s="104"/>
      <c r="K443" s="24" t="s">
        <v>28</v>
      </c>
    </row>
    <row r="444" spans="3:11" ht="16.5" hidden="1" customHeight="1">
      <c r="C444" s="17">
        <v>46296</v>
      </c>
      <c r="D444" s="69" t="str">
        <f>PROPER(TEXT(C444,"MMMM"))</f>
        <v>Outubro</v>
      </c>
      <c r="E444" s="19" t="s">
        <v>15</v>
      </c>
      <c r="F444" s="20" t="s">
        <v>225</v>
      </c>
      <c r="G444" s="21" t="s">
        <v>20</v>
      </c>
      <c r="H444" s="22" t="s">
        <v>23</v>
      </c>
      <c r="I444" s="23">
        <v>11000</v>
      </c>
      <c r="J444" s="104"/>
      <c r="K444" s="24" t="s">
        <v>28</v>
      </c>
    </row>
    <row r="445" spans="3:11" ht="16.5" hidden="1" customHeight="1">
      <c r="C445" s="17">
        <v>46296</v>
      </c>
      <c r="D445" s="69" t="str">
        <f>PROPER(TEXT(C445,"MMMM"))</f>
        <v>Outubro</v>
      </c>
      <c r="E445" s="19" t="s">
        <v>15</v>
      </c>
      <c r="F445" s="20" t="s">
        <v>225</v>
      </c>
      <c r="G445" s="21" t="s">
        <v>33</v>
      </c>
      <c r="H445" s="22" t="s">
        <v>23</v>
      </c>
      <c r="I445" s="27">
        <v>220</v>
      </c>
      <c r="J445" s="104"/>
      <c r="K445" s="24" t="s">
        <v>28</v>
      </c>
    </row>
    <row r="446" spans="3:11" ht="16.5" hidden="1" customHeight="1">
      <c r="C446" s="17">
        <v>46296</v>
      </c>
      <c r="D446" s="69" t="str">
        <f>PROPER(TEXT(C446,"MMMM"))</f>
        <v>Outubro</v>
      </c>
      <c r="E446" s="19" t="s">
        <v>15</v>
      </c>
      <c r="F446" s="20" t="s">
        <v>225</v>
      </c>
      <c r="G446" s="21" t="s">
        <v>61</v>
      </c>
      <c r="H446" s="22" t="s">
        <v>547</v>
      </c>
      <c r="I446" s="23">
        <v>17000</v>
      </c>
      <c r="J446" s="104"/>
      <c r="K446" s="24" t="s">
        <v>28</v>
      </c>
    </row>
    <row r="447" spans="3:11" ht="16.5" hidden="1" customHeight="1">
      <c r="C447" s="17">
        <v>46296</v>
      </c>
      <c r="D447" s="69" t="str">
        <f>PROPER(TEXT(C447,"MMMM"))</f>
        <v>Outubro</v>
      </c>
      <c r="E447" s="19" t="s">
        <v>15</v>
      </c>
      <c r="F447" s="20" t="s">
        <v>225</v>
      </c>
      <c r="G447" s="21" t="s">
        <v>51</v>
      </c>
      <c r="H447" s="22" t="s">
        <v>75</v>
      </c>
      <c r="I447" s="23">
        <v>36000</v>
      </c>
      <c r="J447" s="104"/>
      <c r="K447" s="24" t="s">
        <v>28</v>
      </c>
    </row>
    <row r="448" spans="3:11" ht="16.5" hidden="1" customHeight="1">
      <c r="C448" s="17">
        <v>46296</v>
      </c>
      <c r="D448" s="69" t="str">
        <f>PROPER(TEXT(C448,"MMMM"))</f>
        <v>Outubro</v>
      </c>
      <c r="E448" s="19" t="s">
        <v>15</v>
      </c>
      <c r="F448" s="20" t="s">
        <v>226</v>
      </c>
      <c r="G448" s="21" t="s">
        <v>34</v>
      </c>
      <c r="H448" s="22" t="s">
        <v>75</v>
      </c>
      <c r="I448" s="23">
        <v>503.34</v>
      </c>
      <c r="J448" s="104"/>
      <c r="K448" s="24" t="s">
        <v>28</v>
      </c>
    </row>
    <row r="449" spans="3:11" ht="16.5" hidden="1" customHeight="1">
      <c r="C449" s="17">
        <v>46296</v>
      </c>
      <c r="D449" s="69" t="str">
        <f>PROPER(TEXT(C449,"MMMM"))</f>
        <v>Outubro</v>
      </c>
      <c r="E449" s="19" t="s">
        <v>16</v>
      </c>
      <c r="F449" s="20" t="s">
        <v>223</v>
      </c>
      <c r="G449" s="21" t="s">
        <v>118</v>
      </c>
      <c r="H449" s="22" t="s">
        <v>1416</v>
      </c>
      <c r="I449" s="23">
        <v>4900</v>
      </c>
      <c r="J449" s="104"/>
      <c r="K449" s="24" t="s">
        <v>28</v>
      </c>
    </row>
    <row r="450" spans="3:11" ht="16.5" hidden="1" customHeight="1">
      <c r="C450" s="17">
        <v>46296</v>
      </c>
      <c r="D450" s="69" t="str">
        <f>PROPER(TEXT(C450,"MMMM"))</f>
        <v>Outubro</v>
      </c>
      <c r="E450" s="19" t="s">
        <v>16</v>
      </c>
      <c r="F450" s="20" t="s">
        <v>223</v>
      </c>
      <c r="G450" s="21" t="s">
        <v>157</v>
      </c>
      <c r="H450" s="22" t="s">
        <v>1416</v>
      </c>
      <c r="I450" s="23">
        <v>2131</v>
      </c>
      <c r="J450" s="104"/>
      <c r="K450" s="24" t="s">
        <v>28</v>
      </c>
    </row>
    <row r="451" spans="3:11" ht="16.5" hidden="1" customHeight="1">
      <c r="C451" s="17">
        <v>46296</v>
      </c>
      <c r="D451" s="69" t="str">
        <f>PROPER(TEXT(C451,"MMMM"))</f>
        <v>Outubro</v>
      </c>
      <c r="E451" s="19" t="s">
        <v>16</v>
      </c>
      <c r="F451" s="20" t="s">
        <v>225</v>
      </c>
      <c r="G451" s="21" t="s">
        <v>35</v>
      </c>
      <c r="H451" s="22" t="s">
        <v>720</v>
      </c>
      <c r="I451" s="23">
        <v>1000</v>
      </c>
      <c r="J451" s="104"/>
      <c r="K451" s="24" t="s">
        <v>28</v>
      </c>
    </row>
    <row r="452" spans="3:11" ht="16.5" hidden="1" customHeight="1">
      <c r="C452" s="17">
        <v>46296</v>
      </c>
      <c r="D452" s="69" t="str">
        <f>PROPER(TEXT(C452,"MMMM"))</f>
        <v>Outubro</v>
      </c>
      <c r="E452" s="19" t="s">
        <v>16</v>
      </c>
      <c r="F452" s="20" t="s">
        <v>225</v>
      </c>
      <c r="G452" s="21" t="s">
        <v>27</v>
      </c>
      <c r="H452" s="22" t="s">
        <v>1416</v>
      </c>
      <c r="I452" s="23">
        <v>200</v>
      </c>
      <c r="J452" s="104"/>
      <c r="K452" s="24" t="s">
        <v>28</v>
      </c>
    </row>
    <row r="453" spans="3:11" ht="16.5" hidden="1" customHeight="1">
      <c r="C453" s="17">
        <v>46296</v>
      </c>
      <c r="D453" s="69" t="str">
        <f>PROPER(TEXT(C453,"MMMM"))</f>
        <v>Outubro</v>
      </c>
      <c r="E453" s="19" t="s">
        <v>16</v>
      </c>
      <c r="F453" s="20" t="s">
        <v>225</v>
      </c>
      <c r="G453" s="21" t="s">
        <v>20</v>
      </c>
      <c r="H453" s="22" t="s">
        <v>1416</v>
      </c>
      <c r="I453" s="27">
        <v>5000</v>
      </c>
      <c r="J453" s="104"/>
      <c r="K453" s="24" t="s">
        <v>28</v>
      </c>
    </row>
    <row r="454" spans="3:11" ht="16.5" hidden="1" customHeight="1">
      <c r="C454" s="17">
        <v>46296</v>
      </c>
      <c r="D454" s="69" t="str">
        <f>PROPER(TEXT(C454,"MMMM"))</f>
        <v>Outubro</v>
      </c>
      <c r="E454" s="19" t="s">
        <v>16</v>
      </c>
      <c r="F454" s="20" t="s">
        <v>225</v>
      </c>
      <c r="G454" s="21" t="s">
        <v>33</v>
      </c>
      <c r="H454" s="22" t="s">
        <v>1416</v>
      </c>
      <c r="I454" s="27">
        <v>100</v>
      </c>
      <c r="J454" s="104"/>
      <c r="K454" s="24" t="s">
        <v>28</v>
      </c>
    </row>
    <row r="455" spans="3:11" ht="16.5" hidden="1" customHeight="1">
      <c r="C455" s="17">
        <v>46296</v>
      </c>
      <c r="D455" s="69" t="str">
        <f>PROPER(TEXT(C455,"MMMM"))</f>
        <v>Outubro</v>
      </c>
      <c r="E455" s="19" t="s">
        <v>16</v>
      </c>
      <c r="F455" s="20" t="s">
        <v>225</v>
      </c>
      <c r="G455" s="21" t="s">
        <v>61</v>
      </c>
      <c r="H455" s="22" t="s">
        <v>1416</v>
      </c>
      <c r="I455" s="23">
        <v>9200</v>
      </c>
      <c r="J455" s="104"/>
      <c r="K455" s="24" t="s">
        <v>28</v>
      </c>
    </row>
    <row r="456" spans="3:11" ht="16.5" hidden="1" customHeight="1">
      <c r="C456" s="17">
        <v>46327</v>
      </c>
      <c r="D456" s="69" t="str">
        <f>PROPER(TEXT(C456,"MMMM"))</f>
        <v>Novembro</v>
      </c>
      <c r="E456" s="19" t="s">
        <v>14</v>
      </c>
      <c r="F456" s="20" t="s">
        <v>223</v>
      </c>
      <c r="G456" s="21" t="s">
        <v>944</v>
      </c>
      <c r="H456" s="22" t="s">
        <v>73</v>
      </c>
      <c r="I456" s="23">
        <v>204.78</v>
      </c>
      <c r="J456" s="104">
        <v>46338</v>
      </c>
      <c r="K456" s="24" t="s">
        <v>28</v>
      </c>
    </row>
    <row r="457" spans="3:11" ht="16.5" hidden="1" customHeight="1">
      <c r="C457" s="17">
        <v>46327</v>
      </c>
      <c r="D457" s="69" t="str">
        <f>PROPER(TEXT(C457,"MMMM"))</f>
        <v>Novembro</v>
      </c>
      <c r="E457" s="19" t="s">
        <v>14</v>
      </c>
      <c r="F457" s="20" t="s">
        <v>223</v>
      </c>
      <c r="G457" s="25" t="s">
        <v>926</v>
      </c>
      <c r="H457" s="22" t="s">
        <v>73</v>
      </c>
      <c r="I457" s="23">
        <v>503.91</v>
      </c>
      <c r="J457" s="104">
        <v>46338</v>
      </c>
      <c r="K457" s="24" t="s">
        <v>28</v>
      </c>
    </row>
    <row r="458" spans="3:11" ht="16.5" hidden="1" customHeight="1">
      <c r="C458" s="17">
        <v>46327</v>
      </c>
      <c r="D458" s="69" t="str">
        <f>PROPER(TEXT(C458,"MMMM"))</f>
        <v>Novembro</v>
      </c>
      <c r="E458" s="19" t="s">
        <v>14</v>
      </c>
      <c r="F458" s="20" t="s">
        <v>223</v>
      </c>
      <c r="G458" s="21" t="s">
        <v>45</v>
      </c>
      <c r="H458" s="22" t="s">
        <v>73</v>
      </c>
      <c r="I458" s="23">
        <v>13616.54</v>
      </c>
      <c r="J458" s="104"/>
      <c r="K458" s="24" t="s">
        <v>28</v>
      </c>
    </row>
    <row r="459" spans="3:11" ht="16.5" hidden="1" customHeight="1">
      <c r="C459" s="17">
        <v>46327</v>
      </c>
      <c r="D459" s="69" t="str">
        <f>PROPER(TEXT(C459,"MMMM"))</f>
        <v>Novembro</v>
      </c>
      <c r="E459" s="19" t="s">
        <v>14</v>
      </c>
      <c r="F459" s="20" t="s">
        <v>223</v>
      </c>
      <c r="G459" s="21" t="s">
        <v>26</v>
      </c>
      <c r="H459" s="22" t="s">
        <v>73</v>
      </c>
      <c r="I459" s="23">
        <v>2000</v>
      </c>
      <c r="J459" s="104"/>
      <c r="K459" s="24" t="s">
        <v>28</v>
      </c>
    </row>
    <row r="460" spans="3:11" ht="16.5" hidden="1" customHeight="1">
      <c r="C460" s="17">
        <v>46327</v>
      </c>
      <c r="D460" s="69" t="str">
        <f>PROPER(TEXT(C460,"MMMM"))</f>
        <v>Novembro</v>
      </c>
      <c r="E460" s="19" t="s">
        <v>14</v>
      </c>
      <c r="F460" s="20" t="s">
        <v>225</v>
      </c>
      <c r="G460" s="21" t="s">
        <v>27</v>
      </c>
      <c r="H460" s="22" t="s">
        <v>19</v>
      </c>
      <c r="I460" s="27">
        <v>300</v>
      </c>
      <c r="J460" s="104"/>
      <c r="K460" s="24" t="s">
        <v>28</v>
      </c>
    </row>
    <row r="461" spans="3:11" ht="16.5" hidden="1" customHeight="1">
      <c r="C461" s="17">
        <v>46327</v>
      </c>
      <c r="D461" s="69" t="str">
        <f>PROPER(TEXT(C461,"MMMM"))</f>
        <v>Novembro</v>
      </c>
      <c r="E461" s="19" t="s">
        <v>14</v>
      </c>
      <c r="F461" s="20" t="s">
        <v>225</v>
      </c>
      <c r="G461" s="21" t="s">
        <v>20</v>
      </c>
      <c r="H461" s="22" t="s">
        <v>19</v>
      </c>
      <c r="I461" s="23">
        <v>3105</v>
      </c>
      <c r="J461" s="104"/>
      <c r="K461" s="24" t="s">
        <v>28</v>
      </c>
    </row>
    <row r="462" spans="3:11" ht="16.5" hidden="1" customHeight="1">
      <c r="C462" s="17">
        <v>46327</v>
      </c>
      <c r="D462" s="69" t="str">
        <f>PROPER(TEXT(C462,"MMMM"))</f>
        <v>Novembro</v>
      </c>
      <c r="E462" s="19" t="s">
        <v>14</v>
      </c>
      <c r="F462" s="20" t="s">
        <v>225</v>
      </c>
      <c r="G462" s="21" t="s">
        <v>33</v>
      </c>
      <c r="H462" s="22" t="s">
        <v>19</v>
      </c>
      <c r="I462" s="23">
        <v>713.25</v>
      </c>
      <c r="J462" s="104"/>
      <c r="K462" s="24" t="s">
        <v>28</v>
      </c>
    </row>
    <row r="463" spans="3:11" ht="16.5" hidden="1" customHeight="1">
      <c r="C463" s="17">
        <v>46327</v>
      </c>
      <c r="D463" s="69" t="str">
        <f>PROPER(TEXT(C463,"MMMM"))</f>
        <v>Novembro</v>
      </c>
      <c r="E463" s="19" t="s">
        <v>14</v>
      </c>
      <c r="F463" s="20" t="s">
        <v>226</v>
      </c>
      <c r="G463" s="21" t="s">
        <v>1347</v>
      </c>
      <c r="H463" s="22" t="s">
        <v>73</v>
      </c>
      <c r="I463" s="23">
        <v>1048.57</v>
      </c>
      <c r="J463" s="104">
        <v>46341</v>
      </c>
      <c r="K463" s="24" t="s">
        <v>28</v>
      </c>
    </row>
    <row r="464" spans="3:11" ht="16.5" hidden="1" customHeight="1">
      <c r="C464" s="17">
        <v>46327</v>
      </c>
      <c r="D464" s="69" t="str">
        <f>PROPER(TEXT(C464,"MMMM"))</f>
        <v>Novembro</v>
      </c>
      <c r="E464" s="19" t="s">
        <v>14</v>
      </c>
      <c r="F464" s="20" t="s">
        <v>226</v>
      </c>
      <c r="G464" s="21" t="s">
        <v>670</v>
      </c>
      <c r="H464" s="22" t="s">
        <v>73</v>
      </c>
      <c r="I464" s="23">
        <v>506</v>
      </c>
      <c r="J464" s="104"/>
      <c r="K464" s="24" t="s">
        <v>28</v>
      </c>
    </row>
    <row r="465" spans="3:11" ht="16.5" hidden="1" customHeight="1">
      <c r="C465" s="17">
        <v>46327</v>
      </c>
      <c r="D465" s="69" t="str">
        <f>PROPER(TEXT(C465,"MMMM"))</f>
        <v>Novembro</v>
      </c>
      <c r="E465" s="19" t="s">
        <v>14</v>
      </c>
      <c r="F465" s="20" t="s">
        <v>226</v>
      </c>
      <c r="G465" s="21" t="s">
        <v>29</v>
      </c>
      <c r="H465" s="22" t="s">
        <v>19</v>
      </c>
      <c r="I465" s="23">
        <v>150</v>
      </c>
      <c r="J465" s="104"/>
      <c r="K465" s="24" t="s">
        <v>28</v>
      </c>
    </row>
    <row r="466" spans="3:11" ht="16.5" hidden="1" customHeight="1">
      <c r="C466" s="17">
        <v>46327</v>
      </c>
      <c r="D466" s="69" t="str">
        <f>PROPER(TEXT(C466,"MMMM"))</f>
        <v>Novembro</v>
      </c>
      <c r="E466" s="19" t="s">
        <v>14</v>
      </c>
      <c r="F466" s="20" t="s">
        <v>226</v>
      </c>
      <c r="G466" s="21" t="s">
        <v>32</v>
      </c>
      <c r="H466" s="22" t="s">
        <v>73</v>
      </c>
      <c r="I466" s="23">
        <v>552.86</v>
      </c>
      <c r="J466" s="104"/>
      <c r="K466" s="24" t="s">
        <v>28</v>
      </c>
    </row>
    <row r="467" spans="3:11" ht="16.5" hidden="1" customHeight="1">
      <c r="C467" s="17">
        <v>46327</v>
      </c>
      <c r="D467" s="69" t="str">
        <f>PROPER(TEXT(C467,"MMMM"))</f>
        <v>Novembro</v>
      </c>
      <c r="E467" s="19" t="s">
        <v>14</v>
      </c>
      <c r="F467" s="20" t="s">
        <v>227</v>
      </c>
      <c r="G467" s="21" t="s">
        <v>48</v>
      </c>
      <c r="H467" s="22" t="s">
        <v>73</v>
      </c>
      <c r="I467" s="23">
        <v>860.91</v>
      </c>
      <c r="J467" s="104"/>
      <c r="K467" s="24" t="s">
        <v>28</v>
      </c>
    </row>
    <row r="468" spans="3:11" ht="16.5" hidden="1" customHeight="1">
      <c r="C468" s="17">
        <v>46327</v>
      </c>
      <c r="D468" s="69" t="str">
        <f>PROPER(TEXT(C468,"MMMM"))</f>
        <v>Novembro</v>
      </c>
      <c r="E468" s="19" t="s">
        <v>14</v>
      </c>
      <c r="F468" s="20" t="s">
        <v>227</v>
      </c>
      <c r="G468" s="21" t="s">
        <v>49</v>
      </c>
      <c r="H468" s="22" t="s">
        <v>73</v>
      </c>
      <c r="I468" s="23">
        <v>410</v>
      </c>
      <c r="J468" s="104"/>
      <c r="K468" s="24" t="s">
        <v>28</v>
      </c>
    </row>
    <row r="469" spans="3:11" ht="16.5" hidden="1" customHeight="1">
      <c r="C469" s="17">
        <v>46327</v>
      </c>
      <c r="D469" s="69" t="str">
        <f>PROPER(TEXT(C469,"MMMM"))</f>
        <v>Novembro</v>
      </c>
      <c r="E469" s="19" t="s">
        <v>14</v>
      </c>
      <c r="F469" s="20" t="s">
        <v>227</v>
      </c>
      <c r="G469" s="21" t="s">
        <v>532</v>
      </c>
      <c r="H469" s="22" t="s">
        <v>73</v>
      </c>
      <c r="I469" s="23">
        <v>2300</v>
      </c>
      <c r="J469" s="104"/>
      <c r="K469" s="24" t="s">
        <v>28</v>
      </c>
    </row>
    <row r="470" spans="3:11" ht="16.5" hidden="1" customHeight="1">
      <c r="C470" s="17">
        <v>46327</v>
      </c>
      <c r="D470" s="69" t="str">
        <f>PROPER(TEXT(C470,"MMMM"))</f>
        <v>Novembro</v>
      </c>
      <c r="E470" s="19" t="s">
        <v>14</v>
      </c>
      <c r="F470" s="20" t="s">
        <v>227</v>
      </c>
      <c r="G470" s="21" t="s">
        <v>533</v>
      </c>
      <c r="H470" s="22" t="s">
        <v>73</v>
      </c>
      <c r="I470" s="23">
        <v>1405</v>
      </c>
      <c r="J470" s="104"/>
      <c r="K470" s="24" t="s">
        <v>28</v>
      </c>
    </row>
    <row r="471" spans="3:11" ht="16.5" hidden="1" customHeight="1">
      <c r="C471" s="17">
        <v>46327</v>
      </c>
      <c r="D471" s="69" t="str">
        <f>PROPER(TEXT(C471,"MMMM"))</f>
        <v>Novembro</v>
      </c>
      <c r="E471" s="19" t="s">
        <v>14</v>
      </c>
      <c r="F471" s="20" t="s">
        <v>227</v>
      </c>
      <c r="G471" s="21" t="s">
        <v>1170</v>
      </c>
      <c r="H471" s="22" t="s">
        <v>73</v>
      </c>
      <c r="I471" s="23">
        <v>2300</v>
      </c>
      <c r="J471" s="104"/>
      <c r="K471" s="24" t="s">
        <v>28</v>
      </c>
    </row>
    <row r="472" spans="3:11" ht="16.5" hidden="1" customHeight="1">
      <c r="C472" s="17">
        <v>46327</v>
      </c>
      <c r="D472" s="69" t="str">
        <f>PROPER(TEXT(C472,"MMMM"))</f>
        <v>Novembro</v>
      </c>
      <c r="E472" s="19" t="s">
        <v>14</v>
      </c>
      <c r="F472" s="20" t="s">
        <v>227</v>
      </c>
      <c r="G472" s="21" t="s">
        <v>840</v>
      </c>
      <c r="H472" s="22" t="s">
        <v>73</v>
      </c>
      <c r="I472" s="23">
        <v>1250</v>
      </c>
      <c r="J472" s="104"/>
      <c r="K472" s="24" t="s">
        <v>28</v>
      </c>
    </row>
    <row r="473" spans="3:11" ht="16.5" hidden="1" customHeight="1">
      <c r="C473" s="17">
        <v>46327</v>
      </c>
      <c r="D473" s="69" t="str">
        <f>PROPER(TEXT(C473,"MMMM"))</f>
        <v>Novembro</v>
      </c>
      <c r="E473" s="19" t="s">
        <v>14</v>
      </c>
      <c r="F473" s="20" t="s">
        <v>227</v>
      </c>
      <c r="G473" s="21" t="s">
        <v>841</v>
      </c>
      <c r="H473" s="22" t="s">
        <v>73</v>
      </c>
      <c r="I473" s="23">
        <v>760</v>
      </c>
      <c r="J473" s="104"/>
      <c r="K473" s="24" t="s">
        <v>28</v>
      </c>
    </row>
    <row r="474" spans="3:11" ht="16.5" hidden="1" customHeight="1">
      <c r="C474" s="17">
        <v>46327</v>
      </c>
      <c r="D474" s="69" t="str">
        <f>PROPER(TEXT(C474,"MMMM"))</f>
        <v>Novembro</v>
      </c>
      <c r="E474" s="19" t="s">
        <v>14</v>
      </c>
      <c r="F474" s="20" t="s">
        <v>227</v>
      </c>
      <c r="G474" s="25" t="s">
        <v>1171</v>
      </c>
      <c r="H474" s="22" t="s">
        <v>73</v>
      </c>
      <c r="I474" s="26">
        <v>1250</v>
      </c>
      <c r="J474" s="104"/>
      <c r="K474" s="24" t="s">
        <v>28</v>
      </c>
    </row>
    <row r="475" spans="3:11" ht="16.5" hidden="1" customHeight="1">
      <c r="C475" s="17">
        <v>46327</v>
      </c>
      <c r="D475" s="69" t="str">
        <f>PROPER(TEXT(C475,"MMMM"))</f>
        <v>Novembro</v>
      </c>
      <c r="E475" s="19" t="s">
        <v>14</v>
      </c>
      <c r="F475" s="20" t="s">
        <v>227</v>
      </c>
      <c r="G475" s="21" t="s">
        <v>50</v>
      </c>
      <c r="H475" s="22" t="s">
        <v>73</v>
      </c>
      <c r="I475" s="27">
        <v>466.34</v>
      </c>
      <c r="J475" s="104"/>
      <c r="K475" s="24" t="s">
        <v>28</v>
      </c>
    </row>
    <row r="476" spans="3:11" ht="16.5" hidden="1" customHeight="1">
      <c r="C476" s="17">
        <v>46327</v>
      </c>
      <c r="D476" s="69" t="str">
        <f>PROPER(TEXT(C476,"MMMM"))</f>
        <v>Novembro</v>
      </c>
      <c r="E476" s="19" t="s">
        <v>14</v>
      </c>
      <c r="F476" s="20" t="s">
        <v>227</v>
      </c>
      <c r="G476" s="21" t="s">
        <v>630</v>
      </c>
      <c r="H476" s="22" t="s">
        <v>73</v>
      </c>
      <c r="I476" s="23">
        <v>450</v>
      </c>
      <c r="J476" s="104"/>
      <c r="K476" s="24" t="s">
        <v>28</v>
      </c>
    </row>
    <row r="477" spans="3:11" ht="16.5" hidden="1" customHeight="1">
      <c r="C477" s="17">
        <v>46327</v>
      </c>
      <c r="D477" s="69" t="str">
        <f>PROPER(TEXT(C477,"MMMM"))</f>
        <v>Novembro</v>
      </c>
      <c r="E477" s="19" t="s">
        <v>14</v>
      </c>
      <c r="F477" s="20" t="s">
        <v>227</v>
      </c>
      <c r="G477" s="21" t="s">
        <v>631</v>
      </c>
      <c r="H477" s="22" t="s">
        <v>73</v>
      </c>
      <c r="I477" s="23">
        <v>350</v>
      </c>
      <c r="J477" s="104"/>
      <c r="K477" s="24" t="s">
        <v>28</v>
      </c>
    </row>
    <row r="478" spans="3:11" ht="16.5" hidden="1" customHeight="1">
      <c r="C478" s="17">
        <v>46327</v>
      </c>
      <c r="D478" s="69" t="str">
        <f>PROPER(TEXT(C478,"MMMM"))</f>
        <v>Novembro</v>
      </c>
      <c r="E478" s="19" t="s">
        <v>14</v>
      </c>
      <c r="F478" s="20" t="s">
        <v>227</v>
      </c>
      <c r="G478" s="21" t="s">
        <v>1173</v>
      </c>
      <c r="H478" s="22" t="s">
        <v>73</v>
      </c>
      <c r="I478" s="23">
        <v>450</v>
      </c>
      <c r="J478" s="104"/>
      <c r="K478" s="24" t="s">
        <v>28</v>
      </c>
    </row>
    <row r="479" spans="3:11" ht="16.5" hidden="1" customHeight="1">
      <c r="C479" s="17">
        <v>46327</v>
      </c>
      <c r="D479" s="69" t="str">
        <f>PROPER(TEXT(C479,"MMMM"))</f>
        <v>Novembro</v>
      </c>
      <c r="E479" s="19" t="s">
        <v>15</v>
      </c>
      <c r="F479" s="20" t="s">
        <v>223</v>
      </c>
      <c r="G479" s="25" t="s">
        <v>85</v>
      </c>
      <c r="H479" s="22" t="s">
        <v>75</v>
      </c>
      <c r="I479" s="26">
        <v>1100</v>
      </c>
      <c r="J479" s="104"/>
      <c r="K479" s="24" t="s">
        <v>28</v>
      </c>
    </row>
    <row r="480" spans="3:11" ht="16.5" hidden="1" customHeight="1">
      <c r="C480" s="17">
        <v>46327</v>
      </c>
      <c r="D480" s="69" t="str">
        <f>PROPER(TEXT(C480,"MMMM"))</f>
        <v>Novembro</v>
      </c>
      <c r="E480" s="19" t="s">
        <v>15</v>
      </c>
      <c r="F480" s="20" t="s">
        <v>223</v>
      </c>
      <c r="G480" s="25" t="s">
        <v>86</v>
      </c>
      <c r="H480" s="22" t="s">
        <v>75</v>
      </c>
      <c r="I480" s="26">
        <v>1100</v>
      </c>
      <c r="J480" s="104"/>
      <c r="K480" s="24" t="s">
        <v>28</v>
      </c>
    </row>
    <row r="481" spans="3:11" ht="16.5" hidden="1" customHeight="1">
      <c r="C481" s="17">
        <v>46327</v>
      </c>
      <c r="D481" s="69" t="str">
        <f>PROPER(TEXT(C481,"MMMM"))</f>
        <v>Novembro</v>
      </c>
      <c r="E481" s="19" t="s">
        <v>15</v>
      </c>
      <c r="F481" s="20" t="s">
        <v>223</v>
      </c>
      <c r="G481" s="25" t="s">
        <v>87</v>
      </c>
      <c r="H481" s="22" t="s">
        <v>75</v>
      </c>
      <c r="I481" s="26">
        <v>700</v>
      </c>
      <c r="J481" s="104"/>
      <c r="K481" s="24" t="s">
        <v>28</v>
      </c>
    </row>
    <row r="482" spans="3:11" ht="16.5" hidden="1" customHeight="1">
      <c r="C482" s="17">
        <v>46327</v>
      </c>
      <c r="D482" s="69" t="str">
        <f>PROPER(TEXT(C482,"MMMM"))</f>
        <v>Novembro</v>
      </c>
      <c r="E482" s="19" t="s">
        <v>15</v>
      </c>
      <c r="F482" s="20" t="s">
        <v>223</v>
      </c>
      <c r="G482" s="21" t="s">
        <v>90</v>
      </c>
      <c r="H482" s="22" t="s">
        <v>75</v>
      </c>
      <c r="I482" s="23">
        <v>400</v>
      </c>
      <c r="J482" s="104"/>
      <c r="K482" s="24" t="s">
        <v>28</v>
      </c>
    </row>
    <row r="483" spans="3:11" ht="16.5" hidden="1" customHeight="1">
      <c r="C483" s="17">
        <v>46327</v>
      </c>
      <c r="D483" s="69" t="str">
        <f>PROPER(TEXT(C483,"MMMM"))</f>
        <v>Novembro</v>
      </c>
      <c r="E483" s="19" t="s">
        <v>15</v>
      </c>
      <c r="F483" s="20" t="s">
        <v>223</v>
      </c>
      <c r="G483" s="21" t="s">
        <v>88</v>
      </c>
      <c r="H483" s="22" t="s">
        <v>75</v>
      </c>
      <c r="I483" s="23">
        <v>220</v>
      </c>
      <c r="J483" s="104"/>
      <c r="K483" s="24" t="s">
        <v>28</v>
      </c>
    </row>
    <row r="484" spans="3:11" ht="16.5" hidden="1" customHeight="1">
      <c r="C484" s="17">
        <v>46327</v>
      </c>
      <c r="D484" s="69" t="str">
        <f>PROPER(TEXT(C484,"MMMM"))</f>
        <v>Novembro</v>
      </c>
      <c r="E484" s="19" t="s">
        <v>15</v>
      </c>
      <c r="F484" s="20" t="s">
        <v>224</v>
      </c>
      <c r="G484" s="21" t="s">
        <v>1190</v>
      </c>
      <c r="H484" s="22" t="s">
        <v>75</v>
      </c>
      <c r="I484" s="23">
        <v>735</v>
      </c>
      <c r="J484" s="104"/>
      <c r="K484" s="24" t="s">
        <v>28</v>
      </c>
    </row>
    <row r="485" spans="3:11" ht="16.5" hidden="1" customHeight="1">
      <c r="C485" s="17">
        <v>46327</v>
      </c>
      <c r="D485" s="69" t="str">
        <f>PROPER(TEXT(C485,"MMMM"))</f>
        <v>Novembro</v>
      </c>
      <c r="E485" s="19" t="s">
        <v>15</v>
      </c>
      <c r="F485" s="20" t="s">
        <v>224</v>
      </c>
      <c r="G485" s="21" t="s">
        <v>1191</v>
      </c>
      <c r="H485" s="22" t="s">
        <v>75</v>
      </c>
      <c r="I485" s="27">
        <v>3000</v>
      </c>
      <c r="J485" s="104"/>
      <c r="K485" s="24" t="s">
        <v>28</v>
      </c>
    </row>
    <row r="486" spans="3:11" ht="16.5" hidden="1" customHeight="1">
      <c r="C486" s="17">
        <v>46327</v>
      </c>
      <c r="D486" s="69" t="str">
        <f>PROPER(TEXT(C486,"MMMM"))</f>
        <v>Novembro</v>
      </c>
      <c r="E486" s="19" t="s">
        <v>15</v>
      </c>
      <c r="F486" s="20" t="s">
        <v>224</v>
      </c>
      <c r="G486" s="21" t="s">
        <v>1192</v>
      </c>
      <c r="H486" s="22" t="s">
        <v>75</v>
      </c>
      <c r="I486" s="27">
        <v>2000</v>
      </c>
      <c r="J486" s="104"/>
      <c r="K486" s="24" t="s">
        <v>28</v>
      </c>
    </row>
    <row r="487" spans="3:11" ht="16.5" hidden="1" customHeight="1">
      <c r="C487" s="17">
        <v>46327</v>
      </c>
      <c r="D487" s="69" t="str">
        <f>PROPER(TEXT(C487,"MMMM"))</f>
        <v>Novembro</v>
      </c>
      <c r="E487" s="19" t="s">
        <v>15</v>
      </c>
      <c r="F487" s="20" t="s">
        <v>224</v>
      </c>
      <c r="G487" s="21" t="s">
        <v>1215</v>
      </c>
      <c r="H487" s="22" t="s">
        <v>75</v>
      </c>
      <c r="I487" s="23">
        <v>209</v>
      </c>
      <c r="J487" s="104"/>
      <c r="K487" s="24" t="s">
        <v>28</v>
      </c>
    </row>
    <row r="488" spans="3:11" ht="16.5" hidden="1" customHeight="1">
      <c r="C488" s="17">
        <v>46327</v>
      </c>
      <c r="D488" s="69" t="str">
        <f>PROPER(TEXT(C488,"MMMM"))</f>
        <v>Novembro</v>
      </c>
      <c r="E488" s="19" t="s">
        <v>15</v>
      </c>
      <c r="F488" s="20" t="s">
        <v>225</v>
      </c>
      <c r="G488" s="21" t="s">
        <v>27</v>
      </c>
      <c r="H488" s="22" t="s">
        <v>23</v>
      </c>
      <c r="I488" s="23">
        <v>330</v>
      </c>
      <c r="J488" s="104"/>
      <c r="K488" s="24" t="s">
        <v>28</v>
      </c>
    </row>
    <row r="489" spans="3:11" ht="16.5" hidden="1" customHeight="1">
      <c r="C489" s="17">
        <v>46327</v>
      </c>
      <c r="D489" s="69" t="str">
        <f>PROPER(TEXT(C489,"MMMM"))</f>
        <v>Novembro</v>
      </c>
      <c r="E489" s="19" t="s">
        <v>15</v>
      </c>
      <c r="F489" s="20" t="s">
        <v>225</v>
      </c>
      <c r="G489" s="21" t="s">
        <v>20</v>
      </c>
      <c r="H489" s="22" t="s">
        <v>23</v>
      </c>
      <c r="I489" s="27">
        <v>11000</v>
      </c>
      <c r="J489" s="104"/>
      <c r="K489" s="24" t="s">
        <v>28</v>
      </c>
    </row>
    <row r="490" spans="3:11" ht="16.5" hidden="1" customHeight="1">
      <c r="C490" s="17">
        <v>46327</v>
      </c>
      <c r="D490" s="69" t="str">
        <f>PROPER(TEXT(C490,"MMMM"))</f>
        <v>Novembro</v>
      </c>
      <c r="E490" s="19" t="s">
        <v>15</v>
      </c>
      <c r="F490" s="20" t="s">
        <v>225</v>
      </c>
      <c r="G490" s="21" t="s">
        <v>33</v>
      </c>
      <c r="H490" s="22" t="s">
        <v>23</v>
      </c>
      <c r="I490" s="23">
        <v>220</v>
      </c>
      <c r="J490" s="104"/>
      <c r="K490" s="24" t="s">
        <v>28</v>
      </c>
    </row>
    <row r="491" spans="3:11" ht="16.5" hidden="1" customHeight="1">
      <c r="C491" s="17">
        <v>46327</v>
      </c>
      <c r="D491" s="69" t="str">
        <f>PROPER(TEXT(C491,"MMMM"))</f>
        <v>Novembro</v>
      </c>
      <c r="E491" s="19" t="s">
        <v>15</v>
      </c>
      <c r="F491" s="20" t="s">
        <v>225</v>
      </c>
      <c r="G491" s="21" t="s">
        <v>51</v>
      </c>
      <c r="H491" s="22" t="s">
        <v>75</v>
      </c>
      <c r="I491" s="23">
        <v>36000</v>
      </c>
      <c r="J491" s="104"/>
      <c r="K491" s="24" t="s">
        <v>28</v>
      </c>
    </row>
    <row r="492" spans="3:11" ht="16.5" hidden="1" customHeight="1">
      <c r="C492" s="17">
        <v>46327</v>
      </c>
      <c r="D492" s="69" t="str">
        <f>PROPER(TEXT(C492,"MMMM"))</f>
        <v>Novembro</v>
      </c>
      <c r="E492" s="19" t="s">
        <v>15</v>
      </c>
      <c r="F492" s="20" t="s">
        <v>226</v>
      </c>
      <c r="G492" s="21" t="s">
        <v>34</v>
      </c>
      <c r="H492" s="22" t="s">
        <v>75</v>
      </c>
      <c r="I492" s="23">
        <v>503.34</v>
      </c>
      <c r="J492" s="104"/>
      <c r="K492" s="24" t="s">
        <v>28</v>
      </c>
    </row>
    <row r="493" spans="3:11" ht="16.5" hidden="1" customHeight="1">
      <c r="C493" s="17">
        <v>46327</v>
      </c>
      <c r="D493" s="69" t="str">
        <f>PROPER(TEXT(C493,"MMMM"))</f>
        <v>Novembro</v>
      </c>
      <c r="E493" s="19" t="s">
        <v>16</v>
      </c>
      <c r="F493" s="20" t="s">
        <v>223</v>
      </c>
      <c r="G493" s="21" t="s">
        <v>118</v>
      </c>
      <c r="H493" s="22" t="s">
        <v>1416</v>
      </c>
      <c r="I493" s="23">
        <v>4900</v>
      </c>
      <c r="J493" s="104"/>
      <c r="K493" s="24" t="s">
        <v>28</v>
      </c>
    </row>
    <row r="494" spans="3:11" ht="16.5" hidden="1" customHeight="1">
      <c r="C494" s="17">
        <v>46327</v>
      </c>
      <c r="D494" s="69" t="str">
        <f>PROPER(TEXT(C494,"MMMM"))</f>
        <v>Novembro</v>
      </c>
      <c r="E494" s="19" t="s">
        <v>16</v>
      </c>
      <c r="F494" s="20" t="s">
        <v>223</v>
      </c>
      <c r="G494" s="21" t="s">
        <v>157</v>
      </c>
      <c r="H494" s="22" t="s">
        <v>1416</v>
      </c>
      <c r="I494" s="27">
        <v>2131</v>
      </c>
      <c r="J494" s="104"/>
      <c r="K494" s="24" t="s">
        <v>28</v>
      </c>
    </row>
    <row r="495" spans="3:11" ht="16.5" hidden="1" customHeight="1">
      <c r="C495" s="17">
        <v>46327</v>
      </c>
      <c r="D495" s="69" t="str">
        <f>PROPER(TEXT(C495,"MMMM"))</f>
        <v>Novembro</v>
      </c>
      <c r="E495" s="19" t="s">
        <v>16</v>
      </c>
      <c r="F495" s="20" t="s">
        <v>225</v>
      </c>
      <c r="G495" s="21" t="s">
        <v>35</v>
      </c>
      <c r="H495" s="22" t="s">
        <v>720</v>
      </c>
      <c r="I495" s="27">
        <v>1000</v>
      </c>
      <c r="J495" s="104"/>
      <c r="K495" s="24" t="s">
        <v>28</v>
      </c>
    </row>
    <row r="496" spans="3:11" ht="16.5" hidden="1" customHeight="1">
      <c r="C496" s="17">
        <v>46327</v>
      </c>
      <c r="D496" s="69" t="str">
        <f>PROPER(TEXT(C496,"MMMM"))</f>
        <v>Novembro</v>
      </c>
      <c r="E496" s="19" t="s">
        <v>16</v>
      </c>
      <c r="F496" s="20" t="s">
        <v>225</v>
      </c>
      <c r="G496" s="21" t="s">
        <v>27</v>
      </c>
      <c r="H496" s="22" t="s">
        <v>1416</v>
      </c>
      <c r="I496" s="23">
        <v>200</v>
      </c>
      <c r="J496" s="104"/>
      <c r="K496" s="24" t="s">
        <v>28</v>
      </c>
    </row>
    <row r="497" spans="3:11" ht="16.5" hidden="1" customHeight="1">
      <c r="C497" s="17">
        <v>46327</v>
      </c>
      <c r="D497" s="69" t="str">
        <f>PROPER(TEXT(C497,"MMMM"))</f>
        <v>Novembro</v>
      </c>
      <c r="E497" s="19" t="s">
        <v>16</v>
      </c>
      <c r="F497" s="20" t="s">
        <v>225</v>
      </c>
      <c r="G497" s="21" t="s">
        <v>20</v>
      </c>
      <c r="H497" s="22" t="s">
        <v>1416</v>
      </c>
      <c r="I497" s="23">
        <v>5000</v>
      </c>
      <c r="J497" s="104"/>
      <c r="K497" s="24" t="s">
        <v>28</v>
      </c>
    </row>
    <row r="498" spans="3:11" ht="16.5" hidden="1" customHeight="1">
      <c r="C498" s="17">
        <v>46327</v>
      </c>
      <c r="D498" s="69" t="str">
        <f>PROPER(TEXT(C498,"MMMM"))</f>
        <v>Novembro</v>
      </c>
      <c r="E498" s="19" t="s">
        <v>16</v>
      </c>
      <c r="F498" s="20" t="s">
        <v>225</v>
      </c>
      <c r="G498" s="21" t="s">
        <v>126</v>
      </c>
      <c r="H498" s="22" t="s">
        <v>720</v>
      </c>
      <c r="I498" s="23">
        <v>10000</v>
      </c>
      <c r="J498" s="104"/>
      <c r="K498" s="24" t="s">
        <v>28</v>
      </c>
    </row>
    <row r="499" spans="3:11" ht="16.5" hidden="1" customHeight="1">
      <c r="C499" s="17">
        <v>46327</v>
      </c>
      <c r="D499" s="69" t="str">
        <f>PROPER(TEXT(C499,"MMMM"))</f>
        <v>Novembro</v>
      </c>
      <c r="E499" s="19" t="s">
        <v>16</v>
      </c>
      <c r="F499" s="20" t="s">
        <v>225</v>
      </c>
      <c r="G499" s="21" t="s">
        <v>33</v>
      </c>
      <c r="H499" s="22" t="s">
        <v>1416</v>
      </c>
      <c r="I499" s="27">
        <v>100</v>
      </c>
      <c r="J499" s="104"/>
      <c r="K499" s="24" t="s">
        <v>28</v>
      </c>
    </row>
    <row r="500" spans="3:11" ht="16.5" hidden="1" customHeight="1">
      <c r="C500" s="17">
        <v>46327</v>
      </c>
      <c r="D500" s="69" t="str">
        <f>PROPER(TEXT(C500,"MMMM"))</f>
        <v>Novembro</v>
      </c>
      <c r="E500" s="19" t="s">
        <v>16</v>
      </c>
      <c r="F500" s="20" t="s">
        <v>226</v>
      </c>
      <c r="G500" s="21" t="s">
        <v>844</v>
      </c>
      <c r="H500" s="22" t="s">
        <v>1416</v>
      </c>
      <c r="I500" s="27">
        <v>6200</v>
      </c>
      <c r="J500" s="104"/>
      <c r="K500" s="24" t="s">
        <v>28</v>
      </c>
    </row>
    <row r="501" spans="3:11" ht="16.5" hidden="1" customHeight="1">
      <c r="C501" s="17">
        <v>46357</v>
      </c>
      <c r="D501" s="69" t="str">
        <f>PROPER(TEXT(C501,"MMMM"))</f>
        <v>Dezembro</v>
      </c>
      <c r="E501" s="19" t="s">
        <v>14</v>
      </c>
      <c r="F501" s="20" t="s">
        <v>223</v>
      </c>
      <c r="G501" s="21" t="s">
        <v>945</v>
      </c>
      <c r="H501" s="22" t="s">
        <v>73</v>
      </c>
      <c r="I501" s="23">
        <v>204.78</v>
      </c>
      <c r="J501" s="104">
        <v>46368</v>
      </c>
      <c r="K501" s="24" t="s">
        <v>28</v>
      </c>
    </row>
    <row r="502" spans="3:11" ht="16.5" hidden="1" customHeight="1">
      <c r="C502" s="17">
        <v>46357</v>
      </c>
      <c r="D502" s="69" t="str">
        <f>PROPER(TEXT(C502,"MMMM"))</f>
        <v>Dezembro</v>
      </c>
      <c r="E502" s="19" t="s">
        <v>14</v>
      </c>
      <c r="F502" s="20" t="s">
        <v>223</v>
      </c>
      <c r="G502" s="25" t="s">
        <v>927</v>
      </c>
      <c r="H502" s="22" t="s">
        <v>73</v>
      </c>
      <c r="I502" s="23">
        <v>503.91</v>
      </c>
      <c r="J502" s="104">
        <v>46368</v>
      </c>
      <c r="K502" s="24" t="s">
        <v>28</v>
      </c>
    </row>
    <row r="503" spans="3:11" ht="16.5" hidden="1" customHeight="1">
      <c r="C503" s="17">
        <v>46357</v>
      </c>
      <c r="D503" s="69" t="str">
        <f>PROPER(TEXT(C503,"MMMM"))</f>
        <v>Dezembro</v>
      </c>
      <c r="E503" s="19" t="s">
        <v>14</v>
      </c>
      <c r="F503" s="20" t="s">
        <v>223</v>
      </c>
      <c r="G503" s="21" t="s">
        <v>45</v>
      </c>
      <c r="H503" s="22" t="s">
        <v>73</v>
      </c>
      <c r="I503" s="23">
        <v>13616.54</v>
      </c>
      <c r="J503" s="104"/>
      <c r="K503" s="24" t="s">
        <v>28</v>
      </c>
    </row>
    <row r="504" spans="3:11" ht="16.5" hidden="1" customHeight="1">
      <c r="C504" s="17">
        <v>46357</v>
      </c>
      <c r="D504" s="69" t="str">
        <f>PROPER(TEXT(C504,"MMMM"))</f>
        <v>Dezembro</v>
      </c>
      <c r="E504" s="19" t="s">
        <v>14</v>
      </c>
      <c r="F504" s="20" t="s">
        <v>223</v>
      </c>
      <c r="G504" s="21" t="s">
        <v>26</v>
      </c>
      <c r="H504" s="22" t="s">
        <v>73</v>
      </c>
      <c r="I504" s="23">
        <v>2000</v>
      </c>
      <c r="J504" s="104"/>
      <c r="K504" s="24" t="s">
        <v>28</v>
      </c>
    </row>
    <row r="505" spans="3:11" ht="16.5" hidden="1" customHeight="1">
      <c r="C505" s="17">
        <v>46357</v>
      </c>
      <c r="D505" s="69" t="str">
        <f>PROPER(TEXT(C505,"MMMM"))</f>
        <v>Dezembro</v>
      </c>
      <c r="E505" s="19" t="s">
        <v>14</v>
      </c>
      <c r="F505" s="20" t="s">
        <v>225</v>
      </c>
      <c r="G505" s="21" t="s">
        <v>27</v>
      </c>
      <c r="H505" s="22" t="s">
        <v>19</v>
      </c>
      <c r="I505" s="23">
        <v>300</v>
      </c>
      <c r="J505" s="104"/>
      <c r="K505" s="24" t="s">
        <v>28</v>
      </c>
    </row>
    <row r="506" spans="3:11" ht="16.5" hidden="1" customHeight="1">
      <c r="C506" s="17">
        <v>46357</v>
      </c>
      <c r="D506" s="69" t="str">
        <f>PROPER(TEXT(C506,"MMMM"))</f>
        <v>Dezembro</v>
      </c>
      <c r="E506" s="19" t="s">
        <v>14</v>
      </c>
      <c r="F506" s="20" t="s">
        <v>225</v>
      </c>
      <c r="G506" s="21" t="s">
        <v>20</v>
      </c>
      <c r="H506" s="22" t="s">
        <v>19</v>
      </c>
      <c r="I506" s="23">
        <v>3105</v>
      </c>
      <c r="J506" s="104"/>
      <c r="K506" s="24" t="s">
        <v>28</v>
      </c>
    </row>
    <row r="507" spans="3:11" ht="16.5" hidden="1" customHeight="1">
      <c r="C507" s="17">
        <v>46357</v>
      </c>
      <c r="D507" s="69" t="str">
        <f>PROPER(TEXT(C507,"MMMM"))</f>
        <v>Dezembro</v>
      </c>
      <c r="E507" s="19" t="s">
        <v>14</v>
      </c>
      <c r="F507" s="20" t="s">
        <v>225</v>
      </c>
      <c r="G507" s="21" t="s">
        <v>33</v>
      </c>
      <c r="H507" s="22" t="s">
        <v>19</v>
      </c>
      <c r="I507" s="23">
        <v>713.25</v>
      </c>
      <c r="J507" s="104"/>
      <c r="K507" s="24" t="s">
        <v>28</v>
      </c>
    </row>
    <row r="508" spans="3:11" ht="16.5" hidden="1" customHeight="1">
      <c r="C508" s="17">
        <v>46357</v>
      </c>
      <c r="D508" s="69" t="str">
        <f>PROPER(TEXT(C508,"MMMM"))</f>
        <v>Dezembro</v>
      </c>
      <c r="E508" s="19" t="s">
        <v>14</v>
      </c>
      <c r="F508" s="20" t="s">
        <v>225</v>
      </c>
      <c r="G508" s="21" t="s">
        <v>60</v>
      </c>
      <c r="H508" s="22" t="s">
        <v>19</v>
      </c>
      <c r="I508" s="23">
        <v>2500</v>
      </c>
      <c r="J508" s="104"/>
      <c r="K508" s="24" t="s">
        <v>28</v>
      </c>
    </row>
    <row r="509" spans="3:11" ht="16.5" hidden="1" customHeight="1">
      <c r="C509" s="17">
        <v>46357</v>
      </c>
      <c r="D509" s="69" t="str">
        <f>PROPER(TEXT(C509,"MMMM"))</f>
        <v>Dezembro</v>
      </c>
      <c r="E509" s="19" t="s">
        <v>14</v>
      </c>
      <c r="F509" s="20" t="s">
        <v>225</v>
      </c>
      <c r="G509" s="21" t="s">
        <v>63</v>
      </c>
      <c r="H509" s="22" t="s">
        <v>540</v>
      </c>
      <c r="I509" s="23">
        <v>7600</v>
      </c>
      <c r="J509" s="104"/>
      <c r="K509" s="24" t="s">
        <v>28</v>
      </c>
    </row>
    <row r="510" spans="3:11" ht="16.5" hidden="1" customHeight="1">
      <c r="C510" s="17">
        <v>46357</v>
      </c>
      <c r="D510" s="69" t="str">
        <f>PROPER(TEXT(C510,"MMMM"))</f>
        <v>Dezembro</v>
      </c>
      <c r="E510" s="19" t="s">
        <v>14</v>
      </c>
      <c r="F510" s="20" t="s">
        <v>226</v>
      </c>
      <c r="G510" s="21" t="s">
        <v>29</v>
      </c>
      <c r="H510" s="22" t="s">
        <v>19</v>
      </c>
      <c r="I510" s="23">
        <v>150</v>
      </c>
      <c r="J510" s="104"/>
      <c r="K510" s="24" t="s">
        <v>28</v>
      </c>
    </row>
    <row r="511" spans="3:11" ht="16.5" hidden="1" customHeight="1">
      <c r="C511" s="17">
        <v>46357</v>
      </c>
      <c r="D511" s="69" t="str">
        <f>PROPER(TEXT(C511,"MMMM"))</f>
        <v>Dezembro</v>
      </c>
      <c r="E511" s="19" t="s">
        <v>14</v>
      </c>
      <c r="F511" s="20" t="s">
        <v>226</v>
      </c>
      <c r="G511" s="21" t="s">
        <v>32</v>
      </c>
      <c r="H511" s="22" t="s">
        <v>73</v>
      </c>
      <c r="I511" s="23">
        <v>552.86</v>
      </c>
      <c r="J511" s="104"/>
      <c r="K511" s="24" t="s">
        <v>28</v>
      </c>
    </row>
    <row r="512" spans="3:11" ht="16.5" hidden="1" customHeight="1">
      <c r="C512" s="17">
        <v>46357</v>
      </c>
      <c r="D512" s="69" t="str">
        <f>PROPER(TEXT(C512,"MMMM"))</f>
        <v>Dezembro</v>
      </c>
      <c r="E512" s="19" t="s">
        <v>14</v>
      </c>
      <c r="F512" s="20" t="s">
        <v>227</v>
      </c>
      <c r="G512" s="21" t="s">
        <v>48</v>
      </c>
      <c r="H512" s="22" t="s">
        <v>73</v>
      </c>
      <c r="I512" s="23">
        <v>860.91</v>
      </c>
      <c r="J512" s="104"/>
      <c r="K512" s="24" t="s">
        <v>28</v>
      </c>
    </row>
    <row r="513" spans="3:15" ht="16.5" hidden="1" customHeight="1">
      <c r="C513" s="17">
        <v>46357</v>
      </c>
      <c r="D513" s="69" t="str">
        <f>PROPER(TEXT(C513,"MMMM"))</f>
        <v>Dezembro</v>
      </c>
      <c r="E513" s="19" t="s">
        <v>14</v>
      </c>
      <c r="F513" s="20" t="s">
        <v>227</v>
      </c>
      <c r="G513" s="21" t="s">
        <v>49</v>
      </c>
      <c r="H513" s="22" t="s">
        <v>73</v>
      </c>
      <c r="I513" s="23">
        <v>410</v>
      </c>
      <c r="J513" s="104"/>
      <c r="K513" s="24" t="s">
        <v>28</v>
      </c>
    </row>
    <row r="514" spans="3:15" ht="16.5" hidden="1" customHeight="1">
      <c r="C514" s="17">
        <v>46357</v>
      </c>
      <c r="D514" s="69" t="str">
        <f>PROPER(TEXT(C514,"MMMM"))</f>
        <v>Dezembro</v>
      </c>
      <c r="E514" s="19" t="s">
        <v>14</v>
      </c>
      <c r="F514" s="20" t="s">
        <v>227</v>
      </c>
      <c r="G514" s="21" t="s">
        <v>532</v>
      </c>
      <c r="H514" s="22" t="s">
        <v>73</v>
      </c>
      <c r="I514" s="23">
        <v>2300</v>
      </c>
      <c r="J514" s="104"/>
      <c r="K514" s="24" t="s">
        <v>28</v>
      </c>
    </row>
    <row r="515" spans="3:15" ht="16.5" hidden="1" customHeight="1">
      <c r="C515" s="17">
        <v>46357</v>
      </c>
      <c r="D515" s="69" t="str">
        <f>PROPER(TEXT(C515,"MMMM"))</f>
        <v>Dezembro</v>
      </c>
      <c r="E515" s="19" t="s">
        <v>14</v>
      </c>
      <c r="F515" s="20" t="s">
        <v>227</v>
      </c>
      <c r="G515" s="21" t="s">
        <v>533</v>
      </c>
      <c r="H515" s="22" t="s">
        <v>73</v>
      </c>
      <c r="I515" s="23">
        <v>1405</v>
      </c>
      <c r="J515" s="104"/>
      <c r="K515" s="24" t="s">
        <v>28</v>
      </c>
    </row>
    <row r="516" spans="3:15" ht="16.5" hidden="1" customHeight="1">
      <c r="C516" s="17">
        <v>46357</v>
      </c>
      <c r="D516" s="69" t="str">
        <f>PROPER(TEXT(C516,"MMMM"))</f>
        <v>Dezembro</v>
      </c>
      <c r="E516" s="19" t="s">
        <v>14</v>
      </c>
      <c r="F516" s="20" t="s">
        <v>227</v>
      </c>
      <c r="G516" s="21" t="s">
        <v>1170</v>
      </c>
      <c r="H516" s="22" t="s">
        <v>73</v>
      </c>
      <c r="I516" s="23">
        <v>2300</v>
      </c>
      <c r="J516" s="104"/>
      <c r="K516" s="24" t="s">
        <v>28</v>
      </c>
    </row>
    <row r="517" spans="3:15" ht="16.5" hidden="1" customHeight="1">
      <c r="C517" s="17">
        <v>46357</v>
      </c>
      <c r="D517" s="69" t="str">
        <f>PROPER(TEXT(C517,"MMMM"))</f>
        <v>Dezembro</v>
      </c>
      <c r="E517" s="19" t="s">
        <v>14</v>
      </c>
      <c r="F517" s="20" t="s">
        <v>227</v>
      </c>
      <c r="G517" s="21" t="s">
        <v>845</v>
      </c>
      <c r="H517" s="22" t="s">
        <v>73</v>
      </c>
      <c r="I517" s="23">
        <v>1100</v>
      </c>
      <c r="J517" s="104"/>
      <c r="K517" s="24" t="s">
        <v>28</v>
      </c>
    </row>
    <row r="518" spans="3:15" ht="16.5" hidden="1" customHeight="1">
      <c r="C518" s="17">
        <v>46357</v>
      </c>
      <c r="D518" s="69" t="str">
        <f>PROPER(TEXT(C518,"MMMM"))</f>
        <v>Dezembro</v>
      </c>
      <c r="E518" s="19" t="s">
        <v>14</v>
      </c>
      <c r="F518" s="20" t="s">
        <v>227</v>
      </c>
      <c r="G518" s="21" t="s">
        <v>846</v>
      </c>
      <c r="H518" s="22" t="s">
        <v>73</v>
      </c>
      <c r="I518" s="23">
        <v>650</v>
      </c>
      <c r="J518" s="104"/>
      <c r="K518" s="24" t="s">
        <v>28</v>
      </c>
    </row>
    <row r="519" spans="3:15" ht="16.5" hidden="1" customHeight="1">
      <c r="C519" s="17">
        <v>46357</v>
      </c>
      <c r="D519" s="69" t="str">
        <f>PROPER(TEXT(C519,"MMMM"))</f>
        <v>Dezembro</v>
      </c>
      <c r="E519" s="19" t="s">
        <v>14</v>
      </c>
      <c r="F519" s="20" t="s">
        <v>227</v>
      </c>
      <c r="G519" s="25" t="s">
        <v>1172</v>
      </c>
      <c r="H519" s="22" t="s">
        <v>73</v>
      </c>
      <c r="I519" s="23">
        <v>1100</v>
      </c>
      <c r="J519" s="104"/>
      <c r="K519" s="24" t="s">
        <v>28</v>
      </c>
    </row>
    <row r="520" spans="3:15" ht="16.5" hidden="1" customHeight="1">
      <c r="C520" s="17">
        <v>46357</v>
      </c>
      <c r="D520" s="69" t="str">
        <f>PROPER(TEXT(C520,"MMMM"))</f>
        <v>Dezembro</v>
      </c>
      <c r="E520" s="19" t="s">
        <v>14</v>
      </c>
      <c r="F520" s="20" t="s">
        <v>227</v>
      </c>
      <c r="G520" s="25" t="s">
        <v>825</v>
      </c>
      <c r="H520" s="22" t="s">
        <v>73</v>
      </c>
      <c r="I520" s="26">
        <v>650</v>
      </c>
      <c r="J520" s="104"/>
      <c r="K520" s="24" t="s">
        <v>28</v>
      </c>
    </row>
    <row r="521" spans="3:15" ht="16.5" hidden="1" customHeight="1">
      <c r="C521" s="17">
        <v>46357</v>
      </c>
      <c r="D521" s="69" t="str">
        <f>PROPER(TEXT(C521,"MMMM"))</f>
        <v>Dezembro</v>
      </c>
      <c r="E521" s="19" t="s">
        <v>14</v>
      </c>
      <c r="F521" s="20" t="s">
        <v>227</v>
      </c>
      <c r="G521" s="25" t="s">
        <v>50</v>
      </c>
      <c r="H521" s="22" t="s">
        <v>73</v>
      </c>
      <c r="I521" s="27">
        <v>466.34</v>
      </c>
      <c r="J521" s="104"/>
      <c r="K521" s="24" t="s">
        <v>28</v>
      </c>
    </row>
    <row r="522" spans="3:15" s="352" customFormat="1" ht="16.5" hidden="1" customHeight="1">
      <c r="C522" s="17">
        <v>46357</v>
      </c>
      <c r="D522" s="69" t="str">
        <f>PROPER(TEXT(C522,"MMMM"))</f>
        <v>Dezembro</v>
      </c>
      <c r="E522" s="19" t="s">
        <v>14</v>
      </c>
      <c r="F522" s="20" t="s">
        <v>227</v>
      </c>
      <c r="G522" s="25" t="s">
        <v>630</v>
      </c>
      <c r="H522" s="22" t="s">
        <v>73</v>
      </c>
      <c r="I522" s="26">
        <v>450</v>
      </c>
      <c r="J522" s="104"/>
      <c r="K522" s="24" t="s">
        <v>28</v>
      </c>
      <c r="M522"/>
      <c r="N522"/>
      <c r="O522"/>
    </row>
    <row r="523" spans="3:15" ht="16.5" hidden="1" customHeight="1">
      <c r="C523" s="17">
        <v>46357</v>
      </c>
      <c r="D523" s="69" t="str">
        <f>PROPER(TEXT(C523,"MMMM"))</f>
        <v>Dezembro</v>
      </c>
      <c r="E523" s="19" t="s">
        <v>14</v>
      </c>
      <c r="F523" s="20" t="s">
        <v>227</v>
      </c>
      <c r="G523" s="21" t="s">
        <v>631</v>
      </c>
      <c r="H523" s="22" t="s">
        <v>73</v>
      </c>
      <c r="I523" s="23">
        <v>350</v>
      </c>
      <c r="J523" s="104"/>
      <c r="K523" s="24" t="s">
        <v>28</v>
      </c>
    </row>
    <row r="524" spans="3:15" ht="16.5" hidden="1" customHeight="1">
      <c r="C524" s="17">
        <v>46357</v>
      </c>
      <c r="D524" s="69" t="str">
        <f>PROPER(TEXT(C524,"MMMM"))</f>
        <v>Dezembro</v>
      </c>
      <c r="E524" s="19" t="s">
        <v>14</v>
      </c>
      <c r="F524" s="20" t="s">
        <v>227</v>
      </c>
      <c r="G524" s="21" t="s">
        <v>1173</v>
      </c>
      <c r="H524" s="22" t="s">
        <v>73</v>
      </c>
      <c r="I524" s="23">
        <v>450</v>
      </c>
      <c r="J524" s="104"/>
      <c r="K524" s="24" t="s">
        <v>28</v>
      </c>
    </row>
    <row r="525" spans="3:15" ht="16.5" hidden="1" customHeight="1">
      <c r="C525" s="17">
        <v>46357</v>
      </c>
      <c r="D525" s="69" t="str">
        <f>PROPER(TEXT(C525,"MMMM"))</f>
        <v>Dezembro</v>
      </c>
      <c r="E525" s="19" t="s">
        <v>15</v>
      </c>
      <c r="F525" s="20" t="s">
        <v>223</v>
      </c>
      <c r="G525" s="21" t="s">
        <v>85</v>
      </c>
      <c r="H525" s="22" t="s">
        <v>75</v>
      </c>
      <c r="I525" s="23">
        <v>1100</v>
      </c>
      <c r="J525" s="104"/>
      <c r="K525" s="24" t="s">
        <v>28</v>
      </c>
    </row>
    <row r="526" spans="3:15" ht="16.5" hidden="1" customHeight="1">
      <c r="C526" s="17">
        <v>46357</v>
      </c>
      <c r="D526" s="69" t="str">
        <f>PROPER(TEXT(C526,"MMMM"))</f>
        <v>Dezembro</v>
      </c>
      <c r="E526" s="19" t="s">
        <v>15</v>
      </c>
      <c r="F526" s="20" t="s">
        <v>223</v>
      </c>
      <c r="G526" s="21" t="s">
        <v>86</v>
      </c>
      <c r="H526" s="22" t="s">
        <v>75</v>
      </c>
      <c r="I526" s="27">
        <v>1100</v>
      </c>
      <c r="J526" s="104"/>
      <c r="K526" s="24" t="s">
        <v>28</v>
      </c>
    </row>
    <row r="527" spans="3:15" ht="16.5" hidden="1" customHeight="1">
      <c r="C527" s="17">
        <v>46357</v>
      </c>
      <c r="D527" s="69" t="str">
        <f>PROPER(TEXT(C527,"MMMM"))</f>
        <v>Dezembro</v>
      </c>
      <c r="E527" s="19" t="s">
        <v>15</v>
      </c>
      <c r="F527" s="20" t="s">
        <v>223</v>
      </c>
      <c r="G527" s="21" t="s">
        <v>87</v>
      </c>
      <c r="H527" s="22" t="s">
        <v>75</v>
      </c>
      <c r="I527" s="23">
        <v>700</v>
      </c>
      <c r="J527" s="104"/>
      <c r="K527" s="24" t="s">
        <v>28</v>
      </c>
    </row>
    <row r="528" spans="3:15" ht="16.5" hidden="1" customHeight="1">
      <c r="C528" s="17">
        <v>46357</v>
      </c>
      <c r="D528" s="69" t="str">
        <f>PROPER(TEXT(C528,"MMMM"))</f>
        <v>Dezembro</v>
      </c>
      <c r="E528" s="19" t="s">
        <v>15</v>
      </c>
      <c r="F528" s="20" t="s">
        <v>223</v>
      </c>
      <c r="G528" s="21" t="s">
        <v>90</v>
      </c>
      <c r="H528" s="22" t="s">
        <v>75</v>
      </c>
      <c r="I528" s="23">
        <v>400</v>
      </c>
      <c r="J528" s="104"/>
      <c r="K528" s="24" t="s">
        <v>28</v>
      </c>
    </row>
    <row r="529" spans="3:11" ht="16.5" hidden="1" customHeight="1">
      <c r="C529" s="17">
        <v>46357</v>
      </c>
      <c r="D529" s="69" t="str">
        <f>PROPER(TEXT(C529,"MMMM"))</f>
        <v>Dezembro</v>
      </c>
      <c r="E529" s="19" t="s">
        <v>15</v>
      </c>
      <c r="F529" s="20" t="s">
        <v>223</v>
      </c>
      <c r="G529" s="21" t="s">
        <v>88</v>
      </c>
      <c r="H529" s="22" t="s">
        <v>75</v>
      </c>
      <c r="I529" s="23">
        <v>220</v>
      </c>
      <c r="J529" s="104"/>
      <c r="K529" s="24" t="s">
        <v>28</v>
      </c>
    </row>
    <row r="530" spans="3:11" ht="16.5" hidden="1" customHeight="1">
      <c r="C530" s="17">
        <v>46357</v>
      </c>
      <c r="D530" s="69" t="str">
        <f>PROPER(TEXT(C530,"MMMM"))</f>
        <v>Dezembro</v>
      </c>
      <c r="E530" s="19" t="s">
        <v>15</v>
      </c>
      <c r="F530" s="20" t="s">
        <v>224</v>
      </c>
      <c r="G530" s="21" t="s">
        <v>1190</v>
      </c>
      <c r="H530" s="22" t="s">
        <v>75</v>
      </c>
      <c r="I530" s="23">
        <v>735</v>
      </c>
      <c r="J530" s="104"/>
      <c r="K530" s="24" t="s">
        <v>28</v>
      </c>
    </row>
    <row r="531" spans="3:11" ht="16.5" hidden="1" customHeight="1">
      <c r="C531" s="17">
        <v>46357</v>
      </c>
      <c r="D531" s="69" t="str">
        <f>PROPER(TEXT(C531,"MMMM"))</f>
        <v>Dezembro</v>
      </c>
      <c r="E531" s="19" t="s">
        <v>15</v>
      </c>
      <c r="F531" s="20" t="s">
        <v>224</v>
      </c>
      <c r="G531" s="21" t="s">
        <v>1191</v>
      </c>
      <c r="H531" s="22" t="s">
        <v>75</v>
      </c>
      <c r="I531" s="27">
        <v>3000</v>
      </c>
      <c r="J531" s="104"/>
      <c r="K531" s="24" t="s">
        <v>28</v>
      </c>
    </row>
    <row r="532" spans="3:11" ht="16.5" hidden="1" customHeight="1">
      <c r="C532" s="17">
        <v>46357</v>
      </c>
      <c r="D532" s="69" t="str">
        <f>PROPER(TEXT(C532,"MMMM"))</f>
        <v>Dezembro</v>
      </c>
      <c r="E532" s="19" t="s">
        <v>15</v>
      </c>
      <c r="F532" s="20" t="s">
        <v>224</v>
      </c>
      <c r="G532" s="21" t="s">
        <v>1193</v>
      </c>
      <c r="H532" s="22" t="s">
        <v>75</v>
      </c>
      <c r="I532" s="23">
        <v>1000</v>
      </c>
      <c r="J532" s="104"/>
      <c r="K532" s="24" t="s">
        <v>28</v>
      </c>
    </row>
    <row r="533" spans="3:11" ht="16.5" hidden="1" customHeight="1">
      <c r="C533" s="17">
        <v>46357</v>
      </c>
      <c r="D533" s="69" t="str">
        <f>PROPER(TEXT(C533,"MMMM"))</f>
        <v>Dezembro</v>
      </c>
      <c r="E533" s="19" t="s">
        <v>15</v>
      </c>
      <c r="F533" s="20" t="s">
        <v>224</v>
      </c>
      <c r="G533" s="21" t="s">
        <v>1215</v>
      </c>
      <c r="H533" s="22" t="s">
        <v>75</v>
      </c>
      <c r="I533" s="23">
        <v>209</v>
      </c>
      <c r="J533" s="104"/>
      <c r="K533" s="24" t="s">
        <v>28</v>
      </c>
    </row>
    <row r="534" spans="3:11" ht="16.5" hidden="1" customHeight="1">
      <c r="C534" s="17">
        <v>46357</v>
      </c>
      <c r="D534" s="69" t="str">
        <f>PROPER(TEXT(C534,"MMMM"))</f>
        <v>Dezembro</v>
      </c>
      <c r="E534" s="19" t="s">
        <v>15</v>
      </c>
      <c r="F534" s="20" t="s">
        <v>225</v>
      </c>
      <c r="G534" s="21" t="s">
        <v>27</v>
      </c>
      <c r="H534" s="22" t="s">
        <v>23</v>
      </c>
      <c r="I534" s="27">
        <v>330</v>
      </c>
      <c r="J534" s="104"/>
      <c r="K534" s="24" t="s">
        <v>28</v>
      </c>
    </row>
    <row r="535" spans="3:11" ht="16.5" hidden="1" customHeight="1">
      <c r="C535" s="17">
        <v>46357</v>
      </c>
      <c r="D535" s="69" t="str">
        <f>PROPER(TEXT(C535,"MMMM"))</f>
        <v>Dezembro</v>
      </c>
      <c r="E535" s="19" t="s">
        <v>15</v>
      </c>
      <c r="F535" s="20" t="s">
        <v>225</v>
      </c>
      <c r="G535" s="21" t="s">
        <v>20</v>
      </c>
      <c r="H535" s="22" t="s">
        <v>23</v>
      </c>
      <c r="I535" s="27">
        <v>11000</v>
      </c>
      <c r="J535" s="104"/>
      <c r="K535" s="24" t="s">
        <v>28</v>
      </c>
    </row>
    <row r="536" spans="3:11" ht="16.5" hidden="1" customHeight="1">
      <c r="C536" s="17">
        <v>46357</v>
      </c>
      <c r="D536" s="69" t="str">
        <f>PROPER(TEXT(C536,"MMMM"))</f>
        <v>Dezembro</v>
      </c>
      <c r="E536" s="19" t="s">
        <v>15</v>
      </c>
      <c r="F536" s="20" t="s">
        <v>225</v>
      </c>
      <c r="G536" s="21" t="s">
        <v>78</v>
      </c>
      <c r="H536" s="22" t="s">
        <v>23</v>
      </c>
      <c r="I536" s="23">
        <v>6000</v>
      </c>
      <c r="J536" s="104"/>
      <c r="K536" s="24" t="s">
        <v>28</v>
      </c>
    </row>
    <row r="537" spans="3:11" ht="16.5" hidden="1" customHeight="1">
      <c r="C537" s="17">
        <v>46357</v>
      </c>
      <c r="D537" s="69" t="str">
        <f>PROPER(TEXT(C537,"MMMM"))</f>
        <v>Dezembro</v>
      </c>
      <c r="E537" s="19" t="s">
        <v>15</v>
      </c>
      <c r="F537" s="20" t="s">
        <v>225</v>
      </c>
      <c r="G537" s="21" t="s">
        <v>33</v>
      </c>
      <c r="H537" s="22" t="s">
        <v>23</v>
      </c>
      <c r="I537" s="23">
        <v>220</v>
      </c>
      <c r="J537" s="104"/>
      <c r="K537" s="24" t="s">
        <v>28</v>
      </c>
    </row>
    <row r="538" spans="3:11" ht="16.5" hidden="1" customHeight="1">
      <c r="C538" s="17">
        <v>46357</v>
      </c>
      <c r="D538" s="69" t="str">
        <f>PROPER(TEXT(C538,"MMMM"))</f>
        <v>Dezembro</v>
      </c>
      <c r="E538" s="19" t="s">
        <v>15</v>
      </c>
      <c r="F538" s="20" t="s">
        <v>225</v>
      </c>
      <c r="G538" s="21" t="s">
        <v>60</v>
      </c>
      <c r="H538" s="22" t="s">
        <v>23</v>
      </c>
      <c r="I538" s="23">
        <v>2500</v>
      </c>
      <c r="J538" s="104"/>
      <c r="K538" s="24" t="s">
        <v>28</v>
      </c>
    </row>
    <row r="539" spans="3:11" ht="16.5" hidden="1" customHeight="1">
      <c r="C539" s="17">
        <v>46357</v>
      </c>
      <c r="D539" s="69" t="str">
        <f>PROPER(TEXT(C539,"MMMM"))</f>
        <v>Dezembro</v>
      </c>
      <c r="E539" s="19" t="s">
        <v>15</v>
      </c>
      <c r="F539" s="20" t="s">
        <v>225</v>
      </c>
      <c r="G539" s="21" t="s">
        <v>63</v>
      </c>
      <c r="H539" s="22" t="s">
        <v>547</v>
      </c>
      <c r="I539" s="27">
        <v>7600</v>
      </c>
      <c r="J539" s="104"/>
      <c r="K539" s="24" t="s">
        <v>28</v>
      </c>
    </row>
    <row r="540" spans="3:11" ht="16.5" hidden="1" customHeight="1">
      <c r="C540" s="17">
        <v>46357</v>
      </c>
      <c r="D540" s="69" t="str">
        <f>PROPER(TEXT(C540,"MMMM"))</f>
        <v>Dezembro</v>
      </c>
      <c r="E540" s="19" t="s">
        <v>15</v>
      </c>
      <c r="F540" s="20" t="s">
        <v>225</v>
      </c>
      <c r="G540" s="21" t="s">
        <v>51</v>
      </c>
      <c r="H540" s="22" t="s">
        <v>75</v>
      </c>
      <c r="I540" s="27">
        <v>36000</v>
      </c>
      <c r="J540" s="104"/>
      <c r="K540" s="24" t="s">
        <v>28</v>
      </c>
    </row>
    <row r="541" spans="3:11" ht="16.5" hidden="1" customHeight="1">
      <c r="C541" s="17">
        <v>46357</v>
      </c>
      <c r="D541" s="69" t="str">
        <f>PROPER(TEXT(C541,"MMMM"))</f>
        <v>Dezembro</v>
      </c>
      <c r="E541" s="19" t="s">
        <v>15</v>
      </c>
      <c r="F541" s="20" t="s">
        <v>226</v>
      </c>
      <c r="G541" s="21" t="s">
        <v>34</v>
      </c>
      <c r="H541" s="22" t="s">
        <v>75</v>
      </c>
      <c r="I541" s="27">
        <v>503.34</v>
      </c>
      <c r="J541" s="104"/>
      <c r="K541" s="24" t="s">
        <v>28</v>
      </c>
    </row>
    <row r="542" spans="3:11" ht="16.5" hidden="1" customHeight="1">
      <c r="C542" s="17">
        <v>46357</v>
      </c>
      <c r="D542" s="69" t="str">
        <f>PROPER(TEXT(C542,"MMMM"))</f>
        <v>Dezembro</v>
      </c>
      <c r="E542" s="19" t="s">
        <v>16</v>
      </c>
      <c r="F542" s="20" t="s">
        <v>223</v>
      </c>
      <c r="G542" s="21" t="s">
        <v>118</v>
      </c>
      <c r="H542" s="22" t="s">
        <v>1416</v>
      </c>
      <c r="I542" s="23">
        <v>4900</v>
      </c>
      <c r="J542" s="104"/>
      <c r="K542" s="24" t="s">
        <v>28</v>
      </c>
    </row>
    <row r="543" spans="3:11" ht="16.5" hidden="1" customHeight="1">
      <c r="C543" s="17">
        <v>46357</v>
      </c>
      <c r="D543" s="69" t="str">
        <f>PROPER(TEXT(C543,"MMMM"))</f>
        <v>Dezembro</v>
      </c>
      <c r="E543" s="19" t="s">
        <v>16</v>
      </c>
      <c r="F543" s="20" t="s">
        <v>223</v>
      </c>
      <c r="G543" s="21" t="s">
        <v>157</v>
      </c>
      <c r="H543" s="22" t="s">
        <v>1416</v>
      </c>
      <c r="I543" s="23">
        <v>2131</v>
      </c>
      <c r="J543" s="104"/>
      <c r="K543" s="24" t="s">
        <v>28</v>
      </c>
    </row>
    <row r="544" spans="3:11" ht="16.5" hidden="1" customHeight="1">
      <c r="C544" s="17">
        <v>46357</v>
      </c>
      <c r="D544" s="69" t="str">
        <f>PROPER(TEXT(C544,"MMMM"))</f>
        <v>Dezembro</v>
      </c>
      <c r="E544" s="19" t="s">
        <v>16</v>
      </c>
      <c r="F544" s="20" t="s">
        <v>225</v>
      </c>
      <c r="G544" s="21" t="s">
        <v>35</v>
      </c>
      <c r="H544" s="22" t="s">
        <v>720</v>
      </c>
      <c r="I544" s="23">
        <v>1000</v>
      </c>
      <c r="J544" s="104"/>
      <c r="K544" s="24" t="s">
        <v>28</v>
      </c>
    </row>
    <row r="545" spans="3:13" ht="16.5" hidden="1" customHeight="1">
      <c r="C545" s="17">
        <v>46357</v>
      </c>
      <c r="D545" s="69" t="str">
        <f>PROPER(TEXT(C545,"MMMM"))</f>
        <v>Dezembro</v>
      </c>
      <c r="E545" s="19" t="s">
        <v>16</v>
      </c>
      <c r="F545" s="20" t="s">
        <v>225</v>
      </c>
      <c r="G545" s="21" t="s">
        <v>27</v>
      </c>
      <c r="H545" s="22" t="s">
        <v>1416</v>
      </c>
      <c r="I545" s="23">
        <v>200</v>
      </c>
      <c r="J545" s="104"/>
      <c r="K545" s="24" t="s">
        <v>28</v>
      </c>
    </row>
    <row r="546" spans="3:13" ht="16.5" hidden="1" customHeight="1">
      <c r="C546" s="17">
        <v>46357</v>
      </c>
      <c r="D546" s="69" t="str">
        <f>PROPER(TEXT(C546,"MMMM"))</f>
        <v>Dezembro</v>
      </c>
      <c r="E546" s="19" t="s">
        <v>16</v>
      </c>
      <c r="F546" s="20" t="s">
        <v>225</v>
      </c>
      <c r="G546" s="21" t="s">
        <v>20</v>
      </c>
      <c r="H546" s="22" t="s">
        <v>1416</v>
      </c>
      <c r="I546" s="23">
        <v>5000</v>
      </c>
      <c r="J546" s="104"/>
      <c r="K546" s="24" t="s">
        <v>28</v>
      </c>
    </row>
    <row r="547" spans="3:13" ht="16.5" hidden="1" customHeight="1">
      <c r="C547" s="17">
        <v>46357</v>
      </c>
      <c r="D547" s="69" t="str">
        <f>PROPER(TEXT(C547,"MMMM"))</f>
        <v>Dezembro</v>
      </c>
      <c r="E547" s="19" t="s">
        <v>16</v>
      </c>
      <c r="F547" s="20" t="s">
        <v>225</v>
      </c>
      <c r="G547" s="21" t="s">
        <v>33</v>
      </c>
      <c r="H547" s="22" t="s">
        <v>1416</v>
      </c>
      <c r="I547" s="23">
        <v>100</v>
      </c>
      <c r="J547" s="104"/>
      <c r="K547" s="24" t="s">
        <v>28</v>
      </c>
    </row>
    <row r="548" spans="3:13" ht="16.5" hidden="1" customHeight="1">
      <c r="C548" s="17">
        <v>46357</v>
      </c>
      <c r="D548" s="69" t="str">
        <f>PROPER(TEXT(C548,"MMMM"))</f>
        <v>Dezembro</v>
      </c>
      <c r="E548" s="19" t="s">
        <v>16</v>
      </c>
      <c r="F548" s="20" t="s">
        <v>226</v>
      </c>
      <c r="G548" s="21" t="s">
        <v>124</v>
      </c>
      <c r="H548" s="22" t="s">
        <v>1416</v>
      </c>
      <c r="I548" s="23">
        <v>5000</v>
      </c>
      <c r="J548" s="104"/>
      <c r="K548" s="24" t="s">
        <v>28</v>
      </c>
    </row>
    <row r="549" spans="3:13" ht="16.5" hidden="1" customHeight="1">
      <c r="C549" s="17"/>
      <c r="D549" s="69"/>
      <c r="E549" s="19"/>
      <c r="F549" s="20"/>
      <c r="G549" s="21"/>
      <c r="H549" s="22"/>
      <c r="I549" s="27"/>
      <c r="J549" s="104"/>
      <c r="K549" s="24"/>
    </row>
    <row r="550" spans="3:13" ht="16.5" hidden="1" customHeight="1">
      <c r="C550" s="17"/>
      <c r="D550" s="69"/>
      <c r="E550" s="19"/>
      <c r="F550" s="20"/>
      <c r="G550" s="25"/>
      <c r="H550" s="22"/>
      <c r="I550" s="26"/>
      <c r="J550" s="104"/>
      <c r="K550" s="24"/>
    </row>
    <row r="551" spans="3:13" ht="16.5" hidden="1" customHeight="1">
      <c r="C551" s="17"/>
      <c r="D551" s="69"/>
      <c r="E551" s="19"/>
      <c r="F551" s="20"/>
      <c r="G551" s="25"/>
      <c r="H551" s="22"/>
      <c r="I551" s="26"/>
      <c r="J551" s="104"/>
      <c r="K551" s="24"/>
    </row>
    <row r="552" spans="3:13" ht="16.5" hidden="1" customHeight="1">
      <c r="C552" s="17"/>
      <c r="D552" s="69"/>
      <c r="E552" s="19"/>
      <c r="F552" s="20"/>
      <c r="G552" s="21"/>
      <c r="H552" s="22"/>
      <c r="I552" s="27"/>
      <c r="J552" s="104"/>
      <c r="K552" s="24"/>
    </row>
    <row r="553" spans="3:13" ht="16.5" hidden="1" customHeight="1">
      <c r="C553" s="17"/>
      <c r="D553" s="69"/>
      <c r="E553" s="19"/>
      <c r="F553" s="20"/>
      <c r="G553" s="21"/>
      <c r="H553" s="22"/>
      <c r="I553" s="27"/>
      <c r="J553" s="104"/>
      <c r="K553" s="24"/>
      <c r="M553" s="550"/>
    </row>
    <row r="554" spans="3:13" ht="16.5" hidden="1" customHeight="1">
      <c r="C554" s="17"/>
      <c r="D554" s="69"/>
      <c r="E554" s="19"/>
      <c r="F554" s="20"/>
      <c r="G554" s="21"/>
      <c r="H554" s="22"/>
      <c r="I554" s="27"/>
      <c r="J554" s="104"/>
      <c r="K554" s="24"/>
      <c r="M554" s="550"/>
    </row>
    <row r="555" spans="3:13" ht="16.5" hidden="1" customHeight="1">
      <c r="C555" s="17"/>
      <c r="D555" s="69"/>
      <c r="E555" s="19"/>
      <c r="F555" s="20"/>
      <c r="G555" s="21"/>
      <c r="H555" s="22"/>
      <c r="I555" s="27"/>
      <c r="J555" s="104"/>
      <c r="K555" s="24"/>
      <c r="M555" s="550"/>
    </row>
    <row r="556" spans="3:13" ht="16.5" hidden="1" customHeight="1">
      <c r="C556" s="17"/>
      <c r="D556" s="18"/>
      <c r="E556" s="19"/>
      <c r="F556" s="20"/>
      <c r="G556" s="21"/>
      <c r="H556" s="22"/>
      <c r="I556" s="23"/>
      <c r="J556" s="104"/>
      <c r="K556" s="24"/>
    </row>
    <row r="557" spans="3:13" ht="16.5" hidden="1" customHeight="1">
      <c r="C557" s="17"/>
      <c r="D557" s="18"/>
      <c r="E557" s="19"/>
      <c r="F557" s="20"/>
      <c r="G557" s="25"/>
      <c r="H557" s="22"/>
      <c r="I557" s="26"/>
      <c r="J557" s="104"/>
      <c r="K557" s="24"/>
    </row>
    <row r="558" spans="3:13" ht="16.5" hidden="1" customHeight="1">
      <c r="C558" s="17"/>
      <c r="D558" s="18"/>
      <c r="E558" s="19"/>
      <c r="F558" s="20"/>
      <c r="G558" s="21"/>
      <c r="H558" s="22"/>
      <c r="I558" s="23"/>
      <c r="J558" s="104"/>
      <c r="K558" s="24"/>
    </row>
    <row r="559" spans="3:13" ht="16.5" hidden="1" customHeight="1">
      <c r="C559" s="17"/>
      <c r="D559" s="18"/>
      <c r="E559" s="19"/>
      <c r="F559" s="20"/>
      <c r="G559" s="21"/>
      <c r="H559" s="22"/>
      <c r="I559" s="27"/>
      <c r="J559" s="104"/>
      <c r="K559" s="24"/>
    </row>
    <row r="560" spans="3:13" ht="16.5" hidden="1" customHeight="1">
      <c r="C560" s="17"/>
      <c r="D560" s="18"/>
      <c r="E560" s="19"/>
      <c r="F560" s="20"/>
      <c r="G560" s="21"/>
      <c r="H560" s="22"/>
      <c r="I560" s="23"/>
      <c r="J560" s="104"/>
      <c r="K560" s="24"/>
    </row>
    <row r="561" spans="3:13" ht="16.5" hidden="1" customHeight="1">
      <c r="C561" s="17"/>
      <c r="D561" s="18"/>
      <c r="E561" s="19"/>
      <c r="F561" s="20"/>
      <c r="G561" s="21"/>
      <c r="H561" s="22"/>
      <c r="I561" s="23"/>
      <c r="J561" s="104"/>
      <c r="K561" s="24"/>
    </row>
    <row r="562" spans="3:13" ht="16.5" hidden="1" customHeight="1">
      <c r="C562" s="17"/>
      <c r="D562" s="18"/>
      <c r="E562" s="19"/>
      <c r="F562" s="20"/>
      <c r="G562" s="21"/>
      <c r="H562" s="22"/>
      <c r="I562" s="23"/>
      <c r="J562" s="104"/>
      <c r="K562" s="24"/>
    </row>
    <row r="563" spans="3:13" ht="16.5" hidden="1" customHeight="1">
      <c r="C563" s="17"/>
      <c r="D563" s="18"/>
      <c r="E563" s="19"/>
      <c r="F563" s="20"/>
      <c r="G563" s="21"/>
      <c r="H563" s="22"/>
      <c r="I563" s="23"/>
      <c r="J563" s="104"/>
      <c r="K563" s="24"/>
    </row>
    <row r="564" spans="3:13" ht="16.5" hidden="1" customHeight="1">
      <c r="C564" s="17"/>
      <c r="D564" s="18"/>
      <c r="E564" s="19"/>
      <c r="F564" s="20"/>
      <c r="G564" s="21"/>
      <c r="H564" s="22"/>
      <c r="I564" s="23"/>
      <c r="J564" s="104"/>
      <c r="K564" s="24"/>
    </row>
    <row r="565" spans="3:13" ht="16.5" hidden="1" customHeight="1">
      <c r="C565" s="17"/>
      <c r="D565" s="18"/>
      <c r="E565" s="19"/>
      <c r="F565" s="20"/>
      <c r="G565" s="21"/>
      <c r="H565" s="22"/>
      <c r="I565" s="23"/>
      <c r="J565" s="104"/>
      <c r="K565" s="24"/>
    </row>
    <row r="566" spans="3:13" ht="16.5" hidden="1" customHeight="1">
      <c r="C566" s="17"/>
      <c r="D566" s="18"/>
      <c r="E566" s="19"/>
      <c r="F566" s="20"/>
      <c r="G566" s="21"/>
      <c r="H566" s="22"/>
      <c r="I566" s="23"/>
      <c r="J566" s="104"/>
      <c r="K566" s="24"/>
      <c r="M566" s="8"/>
    </row>
    <row r="567" spans="3:13" ht="16.5" hidden="1" customHeight="1">
      <c r="C567" s="17"/>
      <c r="D567" s="18"/>
      <c r="E567" s="19"/>
      <c r="F567" s="20"/>
      <c r="G567" s="21"/>
      <c r="H567" s="22"/>
      <c r="I567" s="23"/>
      <c r="J567" s="104"/>
      <c r="K567" s="24"/>
      <c r="M567" s="8"/>
    </row>
    <row r="568" spans="3:13" ht="16.5" hidden="1" customHeight="1">
      <c r="C568" s="17"/>
      <c r="D568" s="18"/>
      <c r="E568" s="19"/>
      <c r="F568" s="20"/>
      <c r="G568" s="21"/>
      <c r="H568" s="22"/>
      <c r="I568" s="23"/>
      <c r="J568" s="104"/>
      <c r="K568" s="24"/>
      <c r="M568" s="8"/>
    </row>
    <row r="569" spans="3:13" ht="16.5" hidden="1" customHeight="1">
      <c r="C569" s="17"/>
      <c r="D569" s="18"/>
      <c r="E569" s="19"/>
      <c r="F569" s="20"/>
      <c r="G569" s="21"/>
      <c r="H569" s="22"/>
      <c r="I569" s="23"/>
      <c r="J569" s="104"/>
      <c r="K569" s="24"/>
    </row>
    <row r="570" spans="3:13" ht="16.5" hidden="1" customHeight="1">
      <c r="C570" s="17"/>
      <c r="D570" s="18"/>
      <c r="E570" s="19"/>
      <c r="F570" s="20"/>
      <c r="G570" s="21"/>
      <c r="H570" s="22"/>
      <c r="I570" s="23"/>
      <c r="J570" s="104"/>
      <c r="K570" s="24"/>
    </row>
    <row r="571" spans="3:13" ht="16.5" hidden="1" customHeight="1">
      <c r="C571" s="17"/>
      <c r="D571" s="18"/>
      <c r="E571" s="19"/>
      <c r="F571" s="20"/>
      <c r="G571" s="21"/>
      <c r="H571" s="22"/>
      <c r="I571" s="23"/>
      <c r="J571" s="104"/>
      <c r="K571" s="24"/>
    </row>
    <row r="572" spans="3:13" ht="16.5" hidden="1" customHeight="1">
      <c r="C572" s="17"/>
      <c r="D572" s="18"/>
      <c r="E572" s="19"/>
      <c r="F572" s="20"/>
      <c r="G572" s="21"/>
      <c r="H572" s="22"/>
      <c r="I572" s="23"/>
      <c r="J572" s="104"/>
      <c r="K572" s="24"/>
    </row>
    <row r="573" spans="3:13" ht="16.5" hidden="1" customHeight="1">
      <c r="C573" s="17"/>
      <c r="D573" s="18"/>
      <c r="E573" s="19"/>
      <c r="F573" s="20"/>
      <c r="G573" s="21"/>
      <c r="H573" s="22"/>
      <c r="I573" s="23"/>
      <c r="J573" s="104"/>
      <c r="K573" s="24"/>
    </row>
    <row r="574" spans="3:13" ht="16.5" hidden="1" customHeight="1">
      <c r="C574" s="17"/>
      <c r="D574" s="18"/>
      <c r="E574" s="19"/>
      <c r="F574" s="20"/>
      <c r="G574" s="21"/>
      <c r="H574" s="22"/>
      <c r="I574" s="23"/>
      <c r="J574" s="104"/>
      <c r="K574" s="24"/>
    </row>
    <row r="575" spans="3:13" ht="16.5" hidden="1" customHeight="1">
      <c r="C575" s="17"/>
      <c r="D575" s="18"/>
      <c r="E575" s="19"/>
      <c r="F575" s="20"/>
      <c r="G575" s="21"/>
      <c r="H575" s="22"/>
      <c r="I575" s="23"/>
      <c r="J575" s="104"/>
      <c r="K575" s="24"/>
    </row>
    <row r="576" spans="3:13" ht="16.5" hidden="1" customHeight="1">
      <c r="C576" s="17"/>
      <c r="D576" s="18"/>
      <c r="E576" s="19"/>
      <c r="F576" s="20"/>
      <c r="G576" s="21"/>
      <c r="H576" s="22"/>
      <c r="I576" s="23"/>
      <c r="J576" s="104"/>
      <c r="K576" s="24"/>
    </row>
    <row r="577" spans="3:11" ht="16.5" hidden="1" customHeight="1">
      <c r="C577" s="17"/>
      <c r="D577" s="18"/>
      <c r="E577" s="19"/>
      <c r="F577" s="20"/>
      <c r="G577" s="21"/>
      <c r="H577" s="22"/>
      <c r="I577" s="23"/>
      <c r="J577" s="104"/>
      <c r="K577" s="24"/>
    </row>
    <row r="578" spans="3:11" ht="16.5" hidden="1" customHeight="1">
      <c r="C578" s="17"/>
      <c r="D578" s="18"/>
      <c r="E578" s="19"/>
      <c r="F578" s="20"/>
      <c r="G578" s="21"/>
      <c r="H578" s="22"/>
      <c r="I578" s="23"/>
      <c r="J578" s="104"/>
      <c r="K578" s="24"/>
    </row>
    <row r="579" spans="3:11" ht="16.5" hidden="1" customHeight="1">
      <c r="C579" s="17"/>
      <c r="D579" s="18"/>
      <c r="E579" s="19"/>
      <c r="F579" s="20"/>
      <c r="G579" s="25"/>
      <c r="H579" s="22"/>
      <c r="I579" s="26"/>
      <c r="J579" s="104"/>
      <c r="K579" s="24"/>
    </row>
    <row r="580" spans="3:11" ht="16.5" hidden="1" customHeight="1">
      <c r="C580" s="17"/>
      <c r="D580" s="18"/>
      <c r="E580" s="19"/>
      <c r="F580" s="20"/>
      <c r="G580" s="25"/>
      <c r="H580" s="22"/>
      <c r="I580" s="26"/>
      <c r="J580" s="104"/>
      <c r="K580" s="24"/>
    </row>
    <row r="581" spans="3:11" ht="16.5" hidden="1" customHeight="1">
      <c r="C581" s="17"/>
      <c r="D581" s="18"/>
      <c r="E581" s="19"/>
      <c r="F581" s="20"/>
      <c r="G581" s="25"/>
      <c r="H581" s="22"/>
      <c r="I581" s="26"/>
      <c r="J581" s="104"/>
      <c r="K581" s="24"/>
    </row>
    <row r="582" spans="3:11" ht="16.5" hidden="1" customHeight="1">
      <c r="C582" s="17"/>
      <c r="D582" s="18"/>
      <c r="E582" s="19"/>
      <c r="F582" s="20"/>
      <c r="G582" s="21"/>
      <c r="H582" s="22"/>
      <c r="I582" s="23"/>
      <c r="J582" s="104"/>
      <c r="K582" s="24"/>
    </row>
    <row r="583" spans="3:11" ht="16.5" hidden="1" customHeight="1">
      <c r="C583" s="17"/>
      <c r="D583" s="18"/>
      <c r="E583" s="19"/>
      <c r="F583" s="20"/>
      <c r="G583" s="21"/>
      <c r="H583" s="22"/>
      <c r="I583" s="23"/>
      <c r="J583" s="104"/>
      <c r="K583" s="24"/>
    </row>
    <row r="584" spans="3:11" ht="16.5" hidden="1" customHeight="1">
      <c r="C584" s="17"/>
      <c r="D584" s="18"/>
      <c r="E584" s="19"/>
      <c r="F584" s="20"/>
      <c r="G584" s="21"/>
      <c r="H584" s="22"/>
      <c r="I584" s="23"/>
      <c r="J584" s="104"/>
      <c r="K584" s="24"/>
    </row>
    <row r="585" spans="3:11" ht="16.5" hidden="1" customHeight="1">
      <c r="C585" s="17"/>
      <c r="D585" s="18"/>
      <c r="E585" s="19"/>
      <c r="F585" s="20"/>
      <c r="G585" s="21"/>
      <c r="H585" s="22"/>
      <c r="I585" s="23"/>
      <c r="J585" s="104"/>
      <c r="K585" s="24"/>
    </row>
    <row r="586" spans="3:11" ht="16.5" hidden="1" customHeight="1">
      <c r="C586" s="17"/>
      <c r="D586" s="18"/>
      <c r="E586" s="19"/>
      <c r="F586" s="20"/>
      <c r="G586" s="21"/>
      <c r="H586" s="22"/>
      <c r="I586" s="27"/>
      <c r="J586" s="104"/>
      <c r="K586" s="24"/>
    </row>
    <row r="587" spans="3:11" ht="16.5" hidden="1" customHeight="1">
      <c r="C587" s="17"/>
      <c r="D587" s="18"/>
      <c r="E587" s="19"/>
      <c r="F587" s="20"/>
      <c r="G587" s="21"/>
      <c r="H587" s="22"/>
      <c r="I587" s="23"/>
      <c r="J587" s="104"/>
      <c r="K587" s="24"/>
    </row>
    <row r="588" spans="3:11" ht="16.5" hidden="1" customHeight="1">
      <c r="C588" s="17"/>
      <c r="D588" s="18"/>
      <c r="E588" s="19"/>
      <c r="F588" s="20"/>
      <c r="G588" s="21"/>
      <c r="H588" s="22"/>
      <c r="I588" s="27"/>
      <c r="J588" s="104"/>
      <c r="K588" s="24"/>
    </row>
    <row r="589" spans="3:11" ht="16.5" hidden="1" customHeight="1">
      <c r="C589" s="17"/>
      <c r="D589" s="18"/>
      <c r="E589" s="19"/>
      <c r="F589" s="20"/>
      <c r="G589" s="21"/>
      <c r="H589" s="22"/>
      <c r="I589" s="23"/>
      <c r="J589" s="104"/>
      <c r="K589" s="24"/>
    </row>
    <row r="590" spans="3:11" ht="16.5" hidden="1" customHeight="1">
      <c r="C590" s="17"/>
      <c r="D590" s="18"/>
      <c r="E590" s="19"/>
      <c r="F590" s="20"/>
      <c r="G590" s="21"/>
      <c r="H590" s="22"/>
      <c r="I590" s="27"/>
      <c r="J590" s="104"/>
      <c r="K590" s="24"/>
    </row>
    <row r="591" spans="3:11" ht="16.5" hidden="1" customHeight="1">
      <c r="C591" s="17"/>
      <c r="D591" s="18"/>
      <c r="E591" s="19"/>
      <c r="F591" s="20"/>
      <c r="G591" s="21"/>
      <c r="H591" s="22"/>
      <c r="I591" s="27"/>
      <c r="J591" s="104"/>
      <c r="K591" s="24"/>
    </row>
    <row r="592" spans="3:11" ht="16.5" hidden="1" customHeight="1">
      <c r="C592" s="17"/>
      <c r="D592" s="18"/>
      <c r="E592" s="19"/>
      <c r="F592" s="20"/>
      <c r="G592" s="21"/>
      <c r="H592" s="22"/>
      <c r="I592" s="23"/>
      <c r="J592" s="104"/>
      <c r="K592" s="24"/>
    </row>
    <row r="593" spans="3:11" ht="16.5" hidden="1" customHeight="1">
      <c r="C593" s="17"/>
      <c r="D593" s="18"/>
      <c r="E593" s="19"/>
      <c r="F593" s="20"/>
      <c r="G593" s="21"/>
      <c r="H593" s="22"/>
      <c r="I593" s="23"/>
      <c r="J593" s="104"/>
      <c r="K593" s="24"/>
    </row>
    <row r="594" spans="3:11" ht="16.5" hidden="1" customHeight="1">
      <c r="C594" s="17"/>
      <c r="D594" s="18"/>
      <c r="E594" s="19"/>
      <c r="F594" s="20"/>
      <c r="G594" s="21"/>
      <c r="H594" s="22"/>
      <c r="I594" s="27"/>
      <c r="J594" s="104"/>
      <c r="K594" s="24"/>
    </row>
    <row r="595" spans="3:11" ht="16.5" hidden="1" customHeight="1">
      <c r="C595" s="17"/>
      <c r="D595" s="18"/>
      <c r="E595" s="19"/>
      <c r="F595" s="20"/>
      <c r="G595" s="21"/>
      <c r="H595" s="22"/>
      <c r="I595" s="23"/>
      <c r="J595" s="104"/>
      <c r="K595" s="24"/>
    </row>
    <row r="596" spans="3:11" ht="16.5" hidden="1" customHeight="1">
      <c r="C596" s="17"/>
      <c r="D596" s="18"/>
      <c r="E596" s="19"/>
      <c r="F596" s="20"/>
      <c r="G596" s="21"/>
      <c r="H596" s="22"/>
      <c r="I596" s="23"/>
      <c r="J596" s="104"/>
      <c r="K596" s="24"/>
    </row>
    <row r="597" spans="3:11" ht="16.5" hidden="1" customHeight="1">
      <c r="C597" s="17"/>
      <c r="D597" s="18"/>
      <c r="E597" s="19"/>
      <c r="F597" s="20"/>
      <c r="G597" s="21"/>
      <c r="H597" s="22"/>
      <c r="I597" s="23"/>
      <c r="J597" s="104"/>
      <c r="K597" s="24"/>
    </row>
    <row r="598" spans="3:11" ht="16.5" hidden="1" customHeight="1">
      <c r="C598" s="17"/>
      <c r="D598" s="18"/>
      <c r="E598" s="19"/>
      <c r="F598" s="20"/>
      <c r="G598" s="21"/>
      <c r="H598" s="22"/>
      <c r="I598" s="27"/>
      <c r="J598" s="104"/>
      <c r="K598" s="24"/>
    </row>
    <row r="599" spans="3:11" ht="16.5" hidden="1" customHeight="1">
      <c r="C599" s="17"/>
      <c r="D599" s="18"/>
      <c r="E599" s="19"/>
      <c r="F599" s="20"/>
      <c r="G599" s="21"/>
      <c r="H599" s="22"/>
      <c r="I599" s="27"/>
      <c r="J599" s="104"/>
      <c r="K599" s="24"/>
    </row>
    <row r="600" spans="3:11" ht="16.5" hidden="1" customHeight="1">
      <c r="C600" s="17"/>
      <c r="D600" s="18"/>
      <c r="E600" s="19"/>
      <c r="F600" s="20"/>
      <c r="G600" s="21"/>
      <c r="H600" s="22"/>
      <c r="I600" s="23"/>
      <c r="J600" s="104"/>
      <c r="K600" s="24"/>
    </row>
    <row r="601" spans="3:11" ht="16.5" hidden="1" customHeight="1">
      <c r="C601" s="17"/>
      <c r="D601" s="18"/>
      <c r="E601" s="19"/>
      <c r="F601" s="20"/>
      <c r="G601" s="21"/>
      <c r="H601" s="22"/>
      <c r="I601" s="23"/>
      <c r="J601" s="104"/>
      <c r="K601" s="24"/>
    </row>
    <row r="602" spans="3:11" ht="16.5" hidden="1" customHeight="1">
      <c r="C602" s="17"/>
      <c r="D602" s="18"/>
      <c r="E602" s="19"/>
      <c r="F602" s="20"/>
      <c r="G602" s="21"/>
      <c r="H602" s="22"/>
      <c r="I602" s="23"/>
      <c r="J602" s="104"/>
      <c r="K602" s="24"/>
    </row>
    <row r="603" spans="3:11" ht="16.5" hidden="1" customHeight="1">
      <c r="C603" s="17"/>
      <c r="D603" s="18"/>
      <c r="E603" s="19"/>
      <c r="F603" s="20"/>
      <c r="G603" s="21"/>
      <c r="H603" s="22"/>
      <c r="I603" s="27"/>
      <c r="J603" s="104"/>
      <c r="K603" s="24"/>
    </row>
    <row r="604" spans="3:11" ht="16.5" hidden="1" customHeight="1">
      <c r="C604" s="17"/>
      <c r="D604" s="18"/>
      <c r="E604" s="19"/>
      <c r="F604" s="20"/>
      <c r="G604" s="21"/>
      <c r="H604" s="22"/>
      <c r="I604" s="27"/>
      <c r="J604" s="104"/>
      <c r="K604" s="24"/>
    </row>
    <row r="605" spans="3:11" ht="16.5" hidden="1" customHeight="1">
      <c r="C605" s="17"/>
      <c r="D605" s="18"/>
      <c r="E605" s="19"/>
      <c r="F605" s="20"/>
      <c r="G605" s="21"/>
      <c r="H605" s="22"/>
      <c r="I605" s="23"/>
      <c r="J605" s="104"/>
      <c r="K605" s="24"/>
    </row>
    <row r="606" spans="3:11" ht="16.5" hidden="1" customHeight="1">
      <c r="C606" s="17"/>
      <c r="D606" s="18"/>
      <c r="E606" s="19"/>
      <c r="F606" s="20"/>
      <c r="G606" s="21"/>
      <c r="H606" s="22"/>
      <c r="I606" s="27"/>
      <c r="J606" s="104"/>
      <c r="K606" s="24"/>
    </row>
    <row r="607" spans="3:11" ht="16.5" hidden="1" customHeight="1">
      <c r="C607" s="17"/>
      <c r="D607" s="18"/>
      <c r="E607" s="19"/>
      <c r="F607" s="20"/>
      <c r="G607" s="21"/>
      <c r="H607" s="22"/>
      <c r="I607" s="23"/>
      <c r="J607" s="104"/>
      <c r="K607" s="24"/>
    </row>
    <row r="608" spans="3:11" ht="16.5" hidden="1" customHeight="1">
      <c r="C608" s="17"/>
      <c r="D608" s="18"/>
      <c r="E608" s="19"/>
      <c r="F608" s="20"/>
      <c r="G608" s="21"/>
      <c r="H608" s="22"/>
      <c r="I608" s="23"/>
      <c r="J608" s="104"/>
      <c r="K608" s="24"/>
    </row>
    <row r="609" spans="3:11" ht="16.5" hidden="1" customHeight="1">
      <c r="C609" s="17"/>
      <c r="D609" s="18"/>
      <c r="E609" s="19"/>
      <c r="F609" s="20"/>
      <c r="G609" s="21"/>
      <c r="H609" s="22"/>
      <c r="I609" s="23"/>
      <c r="J609" s="104"/>
      <c r="K609" s="24"/>
    </row>
    <row r="610" spans="3:11" ht="16.5" hidden="1" customHeight="1">
      <c r="C610" s="17"/>
      <c r="D610" s="18"/>
      <c r="E610" s="19"/>
      <c r="F610" s="20"/>
      <c r="G610" s="25"/>
      <c r="H610" s="22"/>
      <c r="I610" s="26"/>
      <c r="J610" s="104"/>
      <c r="K610" s="24"/>
    </row>
    <row r="611" spans="3:11" ht="16.5" hidden="1" customHeight="1">
      <c r="C611" s="17"/>
      <c r="D611" s="18"/>
      <c r="E611" s="19"/>
      <c r="F611" s="20"/>
      <c r="G611" s="21"/>
      <c r="H611" s="22"/>
      <c r="I611" s="23"/>
      <c r="J611" s="104"/>
      <c r="K611" s="24"/>
    </row>
    <row r="612" spans="3:11" ht="16.5" hidden="1" customHeight="1">
      <c r="C612" s="17"/>
      <c r="D612" s="18"/>
      <c r="E612" s="19"/>
      <c r="F612" s="20"/>
      <c r="G612" s="21"/>
      <c r="H612" s="22"/>
      <c r="I612" s="27"/>
      <c r="J612" s="104"/>
      <c r="K612" s="24"/>
    </row>
    <row r="613" spans="3:11" ht="16.5" hidden="1" customHeight="1">
      <c r="C613" s="17"/>
      <c r="D613" s="18"/>
      <c r="E613" s="19"/>
      <c r="F613" s="20"/>
      <c r="G613" s="21"/>
      <c r="H613" s="22"/>
      <c r="I613" s="27"/>
      <c r="J613" s="104"/>
      <c r="K613" s="24"/>
    </row>
    <row r="614" spans="3:11" ht="16.5" hidden="1" customHeight="1">
      <c r="C614" s="17"/>
      <c r="D614" s="18"/>
      <c r="E614" s="19"/>
      <c r="F614" s="20"/>
      <c r="G614" s="21"/>
      <c r="H614" s="22"/>
      <c r="I614" s="27"/>
      <c r="J614" s="104"/>
      <c r="K614" s="24"/>
    </row>
    <row r="615" spans="3:11" ht="16.5" hidden="1" customHeight="1">
      <c r="C615" s="17"/>
      <c r="D615" s="18"/>
      <c r="E615" s="19"/>
      <c r="F615" s="20"/>
      <c r="G615" s="21"/>
      <c r="H615" s="22"/>
      <c r="I615" s="27"/>
      <c r="J615" s="104"/>
      <c r="K615" s="24"/>
    </row>
    <row r="616" spans="3:11" ht="16.5" hidden="1" customHeight="1">
      <c r="C616" s="17"/>
      <c r="D616" s="18"/>
      <c r="E616" s="19"/>
      <c r="F616" s="20"/>
      <c r="G616" s="21"/>
      <c r="H616" s="22"/>
      <c r="I616" s="27"/>
      <c r="J616" s="104"/>
      <c r="K616" s="24"/>
    </row>
    <row r="617" spans="3:11" ht="16.5" hidden="1" customHeight="1">
      <c r="C617" s="17"/>
      <c r="D617" s="18"/>
      <c r="E617" s="19"/>
      <c r="F617" s="20"/>
      <c r="G617" s="21"/>
      <c r="H617" s="22"/>
      <c r="I617" s="27"/>
      <c r="J617" s="104"/>
      <c r="K617" s="24"/>
    </row>
    <row r="618" spans="3:11" ht="16.5" hidden="1" customHeight="1">
      <c r="C618" s="17"/>
      <c r="D618" s="18"/>
      <c r="E618" s="19"/>
      <c r="F618" s="20"/>
      <c r="G618" s="21"/>
      <c r="H618" s="22"/>
      <c r="I618" s="23"/>
      <c r="J618" s="104"/>
      <c r="K618" s="24"/>
    </row>
    <row r="619" spans="3:11" ht="16.5" hidden="1" customHeight="1">
      <c r="C619" s="17"/>
      <c r="D619" s="18"/>
      <c r="E619" s="19"/>
      <c r="F619" s="20"/>
      <c r="G619" s="21"/>
      <c r="H619" s="22"/>
      <c r="I619" s="23"/>
      <c r="J619" s="104"/>
      <c r="K619" s="24"/>
    </row>
    <row r="620" spans="3:11" ht="16.5" hidden="1" customHeight="1">
      <c r="C620" s="17"/>
      <c r="D620" s="18"/>
      <c r="E620" s="19"/>
      <c r="F620" s="20"/>
      <c r="G620" s="21"/>
      <c r="H620" s="22"/>
      <c r="I620" s="23"/>
      <c r="J620" s="104"/>
      <c r="K620" s="24"/>
    </row>
    <row r="621" spans="3:11" ht="16.5" hidden="1" customHeight="1">
      <c r="C621" s="17"/>
      <c r="D621" s="18"/>
      <c r="E621" s="19"/>
      <c r="F621" s="20"/>
      <c r="G621" s="21"/>
      <c r="H621" s="22"/>
      <c r="I621" s="23"/>
      <c r="J621" s="104"/>
      <c r="K621" s="24"/>
    </row>
    <row r="622" spans="3:11" ht="16.5" hidden="1" customHeight="1">
      <c r="C622" s="17"/>
      <c r="D622" s="18"/>
      <c r="E622" s="19"/>
      <c r="F622" s="20"/>
      <c r="G622" s="21"/>
      <c r="H622" s="22"/>
      <c r="I622" s="23"/>
      <c r="J622" s="104"/>
      <c r="K622" s="24"/>
    </row>
    <row r="623" spans="3:11" ht="16.5" hidden="1" customHeight="1">
      <c r="C623" s="17"/>
      <c r="D623" s="18"/>
      <c r="E623" s="19"/>
      <c r="F623" s="20"/>
      <c r="G623" s="21"/>
      <c r="H623" s="22"/>
      <c r="I623" s="23"/>
      <c r="J623" s="104"/>
      <c r="K623" s="24"/>
    </row>
    <row r="624" spans="3:11" ht="16.5" hidden="1" customHeight="1">
      <c r="C624" s="17"/>
      <c r="D624" s="18"/>
      <c r="E624" s="19"/>
      <c r="F624" s="20"/>
      <c r="G624" s="21"/>
      <c r="H624" s="22"/>
      <c r="I624" s="23"/>
      <c r="J624" s="104"/>
      <c r="K624" s="24"/>
    </row>
    <row r="625" spans="3:11" ht="16.5" hidden="1" customHeight="1">
      <c r="C625" s="17"/>
      <c r="D625" s="18"/>
      <c r="E625" s="19"/>
      <c r="F625" s="20"/>
      <c r="G625" s="21"/>
      <c r="H625" s="22"/>
      <c r="I625" s="23"/>
      <c r="J625" s="104"/>
      <c r="K625" s="24"/>
    </row>
    <row r="626" spans="3:11" ht="16.5" hidden="1" customHeight="1">
      <c r="C626" s="17"/>
      <c r="D626" s="18"/>
      <c r="E626" s="19"/>
      <c r="F626" s="20"/>
      <c r="G626" s="21"/>
      <c r="H626" s="22"/>
      <c r="I626" s="23"/>
      <c r="J626" s="104"/>
      <c r="K626" s="24"/>
    </row>
    <row r="627" spans="3:11" ht="16.5" hidden="1" customHeight="1">
      <c r="C627" s="17"/>
      <c r="D627" s="18"/>
      <c r="E627" s="19"/>
      <c r="F627" s="20"/>
      <c r="G627" s="21"/>
      <c r="H627" s="22"/>
      <c r="I627" s="23"/>
      <c r="J627" s="104"/>
      <c r="K627" s="24"/>
    </row>
    <row r="628" spans="3:11" ht="16.5" hidden="1" customHeight="1">
      <c r="C628" s="17"/>
      <c r="D628" s="18"/>
      <c r="E628" s="19"/>
      <c r="F628" s="20"/>
      <c r="G628" s="21"/>
      <c r="H628" s="22"/>
      <c r="I628" s="23"/>
      <c r="J628" s="104"/>
      <c r="K628" s="24"/>
    </row>
    <row r="629" spans="3:11" ht="16.5" hidden="1" customHeight="1">
      <c r="C629" s="17"/>
      <c r="D629" s="18"/>
      <c r="E629" s="19"/>
      <c r="F629" s="20"/>
      <c r="G629" s="21"/>
      <c r="H629" s="22"/>
      <c r="I629" s="27"/>
      <c r="J629" s="104"/>
      <c r="K629" s="24"/>
    </row>
    <row r="630" spans="3:11" ht="16.5" hidden="1" customHeight="1">
      <c r="C630" s="17"/>
      <c r="D630" s="18"/>
      <c r="E630" s="19"/>
      <c r="F630" s="20"/>
      <c r="G630" s="21"/>
      <c r="H630" s="22"/>
      <c r="I630" s="27"/>
      <c r="J630" s="104"/>
      <c r="K630" s="24"/>
    </row>
    <row r="631" spans="3:11" ht="16.5" hidden="1" customHeight="1">
      <c r="C631" s="17"/>
      <c r="D631" s="18"/>
      <c r="E631" s="19"/>
      <c r="F631" s="20"/>
      <c r="G631" s="21"/>
      <c r="H631" s="22"/>
      <c r="I631" s="27"/>
      <c r="J631" s="104"/>
      <c r="K631" s="24"/>
    </row>
    <row r="632" spans="3:11" ht="16.5" hidden="1" customHeight="1">
      <c r="C632" s="17"/>
      <c r="D632" s="18"/>
      <c r="E632" s="19"/>
      <c r="F632" s="20"/>
      <c r="G632" s="21"/>
      <c r="H632" s="22"/>
      <c r="I632" s="27"/>
      <c r="J632" s="104"/>
      <c r="K632" s="24"/>
    </row>
    <row r="633" spans="3:11" ht="16.5" hidden="1" customHeight="1">
      <c r="C633" s="17"/>
      <c r="D633" s="18"/>
      <c r="E633" s="19"/>
      <c r="F633" s="20"/>
      <c r="G633" s="21"/>
      <c r="H633" s="22"/>
      <c r="I633" s="27"/>
      <c r="J633" s="104"/>
      <c r="K633" s="24"/>
    </row>
    <row r="634" spans="3:11" ht="16.5" hidden="1" customHeight="1">
      <c r="C634" s="17"/>
      <c r="D634" s="18"/>
      <c r="E634" s="19"/>
      <c r="F634" s="20"/>
      <c r="G634" s="21"/>
      <c r="H634" s="22"/>
      <c r="I634" s="27"/>
      <c r="J634" s="104"/>
      <c r="K634" s="24"/>
    </row>
    <row r="635" spans="3:11" ht="16.5" hidden="1" customHeight="1">
      <c r="C635" s="17"/>
      <c r="D635" s="18"/>
      <c r="E635" s="19"/>
      <c r="F635" s="20"/>
      <c r="G635" s="21"/>
      <c r="H635" s="22"/>
      <c r="I635" s="27"/>
      <c r="J635" s="104"/>
      <c r="K635" s="24"/>
    </row>
    <row r="636" spans="3:11" ht="16.5" hidden="1" customHeight="1">
      <c r="C636" s="17"/>
      <c r="D636" s="18"/>
      <c r="E636" s="19"/>
      <c r="F636" s="20"/>
      <c r="G636" s="21"/>
      <c r="H636" s="22"/>
      <c r="I636" s="27"/>
      <c r="J636" s="104"/>
      <c r="K636" s="24"/>
    </row>
    <row r="637" spans="3:11" ht="16.5" hidden="1" customHeight="1">
      <c r="C637" s="17"/>
      <c r="D637" s="18"/>
      <c r="E637" s="19"/>
      <c r="F637" s="20"/>
      <c r="G637" s="21"/>
      <c r="H637" s="22"/>
      <c r="I637" s="27"/>
      <c r="J637" s="104"/>
      <c r="K637" s="24"/>
    </row>
    <row r="638" spans="3:11" ht="16.5" hidden="1" customHeight="1">
      <c r="C638" s="17"/>
      <c r="D638" s="18"/>
      <c r="E638" s="19"/>
      <c r="F638" s="20"/>
      <c r="G638" s="21"/>
      <c r="H638" s="22"/>
      <c r="I638" s="27"/>
      <c r="J638" s="104"/>
      <c r="K638" s="24"/>
    </row>
    <row r="639" spans="3:11" ht="16.5" hidden="1" customHeight="1">
      <c r="C639" s="17"/>
      <c r="D639" s="18"/>
      <c r="E639" s="19"/>
      <c r="F639" s="20"/>
      <c r="G639" s="21"/>
      <c r="H639" s="22"/>
      <c r="I639" s="27"/>
      <c r="J639" s="104"/>
      <c r="K639" s="24"/>
    </row>
    <row r="640" spans="3:11" ht="16.5" hidden="1" customHeight="1">
      <c r="C640" s="17"/>
      <c r="D640" s="18"/>
      <c r="E640" s="19"/>
      <c r="F640" s="20"/>
      <c r="G640" s="21"/>
      <c r="H640" s="22"/>
      <c r="I640" s="27"/>
      <c r="J640" s="104"/>
      <c r="K640" s="24"/>
    </row>
    <row r="641" spans="3:11" ht="16.5" hidden="1" customHeight="1">
      <c r="C641" s="17"/>
      <c r="D641" s="18"/>
      <c r="E641" s="19"/>
      <c r="F641" s="20"/>
      <c r="G641" s="21"/>
      <c r="H641" s="22"/>
      <c r="I641" s="27"/>
      <c r="J641" s="104"/>
      <c r="K641" s="24"/>
    </row>
    <row r="642" spans="3:11" ht="16.5" hidden="1" customHeight="1">
      <c r="C642" s="17"/>
      <c r="D642" s="18"/>
      <c r="E642" s="19"/>
      <c r="F642" s="20"/>
      <c r="G642" s="21"/>
      <c r="H642" s="22"/>
      <c r="I642" s="27"/>
      <c r="J642" s="104"/>
      <c r="K642" s="24"/>
    </row>
    <row r="643" spans="3:11" ht="16.5" hidden="1" customHeight="1">
      <c r="C643" s="17"/>
      <c r="D643" s="18"/>
      <c r="E643" s="19"/>
      <c r="F643" s="20"/>
      <c r="G643" s="21"/>
      <c r="H643" s="22"/>
      <c r="I643" s="27"/>
      <c r="J643" s="104"/>
      <c r="K643" s="24"/>
    </row>
    <row r="644" spans="3:11" ht="16.5" hidden="1" customHeight="1">
      <c r="C644" s="17"/>
      <c r="D644" s="18"/>
      <c r="E644" s="19"/>
      <c r="F644" s="20"/>
      <c r="G644" s="21"/>
      <c r="H644" s="22"/>
      <c r="I644" s="27"/>
      <c r="J644" s="104"/>
      <c r="K644" s="24"/>
    </row>
    <row r="645" spans="3:11" ht="16.5" hidden="1" customHeight="1">
      <c r="C645" s="17"/>
      <c r="D645" s="18"/>
      <c r="E645" s="19"/>
      <c r="F645" s="20"/>
      <c r="G645" s="21"/>
      <c r="H645" s="22"/>
      <c r="I645" s="27"/>
      <c r="J645" s="104"/>
      <c r="K645" s="24"/>
    </row>
    <row r="646" spans="3:11" ht="16.5" hidden="1" customHeight="1">
      <c r="C646" s="17"/>
      <c r="D646" s="18"/>
      <c r="E646" s="19"/>
      <c r="F646" s="20"/>
      <c r="G646" s="21"/>
      <c r="H646" s="22"/>
      <c r="I646" s="27"/>
      <c r="J646" s="104"/>
      <c r="K646" s="24"/>
    </row>
    <row r="647" spans="3:11" ht="16.5" hidden="1" customHeight="1">
      <c r="C647" s="17"/>
      <c r="D647" s="18"/>
      <c r="E647" s="19"/>
      <c r="F647" s="20"/>
      <c r="G647" s="21"/>
      <c r="H647" s="22"/>
      <c r="I647" s="27"/>
      <c r="J647" s="104"/>
      <c r="K647" s="24"/>
    </row>
    <row r="648" spans="3:11" ht="16.5" hidden="1" customHeight="1">
      <c r="C648" s="17"/>
      <c r="D648" s="18"/>
      <c r="E648" s="19"/>
      <c r="F648" s="20"/>
      <c r="G648" s="21"/>
      <c r="H648" s="22"/>
      <c r="I648" s="27"/>
      <c r="J648" s="104"/>
      <c r="K648" s="24"/>
    </row>
    <row r="649" spans="3:11" ht="16.5" hidden="1" customHeight="1">
      <c r="C649" s="17"/>
      <c r="D649" s="18"/>
      <c r="E649" s="19"/>
      <c r="F649" s="20"/>
      <c r="G649" s="21"/>
      <c r="H649" s="22"/>
      <c r="I649" s="27"/>
      <c r="J649" s="104"/>
      <c r="K649" s="24"/>
    </row>
    <row r="650" spans="3:11" ht="16.5" hidden="1" customHeight="1">
      <c r="C650" s="17"/>
      <c r="D650" s="18"/>
      <c r="E650" s="19"/>
      <c r="F650" s="20"/>
      <c r="G650" s="21"/>
      <c r="H650" s="22"/>
      <c r="I650" s="27"/>
      <c r="J650" s="104"/>
      <c r="K650" s="24"/>
    </row>
    <row r="651" spans="3:11" ht="16.5" hidden="1" customHeight="1">
      <c r="C651" s="17"/>
      <c r="D651" s="18"/>
      <c r="E651" s="19"/>
      <c r="F651" s="20"/>
      <c r="G651" s="21"/>
      <c r="H651" s="22"/>
      <c r="I651" s="27"/>
      <c r="J651" s="104"/>
      <c r="K651" s="24"/>
    </row>
    <row r="652" spans="3:11" ht="16.5" hidden="1" customHeight="1">
      <c r="C652" s="17"/>
      <c r="D652" s="18"/>
      <c r="E652" s="19"/>
      <c r="F652" s="20"/>
      <c r="G652" s="21"/>
      <c r="H652" s="22"/>
      <c r="I652" s="27"/>
      <c r="J652" s="104"/>
      <c r="K652" s="24"/>
    </row>
    <row r="653" spans="3:11" ht="16.5" hidden="1" customHeight="1">
      <c r="C653" s="17"/>
      <c r="D653" s="18"/>
      <c r="E653" s="19"/>
      <c r="F653" s="20"/>
      <c r="G653" s="21"/>
      <c r="H653" s="22"/>
      <c r="I653" s="27"/>
      <c r="J653" s="104"/>
      <c r="K653" s="24"/>
    </row>
    <row r="654" spans="3:11" ht="16.5" hidden="1" customHeight="1">
      <c r="C654" s="17"/>
      <c r="D654" s="18"/>
      <c r="E654" s="19"/>
      <c r="F654" s="20"/>
      <c r="G654" s="21"/>
      <c r="H654" s="22"/>
      <c r="I654" s="27"/>
      <c r="J654" s="104"/>
      <c r="K654" s="24"/>
    </row>
    <row r="655" spans="3:11" ht="16.5" hidden="1" customHeight="1">
      <c r="C655" s="17"/>
      <c r="D655" s="18"/>
      <c r="E655" s="19"/>
      <c r="F655" s="20"/>
      <c r="G655" s="21"/>
      <c r="H655" s="22"/>
      <c r="I655" s="27"/>
      <c r="J655" s="104"/>
      <c r="K655" s="24"/>
    </row>
    <row r="656" spans="3:11" ht="16.5" hidden="1" customHeight="1">
      <c r="C656" s="17"/>
      <c r="D656" s="18"/>
      <c r="E656" s="19"/>
      <c r="F656" s="20"/>
      <c r="G656" s="21"/>
      <c r="H656" s="22"/>
      <c r="I656" s="27"/>
      <c r="J656" s="104"/>
      <c r="K656" s="24"/>
    </row>
    <row r="657" spans="3:11" ht="16.5" hidden="1" customHeight="1">
      <c r="C657" s="17"/>
      <c r="D657" s="18"/>
      <c r="E657" s="19"/>
      <c r="F657" s="20"/>
      <c r="G657" s="21"/>
      <c r="H657" s="22"/>
      <c r="I657" s="27"/>
      <c r="J657" s="104"/>
      <c r="K657" s="24"/>
    </row>
    <row r="658" spans="3:11" ht="16.5" hidden="1" customHeight="1">
      <c r="C658" s="17"/>
      <c r="D658" s="18"/>
      <c r="E658" s="19"/>
      <c r="F658" s="20"/>
      <c r="G658" s="21"/>
      <c r="H658" s="22"/>
      <c r="I658" s="27"/>
      <c r="J658" s="104"/>
      <c r="K658" s="24"/>
    </row>
    <row r="659" spans="3:11" ht="16.5" hidden="1" customHeight="1">
      <c r="C659" s="17"/>
      <c r="D659" s="18"/>
      <c r="E659" s="19"/>
      <c r="F659" s="20"/>
      <c r="G659" s="21"/>
      <c r="H659" s="22"/>
      <c r="I659" s="27"/>
      <c r="J659" s="104"/>
      <c r="K659" s="24"/>
    </row>
    <row r="660" spans="3:11" ht="16.5" hidden="1" customHeight="1">
      <c r="C660" s="17"/>
      <c r="D660" s="18"/>
      <c r="E660" s="19"/>
      <c r="F660" s="20"/>
      <c r="G660" s="21"/>
      <c r="H660" s="22"/>
      <c r="I660" s="27"/>
      <c r="J660" s="104"/>
      <c r="K660" s="24"/>
    </row>
    <row r="661" spans="3:11" ht="16.5" hidden="1" customHeight="1">
      <c r="C661" s="17"/>
      <c r="D661" s="18"/>
      <c r="E661" s="19"/>
      <c r="F661" s="20"/>
      <c r="G661" s="21"/>
      <c r="H661" s="22"/>
      <c r="I661" s="27"/>
      <c r="J661" s="104"/>
      <c r="K661" s="24"/>
    </row>
    <row r="662" spans="3:11" ht="16.5" hidden="1" customHeight="1">
      <c r="C662" s="17"/>
      <c r="D662" s="18"/>
      <c r="E662" s="19"/>
      <c r="F662" s="20"/>
      <c r="G662" s="21"/>
      <c r="H662" s="22"/>
      <c r="I662" s="27"/>
      <c r="J662" s="104"/>
      <c r="K662" s="24"/>
    </row>
    <row r="663" spans="3:11" ht="16.5" hidden="1" customHeight="1">
      <c r="C663" s="17"/>
      <c r="D663" s="18"/>
      <c r="E663" s="19"/>
      <c r="F663" s="20"/>
      <c r="G663" s="21"/>
      <c r="H663" s="22"/>
      <c r="I663" s="27"/>
      <c r="J663" s="104"/>
      <c r="K663" s="24"/>
    </row>
    <row r="664" spans="3:11" ht="16.5" hidden="1" customHeight="1">
      <c r="C664" s="17"/>
      <c r="D664" s="18"/>
      <c r="E664" s="19"/>
      <c r="F664" s="20"/>
      <c r="G664" s="21"/>
      <c r="H664" s="22"/>
      <c r="I664" s="27"/>
      <c r="J664" s="104"/>
      <c r="K664" s="24"/>
    </row>
    <row r="665" spans="3:11" ht="16.5" hidden="1" customHeight="1">
      <c r="C665" s="17"/>
      <c r="D665" s="18"/>
      <c r="E665" s="19"/>
      <c r="F665" s="20"/>
      <c r="G665" s="21"/>
      <c r="H665" s="22"/>
      <c r="I665" s="27"/>
      <c r="J665" s="104"/>
      <c r="K665" s="24"/>
    </row>
    <row r="666" spans="3:11" ht="16.5" hidden="1" customHeight="1">
      <c r="C666" s="17"/>
      <c r="D666" s="18"/>
      <c r="E666" s="19"/>
      <c r="F666" s="20"/>
      <c r="G666" s="21"/>
      <c r="H666" s="22"/>
      <c r="I666" s="27"/>
      <c r="J666" s="104"/>
      <c r="K666" s="24"/>
    </row>
    <row r="667" spans="3:11" ht="16.5" hidden="1" customHeight="1">
      <c r="C667" s="17"/>
      <c r="D667" s="18"/>
      <c r="E667" s="19"/>
      <c r="F667" s="20"/>
      <c r="G667" s="21"/>
      <c r="H667" s="22"/>
      <c r="I667" s="27"/>
      <c r="J667" s="104"/>
      <c r="K667" s="24"/>
    </row>
    <row r="668" spans="3:11" ht="16.5" hidden="1" customHeight="1">
      <c r="C668" s="17"/>
      <c r="D668" s="18"/>
      <c r="E668" s="19"/>
      <c r="F668" s="20"/>
      <c r="G668" s="21"/>
      <c r="H668" s="22"/>
      <c r="I668" s="27"/>
      <c r="J668" s="104"/>
      <c r="K668" s="24"/>
    </row>
    <row r="669" spans="3:11" ht="16.5" hidden="1" customHeight="1">
      <c r="C669" s="17"/>
      <c r="D669" s="18"/>
      <c r="E669" s="19"/>
      <c r="F669" s="20"/>
      <c r="G669" s="21"/>
      <c r="H669" s="22"/>
      <c r="I669" s="27"/>
      <c r="J669" s="104"/>
      <c r="K669" s="24"/>
    </row>
    <row r="670" spans="3:11" ht="16.5" hidden="1" customHeight="1">
      <c r="C670" s="17"/>
      <c r="D670" s="18"/>
      <c r="E670" s="19"/>
      <c r="F670" s="20"/>
      <c r="G670" s="21"/>
      <c r="H670" s="22"/>
      <c r="I670" s="27"/>
      <c r="J670" s="104"/>
      <c r="K670" s="24"/>
    </row>
    <row r="671" spans="3:11" ht="16.5" hidden="1" customHeight="1">
      <c r="C671" s="17"/>
      <c r="D671" s="18"/>
      <c r="E671" s="19"/>
      <c r="F671" s="20"/>
      <c r="G671" s="21"/>
      <c r="H671" s="22"/>
      <c r="I671" s="27"/>
      <c r="J671" s="104"/>
      <c r="K671" s="24"/>
    </row>
    <row r="672" spans="3:11" ht="16.5" hidden="1" customHeight="1">
      <c r="C672" s="17"/>
      <c r="D672" s="18"/>
      <c r="E672" s="19"/>
      <c r="F672" s="20"/>
      <c r="G672" s="21"/>
      <c r="H672" s="22"/>
      <c r="I672" s="27"/>
      <c r="J672" s="104"/>
      <c r="K672" s="24"/>
    </row>
    <row r="673" spans="3:11" ht="16.5" hidden="1" customHeight="1">
      <c r="C673" s="17"/>
      <c r="D673" s="18"/>
      <c r="E673" s="19"/>
      <c r="F673" s="20"/>
      <c r="G673" s="21"/>
      <c r="H673" s="22"/>
      <c r="I673" s="27"/>
      <c r="J673" s="104"/>
      <c r="K673" s="24"/>
    </row>
    <row r="674" spans="3:11" ht="16.5" hidden="1" customHeight="1">
      <c r="C674" s="17"/>
      <c r="D674" s="18"/>
      <c r="E674" s="19"/>
      <c r="F674" s="20"/>
      <c r="G674" s="21"/>
      <c r="H674" s="22"/>
      <c r="I674" s="27"/>
      <c r="J674" s="104"/>
      <c r="K674" s="24"/>
    </row>
    <row r="675" spans="3:11" ht="16.5" hidden="1" customHeight="1">
      <c r="C675" s="17"/>
      <c r="D675" s="18"/>
      <c r="E675" s="19"/>
      <c r="F675" s="20"/>
      <c r="G675" s="21"/>
      <c r="H675" s="22"/>
      <c r="I675" s="27"/>
      <c r="J675" s="104"/>
      <c r="K675" s="24"/>
    </row>
    <row r="676" spans="3:11" ht="16.5" hidden="1" customHeight="1">
      <c r="C676" s="17"/>
      <c r="D676" s="18"/>
      <c r="E676" s="19"/>
      <c r="F676" s="20"/>
      <c r="G676" s="21"/>
      <c r="H676" s="22"/>
      <c r="I676" s="27"/>
      <c r="J676" s="104"/>
      <c r="K676" s="24"/>
    </row>
    <row r="677" spans="3:11" ht="16.5" hidden="1" customHeight="1">
      <c r="C677" s="17"/>
      <c r="D677" s="18"/>
      <c r="E677" s="19"/>
      <c r="F677" s="20"/>
      <c r="G677" s="21"/>
      <c r="H677" s="22"/>
      <c r="I677" s="27"/>
      <c r="J677" s="104"/>
      <c r="K677" s="24"/>
    </row>
    <row r="678" spans="3:11" ht="16.5" hidden="1" customHeight="1">
      <c r="C678" s="17"/>
      <c r="D678" s="18"/>
      <c r="E678" s="19"/>
      <c r="F678" s="20"/>
      <c r="G678" s="21"/>
      <c r="H678" s="22"/>
      <c r="I678" s="27"/>
      <c r="J678" s="104"/>
      <c r="K678" s="24"/>
    </row>
    <row r="679" spans="3:11" ht="16.5" hidden="1" customHeight="1">
      <c r="C679" s="17"/>
      <c r="D679" s="18"/>
      <c r="E679" s="19"/>
      <c r="F679" s="20"/>
      <c r="G679" s="21"/>
      <c r="H679" s="22"/>
      <c r="I679" s="27"/>
      <c r="J679" s="104"/>
      <c r="K679" s="24"/>
    </row>
    <row r="680" spans="3:11" ht="16.5" hidden="1" customHeight="1">
      <c r="C680" s="17"/>
      <c r="D680" s="18"/>
      <c r="E680" s="19"/>
      <c r="F680" s="20"/>
      <c r="G680" s="21"/>
      <c r="H680" s="22"/>
      <c r="I680" s="27"/>
      <c r="J680" s="104"/>
      <c r="K680" s="24"/>
    </row>
    <row r="681" spans="3:11" ht="16.5" hidden="1" customHeight="1">
      <c r="C681" s="17"/>
      <c r="D681" s="18"/>
      <c r="E681" s="19"/>
      <c r="F681" s="20"/>
      <c r="G681" s="21"/>
      <c r="H681" s="22"/>
      <c r="I681" s="27"/>
      <c r="J681" s="104"/>
      <c r="K681" s="24"/>
    </row>
    <row r="682" spans="3:11" ht="16.5" hidden="1" customHeight="1">
      <c r="C682" s="17"/>
      <c r="D682" s="18"/>
      <c r="E682" s="19"/>
      <c r="F682" s="20"/>
      <c r="G682" s="21"/>
      <c r="H682" s="22"/>
      <c r="I682" s="27"/>
      <c r="J682" s="104"/>
      <c r="K682" s="24"/>
    </row>
    <row r="683" spans="3:11" ht="16.5" hidden="1" customHeight="1">
      <c r="C683" s="17"/>
      <c r="D683" s="18"/>
      <c r="E683" s="19"/>
      <c r="F683" s="20"/>
      <c r="G683" s="21"/>
      <c r="H683" s="22"/>
      <c r="I683" s="27"/>
      <c r="J683" s="104"/>
      <c r="K683" s="24"/>
    </row>
    <row r="684" spans="3:11" ht="13.5" hidden="1" customHeight="1">
      <c r="C684" s="17"/>
      <c r="D684" s="18"/>
      <c r="E684" s="19"/>
      <c r="F684" s="20"/>
      <c r="G684" s="21"/>
      <c r="H684" s="22"/>
      <c r="I684" s="27"/>
      <c r="J684" s="104"/>
      <c r="K684" s="24"/>
    </row>
    <row r="685" spans="3:11" ht="13.5" hidden="1" customHeight="1">
      <c r="C685" s="17"/>
      <c r="D685" s="18"/>
      <c r="E685" s="19"/>
      <c r="F685" s="20"/>
      <c r="G685" s="21"/>
      <c r="H685" s="22"/>
      <c r="I685" s="27"/>
      <c r="J685" s="104"/>
      <c r="K685" s="24"/>
    </row>
    <row r="686" spans="3:11" ht="16.5" hidden="1" customHeight="1">
      <c r="C686" s="17"/>
      <c r="D686" s="18"/>
      <c r="E686" s="19"/>
      <c r="F686" s="20"/>
      <c r="G686" s="21"/>
      <c r="H686" s="22"/>
      <c r="I686" s="27"/>
      <c r="J686" s="104"/>
      <c r="K686" s="24"/>
    </row>
    <row r="687" spans="3:11" ht="16.5" hidden="1" customHeight="1">
      <c r="C687" s="17"/>
      <c r="D687" s="18"/>
      <c r="E687" s="19"/>
      <c r="F687" s="20"/>
      <c r="G687" s="21"/>
      <c r="H687" s="22"/>
      <c r="I687" s="27"/>
      <c r="J687" s="104"/>
      <c r="K687" s="24"/>
    </row>
    <row r="688" spans="3:11" ht="15" hidden="1" customHeight="1">
      <c r="C688" s="17"/>
      <c r="D688" s="18"/>
      <c r="E688" s="19"/>
      <c r="F688" s="20"/>
      <c r="G688" s="21"/>
      <c r="H688" s="22"/>
      <c r="I688" s="27"/>
      <c r="J688" s="104"/>
      <c r="K688" s="24"/>
    </row>
    <row r="689" spans="3:11" ht="16.5" hidden="1" customHeight="1">
      <c r="C689" s="17"/>
      <c r="D689" s="18"/>
      <c r="E689" s="19"/>
      <c r="F689" s="20"/>
      <c r="G689" s="21"/>
      <c r="H689" s="22"/>
      <c r="I689" s="27"/>
      <c r="J689" s="104"/>
      <c r="K689" s="24"/>
    </row>
    <row r="690" spans="3:11" ht="15" customHeight="1">
      <c r="I690"/>
      <c r="J690"/>
      <c r="K690" s="24"/>
    </row>
    <row r="691" spans="3:11" ht="15" customHeight="1">
      <c r="I691"/>
      <c r="J691"/>
      <c r="K691" s="24"/>
    </row>
    <row r="692" spans="3:11" ht="15" customHeight="1">
      <c r="I692"/>
      <c r="J692"/>
      <c r="K692" s="24"/>
    </row>
    <row r="693" spans="3:11" ht="15" customHeight="1">
      <c r="H693" s="9"/>
      <c r="I693"/>
      <c r="J693"/>
      <c r="K693" s="24"/>
    </row>
    <row r="694" spans="3:11" ht="15" customHeight="1">
      <c r="H694" s="9"/>
      <c r="I694"/>
      <c r="J694"/>
      <c r="K694" s="24"/>
    </row>
    <row r="695" spans="3:11" ht="15" customHeight="1">
      <c r="H695" s="9"/>
      <c r="I695"/>
      <c r="J695"/>
      <c r="K695" s="24"/>
    </row>
    <row r="696" spans="3:11" ht="15" customHeight="1">
      <c r="H696" s="467"/>
      <c r="I696"/>
      <c r="J696"/>
      <c r="K696" s="24"/>
    </row>
    <row r="697" spans="3:11" ht="15" customHeight="1">
      <c r="I697"/>
      <c r="J697"/>
      <c r="K697" s="24"/>
    </row>
    <row r="698" spans="3:11" ht="15" customHeight="1">
      <c r="I698"/>
      <c r="J698"/>
      <c r="K698" s="24"/>
    </row>
    <row r="699" spans="3:11" ht="15" customHeight="1">
      <c r="I699"/>
      <c r="J699"/>
      <c r="K699" s="24"/>
    </row>
    <row r="700" spans="3:11" ht="15" customHeight="1">
      <c r="K700" s="24"/>
    </row>
    <row r="701" spans="3:11" ht="15" customHeight="1">
      <c r="K701" s="24"/>
    </row>
    <row r="702" spans="3:11" ht="15" customHeight="1">
      <c r="K702" s="24"/>
    </row>
    <row r="703" spans="3:11" ht="15" customHeight="1">
      <c r="K703" s="24"/>
    </row>
    <row r="704" spans="3:11" ht="15" customHeight="1">
      <c r="K704" s="24"/>
    </row>
    <row r="705" spans="11:11" ht="15" customHeight="1">
      <c r="K705" s="24"/>
    </row>
    <row r="706" spans="11:11" ht="15" customHeight="1">
      <c r="K706" s="24"/>
    </row>
    <row r="707" spans="11:11" ht="15" customHeight="1">
      <c r="K707" s="24"/>
    </row>
    <row r="708" spans="11:11" ht="15" customHeight="1">
      <c r="K708" s="24"/>
    </row>
    <row r="709" spans="11:11" ht="15" customHeight="1">
      <c r="K709" s="24"/>
    </row>
    <row r="710" spans="11:11" ht="15" customHeight="1">
      <c r="K710" s="24"/>
    </row>
    <row r="711" spans="11:11" ht="15" customHeight="1">
      <c r="K711" s="24"/>
    </row>
    <row r="712" spans="11:11" ht="15" customHeight="1">
      <c r="K712" s="24"/>
    </row>
    <row r="713" spans="11:11" ht="15" customHeight="1">
      <c r="K713" s="24"/>
    </row>
    <row r="714" spans="11:11" ht="15" customHeight="1">
      <c r="K714" s="24"/>
    </row>
    <row r="715" spans="11:11" ht="15" customHeight="1">
      <c r="K715" s="24"/>
    </row>
    <row r="716" spans="11:11" ht="15" customHeight="1">
      <c r="K716" s="24"/>
    </row>
    <row r="717" spans="11:11" ht="15" customHeight="1">
      <c r="K717" s="24"/>
    </row>
    <row r="718" spans="11:11" ht="15" customHeight="1">
      <c r="K718" s="24"/>
    </row>
    <row r="719" spans="11:11" ht="15" customHeight="1">
      <c r="K719" s="24"/>
    </row>
    <row r="720" spans="11:11" ht="15" customHeight="1">
      <c r="K720" s="24"/>
    </row>
    <row r="721" spans="11:11" ht="15" customHeight="1">
      <c r="K721" s="24"/>
    </row>
    <row r="722" spans="11:11" ht="15" customHeight="1">
      <c r="K722" s="24"/>
    </row>
    <row r="723" spans="11:11" ht="15" customHeight="1">
      <c r="K723" s="24"/>
    </row>
    <row r="724" spans="11:11" ht="15" customHeight="1">
      <c r="K724" s="24"/>
    </row>
    <row r="725" spans="11:11" ht="15" customHeight="1">
      <c r="K725" s="24"/>
    </row>
    <row r="726" spans="11:11" ht="15" customHeight="1">
      <c r="K726" s="24"/>
    </row>
    <row r="727" spans="11:11" ht="15" customHeight="1">
      <c r="K727" s="24"/>
    </row>
    <row r="728" spans="11:11" ht="15" customHeight="1">
      <c r="K728" s="24"/>
    </row>
    <row r="729" spans="11:11" ht="15" customHeight="1">
      <c r="K729" s="24"/>
    </row>
    <row r="730" spans="11:11" ht="15" customHeight="1">
      <c r="K730" s="24"/>
    </row>
    <row r="731" spans="11:11" ht="15" customHeight="1">
      <c r="K731" s="24"/>
    </row>
    <row r="732" spans="11:11" ht="15" customHeight="1">
      <c r="K732" s="24"/>
    </row>
    <row r="733" spans="11:11" ht="15" customHeight="1">
      <c r="K733" s="24"/>
    </row>
    <row r="734" spans="11:11" ht="15" customHeight="1">
      <c r="K734" s="24"/>
    </row>
    <row r="735" spans="11:11" ht="15" customHeight="1">
      <c r="K735" s="24"/>
    </row>
    <row r="736" spans="11:11" ht="15" customHeight="1">
      <c r="K736" s="24"/>
    </row>
    <row r="737" spans="11:11" ht="15" customHeight="1">
      <c r="K737" s="24"/>
    </row>
    <row r="738" spans="11:11" ht="15" customHeight="1">
      <c r="K738" s="24"/>
    </row>
    <row r="739" spans="11:11" ht="15" customHeight="1">
      <c r="K739" s="24"/>
    </row>
    <row r="740" spans="11:11" ht="15" customHeight="1">
      <c r="K740" s="24"/>
    </row>
    <row r="741" spans="11:11" ht="15" customHeight="1">
      <c r="K741" s="24"/>
    </row>
    <row r="742" spans="11:11" ht="15" customHeight="1">
      <c r="K742" s="24"/>
    </row>
    <row r="743" spans="11:11" ht="15" customHeight="1">
      <c r="K743" s="24"/>
    </row>
    <row r="744" spans="11:11" ht="15" customHeight="1">
      <c r="K744" s="24"/>
    </row>
    <row r="745" spans="11:11" ht="15" customHeight="1">
      <c r="K745" s="24"/>
    </row>
    <row r="746" spans="11:11" ht="15" customHeight="1">
      <c r="K746" s="24"/>
    </row>
    <row r="747" spans="11:11" ht="15" customHeight="1">
      <c r="K747" s="24"/>
    </row>
    <row r="748" spans="11:11" ht="15" customHeight="1">
      <c r="K748" s="24"/>
    </row>
    <row r="749" spans="11:11" ht="15" customHeight="1">
      <c r="K749" s="24"/>
    </row>
    <row r="750" spans="11:11" ht="15" customHeight="1">
      <c r="K750" s="24"/>
    </row>
    <row r="751" spans="11:11" ht="15" customHeight="1">
      <c r="K751" s="24"/>
    </row>
    <row r="752" spans="11:11" ht="15" customHeight="1">
      <c r="K752" s="24"/>
    </row>
    <row r="753" spans="11:11" ht="15" customHeight="1">
      <c r="K753" s="24"/>
    </row>
    <row r="754" spans="11:11" ht="15" customHeight="1">
      <c r="K754" s="24"/>
    </row>
    <row r="755" spans="11:11" ht="15" customHeight="1">
      <c r="K755" s="24"/>
    </row>
    <row r="756" spans="11:11" ht="15" customHeight="1">
      <c r="K756" s="24"/>
    </row>
    <row r="757" spans="11:11" ht="15" customHeight="1">
      <c r="K757" s="24"/>
    </row>
    <row r="758" spans="11:11" ht="15" customHeight="1">
      <c r="K758" s="24"/>
    </row>
    <row r="759" spans="11:11" ht="15" customHeight="1">
      <c r="K759" s="24"/>
    </row>
    <row r="760" spans="11:11" ht="15" customHeight="1">
      <c r="K760" s="24"/>
    </row>
    <row r="761" spans="11:11" ht="15" customHeight="1">
      <c r="K761" s="24"/>
    </row>
    <row r="762" spans="11:11" ht="15" customHeight="1">
      <c r="K762" s="24"/>
    </row>
    <row r="763" spans="11:11" ht="15" customHeight="1">
      <c r="K763" s="24"/>
    </row>
    <row r="764" spans="11:11" ht="15" customHeight="1">
      <c r="K764" s="24"/>
    </row>
    <row r="765" spans="11:11" ht="15" customHeight="1">
      <c r="K765" s="24"/>
    </row>
    <row r="766" spans="11:11" ht="15" customHeight="1">
      <c r="K766" s="24"/>
    </row>
    <row r="767" spans="11:11" ht="15" customHeight="1">
      <c r="K767" s="24"/>
    </row>
    <row r="768" spans="11:11" ht="15" customHeight="1">
      <c r="K768" s="24"/>
    </row>
    <row r="769" spans="11:11" ht="15" customHeight="1">
      <c r="K769" s="24"/>
    </row>
    <row r="770" spans="11:11" ht="15" customHeight="1">
      <c r="K770" s="24"/>
    </row>
    <row r="771" spans="11:11" ht="15" customHeight="1">
      <c r="K771" s="24"/>
    </row>
    <row r="772" spans="11:11" ht="15" customHeight="1">
      <c r="K772" s="24"/>
    </row>
    <row r="773" spans="11:11" ht="15" customHeight="1">
      <c r="K773" s="24"/>
    </row>
    <row r="774" spans="11:11" ht="15" customHeight="1">
      <c r="K774" s="24"/>
    </row>
    <row r="775" spans="11:11" ht="15" customHeight="1">
      <c r="K775" s="24"/>
    </row>
    <row r="776" spans="11:11" ht="15" customHeight="1">
      <c r="K776" s="24"/>
    </row>
    <row r="777" spans="11:11" ht="15" customHeight="1">
      <c r="K777" s="24"/>
    </row>
    <row r="778" spans="11:11" ht="15" customHeight="1">
      <c r="K778" s="24"/>
    </row>
    <row r="779" spans="11:11" ht="15" customHeight="1">
      <c r="K779" s="24"/>
    </row>
    <row r="780" spans="11:11" ht="15" customHeight="1">
      <c r="K780" s="24"/>
    </row>
    <row r="781" spans="11:11" ht="15" customHeight="1">
      <c r="K781" s="24"/>
    </row>
    <row r="782" spans="11:11" ht="15" customHeight="1">
      <c r="K782" s="24"/>
    </row>
    <row r="783" spans="11:11" ht="15" customHeight="1">
      <c r="K783" s="24"/>
    </row>
    <row r="784" spans="11:11" ht="15" customHeight="1">
      <c r="K784" s="24"/>
    </row>
    <row r="785" spans="11:11" ht="15" customHeight="1">
      <c r="K785" s="24"/>
    </row>
    <row r="786" spans="11:11" ht="15" customHeight="1">
      <c r="K786" s="24"/>
    </row>
    <row r="787" spans="11:11" ht="15" customHeight="1">
      <c r="K787" s="24"/>
    </row>
    <row r="788" spans="11:11" ht="15" customHeight="1">
      <c r="K788" s="24"/>
    </row>
    <row r="789" spans="11:11" ht="15" customHeight="1">
      <c r="K789" s="24"/>
    </row>
    <row r="790" spans="11:11" ht="15" customHeight="1">
      <c r="K790" s="24"/>
    </row>
    <row r="791" spans="11:11" ht="15" customHeight="1">
      <c r="K791" s="24"/>
    </row>
    <row r="792" spans="11:11" ht="15" customHeight="1">
      <c r="K792" s="24"/>
    </row>
    <row r="793" spans="11:11" ht="15" customHeight="1">
      <c r="K793" s="24"/>
    </row>
    <row r="794" spans="11:11" ht="15" customHeight="1">
      <c r="K794" s="24"/>
    </row>
    <row r="795" spans="11:11" ht="15" customHeight="1">
      <c r="K795" s="24"/>
    </row>
    <row r="796" spans="11:11" ht="15" customHeight="1">
      <c r="K796" s="24"/>
    </row>
    <row r="797" spans="11:11" ht="15" customHeight="1">
      <c r="K797" s="24"/>
    </row>
    <row r="798" spans="11:11" ht="15" customHeight="1">
      <c r="K798" s="24"/>
    </row>
    <row r="799" spans="11:11" ht="15" customHeight="1">
      <c r="K799" s="24"/>
    </row>
    <row r="800" spans="11:11" ht="15" customHeight="1">
      <c r="K800" s="24"/>
    </row>
    <row r="801" spans="11:11" ht="15" customHeight="1">
      <c r="K801" s="24"/>
    </row>
    <row r="802" spans="11:11" ht="15" customHeight="1">
      <c r="K802" s="24"/>
    </row>
    <row r="803" spans="11:11" ht="15" customHeight="1">
      <c r="K803" s="24"/>
    </row>
    <row r="804" spans="11:11" ht="15" customHeight="1">
      <c r="K804" s="24"/>
    </row>
    <row r="805" spans="11:11" ht="15" customHeight="1">
      <c r="K805" s="24"/>
    </row>
    <row r="806" spans="11:11" ht="15" customHeight="1">
      <c r="K806" s="24"/>
    </row>
    <row r="807" spans="11:11" ht="15" customHeight="1">
      <c r="K807" s="24"/>
    </row>
    <row r="808" spans="11:11" ht="15" customHeight="1">
      <c r="K808" s="24"/>
    </row>
    <row r="809" spans="11:11" ht="15" customHeight="1">
      <c r="K809" s="24"/>
    </row>
    <row r="810" spans="11:11" ht="15" customHeight="1">
      <c r="K810" s="24"/>
    </row>
    <row r="811" spans="11:11" ht="15" customHeight="1">
      <c r="K811" s="24"/>
    </row>
    <row r="812" spans="11:11" ht="15" customHeight="1">
      <c r="K812" s="24"/>
    </row>
    <row r="813" spans="11:11" ht="15" customHeight="1">
      <c r="K813" s="24"/>
    </row>
    <row r="814" spans="11:11" ht="15" customHeight="1">
      <c r="K814" s="24"/>
    </row>
    <row r="815" spans="11:11" ht="15" customHeight="1">
      <c r="K815" s="24"/>
    </row>
    <row r="816" spans="11:11" ht="15" customHeight="1">
      <c r="K816" s="24"/>
    </row>
    <row r="817" spans="11:11" ht="15" customHeight="1">
      <c r="K817" s="24"/>
    </row>
    <row r="818" spans="11:11" ht="15" customHeight="1">
      <c r="K818" s="24"/>
    </row>
    <row r="819" spans="11:11" ht="15" customHeight="1">
      <c r="K819" s="24"/>
    </row>
    <row r="820" spans="11:11" ht="15" customHeight="1">
      <c r="K820" s="24"/>
    </row>
    <row r="821" spans="11:11" ht="15" customHeight="1">
      <c r="K821" s="24"/>
    </row>
    <row r="822" spans="11:11" ht="15" customHeight="1">
      <c r="K822" s="24"/>
    </row>
    <row r="823" spans="11:11" ht="15" customHeight="1">
      <c r="K823" s="24"/>
    </row>
    <row r="824" spans="11:11" ht="15" customHeight="1">
      <c r="K824" s="24"/>
    </row>
    <row r="825" spans="11:11" ht="15" customHeight="1">
      <c r="K825" s="24"/>
    </row>
    <row r="826" spans="11:11" ht="15" customHeight="1">
      <c r="K826" s="24"/>
    </row>
    <row r="827" spans="11:11" ht="15" customHeight="1">
      <c r="K827" s="24"/>
    </row>
    <row r="828" spans="11:11" ht="15" customHeight="1">
      <c r="K828" s="24"/>
    </row>
    <row r="829" spans="11:11" ht="15" customHeight="1">
      <c r="K829" s="24"/>
    </row>
    <row r="830" spans="11:11" ht="15" customHeight="1">
      <c r="K830" s="24"/>
    </row>
    <row r="831" spans="11:11" ht="15" customHeight="1">
      <c r="K831" s="24"/>
    </row>
    <row r="832" spans="11:11" ht="15" customHeight="1">
      <c r="K832" s="24"/>
    </row>
    <row r="833" spans="11:11" ht="15" customHeight="1">
      <c r="K833" s="24"/>
    </row>
    <row r="834" spans="11:11" ht="15" customHeight="1">
      <c r="K834" s="24"/>
    </row>
    <row r="835" spans="11:11" ht="15" customHeight="1">
      <c r="K835" s="24"/>
    </row>
    <row r="836" spans="11:11" ht="15" customHeight="1">
      <c r="K836" s="24"/>
    </row>
    <row r="837" spans="11:11" ht="15" customHeight="1">
      <c r="K837" s="24"/>
    </row>
    <row r="838" spans="11:11" ht="15" customHeight="1">
      <c r="K838" s="24"/>
    </row>
    <row r="839" spans="11:11" ht="15" customHeight="1">
      <c r="K839" s="24"/>
    </row>
    <row r="840" spans="11:11" ht="15" customHeight="1">
      <c r="K840" s="24"/>
    </row>
    <row r="841" spans="11:11" ht="15" customHeight="1">
      <c r="K841" s="24"/>
    </row>
    <row r="842" spans="11:11" ht="15" customHeight="1">
      <c r="K842" s="24"/>
    </row>
    <row r="843" spans="11:11" ht="15" customHeight="1">
      <c r="K843" s="24"/>
    </row>
    <row r="844" spans="11:11" ht="15" customHeight="1">
      <c r="K844" s="24"/>
    </row>
    <row r="845" spans="11:11" ht="15" customHeight="1">
      <c r="K845" s="24"/>
    </row>
    <row r="846" spans="11:11" ht="15" customHeight="1">
      <c r="K846" s="24"/>
    </row>
    <row r="847" spans="11:11" ht="15" customHeight="1">
      <c r="K847" s="24"/>
    </row>
    <row r="848" spans="11:11" ht="15" customHeight="1">
      <c r="K848" s="24"/>
    </row>
    <row r="849" spans="11:11" ht="15" customHeight="1">
      <c r="K849" s="24"/>
    </row>
    <row r="850" spans="11:11" ht="15" customHeight="1">
      <c r="K850" s="24"/>
    </row>
    <row r="851" spans="11:11" ht="15" customHeight="1">
      <c r="K851" s="24"/>
    </row>
    <row r="852" spans="11:11" ht="15" customHeight="1">
      <c r="K852" s="24"/>
    </row>
    <row r="853" spans="11:11" ht="15" customHeight="1">
      <c r="K853" s="24"/>
    </row>
    <row r="854" spans="11:11" ht="15" customHeight="1">
      <c r="K854" s="24"/>
    </row>
    <row r="855" spans="11:11" ht="15" customHeight="1">
      <c r="K855" s="24"/>
    </row>
    <row r="856" spans="11:11" ht="15" customHeight="1">
      <c r="K856" s="24"/>
    </row>
    <row r="857" spans="11:11" ht="15" customHeight="1">
      <c r="K857" s="24"/>
    </row>
    <row r="858" spans="11:11" ht="15" customHeight="1">
      <c r="K858" s="24"/>
    </row>
    <row r="859" spans="11:11" ht="15" customHeight="1">
      <c r="K859" s="24"/>
    </row>
    <row r="860" spans="11:11" ht="15" customHeight="1">
      <c r="K860" s="24"/>
    </row>
    <row r="861" spans="11:11" ht="15" customHeight="1">
      <c r="K861" s="24"/>
    </row>
    <row r="862" spans="11:11" ht="15" customHeight="1">
      <c r="K862" s="24"/>
    </row>
    <row r="863" spans="11:11" ht="15" customHeight="1">
      <c r="K863" s="24"/>
    </row>
    <row r="864" spans="11:11" ht="15" customHeight="1">
      <c r="K864" s="24"/>
    </row>
    <row r="865" spans="11:11" ht="15" customHeight="1">
      <c r="K865" s="24"/>
    </row>
    <row r="866" spans="11:11" ht="15" customHeight="1">
      <c r="K866" s="24"/>
    </row>
    <row r="867" spans="11:11" ht="15" customHeight="1">
      <c r="K867" s="24"/>
    </row>
    <row r="868" spans="11:11" ht="15" customHeight="1">
      <c r="K868" s="24"/>
    </row>
    <row r="869" spans="11:11" ht="15" customHeight="1">
      <c r="K869" s="24"/>
    </row>
    <row r="870" spans="11:11" ht="15" customHeight="1">
      <c r="K870" s="24"/>
    </row>
    <row r="871" spans="11:11" ht="15" customHeight="1">
      <c r="K871" s="24"/>
    </row>
    <row r="872" spans="11:11" ht="15" customHeight="1">
      <c r="K872" s="24"/>
    </row>
    <row r="873" spans="11:11" ht="15" customHeight="1">
      <c r="K873" s="24"/>
    </row>
    <row r="874" spans="11:11" ht="15" customHeight="1">
      <c r="K874" s="24"/>
    </row>
    <row r="875" spans="11:11" ht="15" customHeight="1">
      <c r="K875" s="24"/>
    </row>
    <row r="876" spans="11:11" ht="15" customHeight="1">
      <c r="K876" s="24"/>
    </row>
    <row r="877" spans="11:11" ht="15" customHeight="1">
      <c r="K877" s="24"/>
    </row>
    <row r="878" spans="11:11" ht="15" customHeight="1">
      <c r="K878" s="24"/>
    </row>
    <row r="879" spans="11:11" ht="15" customHeight="1">
      <c r="K879" s="24"/>
    </row>
    <row r="880" spans="11:11" ht="15" customHeight="1">
      <c r="K880" s="24"/>
    </row>
    <row r="881" spans="11:11" ht="15" customHeight="1">
      <c r="K881" s="24"/>
    </row>
    <row r="882" spans="11:11" ht="15" customHeight="1">
      <c r="K882" s="24"/>
    </row>
    <row r="883" spans="11:11" ht="15" customHeight="1">
      <c r="K883" s="24"/>
    </row>
    <row r="884" spans="11:11" ht="15" customHeight="1">
      <c r="K884" s="24"/>
    </row>
    <row r="885" spans="11:11" ht="15" customHeight="1">
      <c r="K885" s="24"/>
    </row>
    <row r="886" spans="11:11" ht="15" customHeight="1">
      <c r="K886" s="24"/>
    </row>
    <row r="887" spans="11:11" ht="15" customHeight="1">
      <c r="K887" s="24"/>
    </row>
    <row r="888" spans="11:11" ht="15" customHeight="1">
      <c r="K888" s="24"/>
    </row>
    <row r="889" spans="11:11" ht="15" customHeight="1">
      <c r="K889" s="24"/>
    </row>
    <row r="890" spans="11:11" ht="15" customHeight="1">
      <c r="K890" s="24"/>
    </row>
    <row r="891" spans="11:11" ht="15" customHeight="1">
      <c r="K891" s="24"/>
    </row>
    <row r="892" spans="11:11" ht="15" customHeight="1">
      <c r="K892" s="24"/>
    </row>
    <row r="893" spans="11:11" ht="15" customHeight="1">
      <c r="K893" s="24"/>
    </row>
    <row r="894" spans="11:11" ht="15" customHeight="1">
      <c r="K894" s="24"/>
    </row>
    <row r="895" spans="11:11" ht="15" customHeight="1">
      <c r="K895" s="24"/>
    </row>
    <row r="896" spans="11:11" ht="15" customHeight="1">
      <c r="K896" s="24"/>
    </row>
    <row r="897" spans="11:11" ht="15" customHeight="1">
      <c r="K897" s="24"/>
    </row>
    <row r="898" spans="11:11" ht="15" customHeight="1">
      <c r="K898" s="24"/>
    </row>
    <row r="899" spans="11:11" ht="15" customHeight="1">
      <c r="K899" s="24"/>
    </row>
    <row r="900" spans="11:11" ht="15" customHeight="1">
      <c r="K900" s="24"/>
    </row>
    <row r="901" spans="11:11" ht="15" customHeight="1">
      <c r="K901" s="24"/>
    </row>
    <row r="902" spans="11:11" ht="15" customHeight="1">
      <c r="K902" s="24"/>
    </row>
    <row r="903" spans="11:11" ht="15" customHeight="1">
      <c r="K903" s="24"/>
    </row>
    <row r="904" spans="11:11" ht="15" customHeight="1">
      <c r="K904" s="24"/>
    </row>
    <row r="905" spans="11:11" ht="15" customHeight="1">
      <c r="K905" s="24"/>
    </row>
    <row r="906" spans="11:11" ht="15" customHeight="1">
      <c r="K906" s="24"/>
    </row>
    <row r="907" spans="11:11" ht="15" customHeight="1">
      <c r="K907" s="24"/>
    </row>
    <row r="908" spans="11:11" ht="15" customHeight="1">
      <c r="K908" s="24"/>
    </row>
    <row r="909" spans="11:11" ht="15" customHeight="1">
      <c r="K909" s="24"/>
    </row>
    <row r="910" spans="11:11" ht="15" customHeight="1">
      <c r="K910" s="24"/>
    </row>
    <row r="911" spans="11:11" ht="15" customHeight="1">
      <c r="K911" s="24"/>
    </row>
    <row r="912" spans="11:11" ht="15" customHeight="1">
      <c r="K912" s="24"/>
    </row>
    <row r="913" spans="11:11" ht="15" customHeight="1">
      <c r="K913" s="24"/>
    </row>
    <row r="914" spans="11:11" ht="15" customHeight="1">
      <c r="K914" s="24"/>
    </row>
    <row r="915" spans="11:11" ht="15" customHeight="1">
      <c r="K915" s="24"/>
    </row>
    <row r="916" spans="11:11" ht="15" customHeight="1">
      <c r="K916" s="24"/>
    </row>
    <row r="917" spans="11:11" ht="15" customHeight="1">
      <c r="K917" s="24"/>
    </row>
    <row r="918" spans="11:11" ht="15" customHeight="1">
      <c r="K918" s="24"/>
    </row>
    <row r="919" spans="11:11" ht="15" customHeight="1">
      <c r="K919" s="24"/>
    </row>
    <row r="920" spans="11:11" ht="15" customHeight="1">
      <c r="K920" s="24"/>
    </row>
    <row r="921" spans="11:11" ht="15" customHeight="1">
      <c r="K921" s="24"/>
    </row>
    <row r="922" spans="11:11" ht="15" customHeight="1">
      <c r="K922" s="24"/>
    </row>
    <row r="923" spans="11:11" ht="15" customHeight="1">
      <c r="K923" s="24"/>
    </row>
    <row r="924" spans="11:11" ht="15" customHeight="1">
      <c r="K924" s="24"/>
    </row>
    <row r="925" spans="11:11" ht="15" customHeight="1">
      <c r="K925" s="24"/>
    </row>
    <row r="926" spans="11:11" ht="15" customHeight="1">
      <c r="K926" s="24"/>
    </row>
    <row r="927" spans="11:11" ht="15" customHeight="1">
      <c r="K927" s="24"/>
    </row>
    <row r="928" spans="11:11" ht="15" customHeight="1">
      <c r="K928" s="24"/>
    </row>
    <row r="929" spans="11:11" ht="15" customHeight="1">
      <c r="K929" s="24"/>
    </row>
    <row r="930" spans="11:11" ht="15" customHeight="1">
      <c r="K930" s="24"/>
    </row>
    <row r="931" spans="11:11" ht="15" customHeight="1">
      <c r="K931" s="24"/>
    </row>
    <row r="932" spans="11:11" ht="15" customHeight="1">
      <c r="K932" s="24"/>
    </row>
    <row r="933" spans="11:11" ht="15" customHeight="1">
      <c r="K933" s="24"/>
    </row>
    <row r="934" spans="11:11" ht="15" customHeight="1">
      <c r="K934" s="24"/>
    </row>
    <row r="935" spans="11:11" ht="15" customHeight="1">
      <c r="K935" s="24"/>
    </row>
    <row r="936" spans="11:11" ht="15" customHeight="1">
      <c r="K936" s="24"/>
    </row>
    <row r="937" spans="11:11" ht="15" customHeight="1">
      <c r="K937" s="24"/>
    </row>
    <row r="938" spans="11:11" ht="15" customHeight="1">
      <c r="K938" s="24"/>
    </row>
    <row r="939" spans="11:11" ht="15" customHeight="1">
      <c r="K939" s="24"/>
    </row>
    <row r="940" spans="11:11" ht="15" customHeight="1">
      <c r="K940" s="24"/>
    </row>
    <row r="941" spans="11:11" ht="15" customHeight="1">
      <c r="K941" s="24"/>
    </row>
    <row r="942" spans="11:11" ht="15" customHeight="1">
      <c r="K942" s="24"/>
    </row>
    <row r="943" spans="11:11" ht="15" customHeight="1">
      <c r="K943" s="24"/>
    </row>
    <row r="944" spans="11:11" ht="15" customHeight="1">
      <c r="K944" s="24"/>
    </row>
    <row r="945" spans="11:11" ht="15" customHeight="1">
      <c r="K945" s="24"/>
    </row>
    <row r="946" spans="11:11" ht="15" customHeight="1">
      <c r="K946" s="24"/>
    </row>
    <row r="947" spans="11:11" ht="15" customHeight="1">
      <c r="K947" s="24"/>
    </row>
    <row r="948" spans="11:11" ht="15" customHeight="1">
      <c r="K948" s="24"/>
    </row>
    <row r="949" spans="11:11" ht="15" customHeight="1">
      <c r="K949" s="24"/>
    </row>
    <row r="950" spans="11:11" ht="15" customHeight="1">
      <c r="K950" s="24"/>
    </row>
    <row r="951" spans="11:11" ht="15" customHeight="1">
      <c r="K951" s="24"/>
    </row>
    <row r="952" spans="11:11" ht="15" customHeight="1">
      <c r="K952" s="24"/>
    </row>
    <row r="953" spans="11:11" ht="15" customHeight="1">
      <c r="K953" s="24"/>
    </row>
    <row r="954" spans="11:11" ht="15" customHeight="1">
      <c r="K954" s="24"/>
    </row>
    <row r="955" spans="11:11" ht="15" customHeight="1">
      <c r="K955" s="24"/>
    </row>
    <row r="956" spans="11:11" ht="15" customHeight="1">
      <c r="K956" s="24"/>
    </row>
    <row r="957" spans="11:11" ht="15" customHeight="1">
      <c r="K957" s="24"/>
    </row>
    <row r="958" spans="11:11" ht="15" customHeight="1">
      <c r="K958" s="24"/>
    </row>
    <row r="959" spans="11:11" ht="15" customHeight="1">
      <c r="K959" s="24"/>
    </row>
    <row r="960" spans="11:11" ht="15" customHeight="1">
      <c r="K960" s="24"/>
    </row>
    <row r="961" spans="11:11" ht="15" customHeight="1">
      <c r="K961" s="24"/>
    </row>
    <row r="962" spans="11:11" ht="15" customHeight="1">
      <c r="K962" s="24"/>
    </row>
    <row r="963" spans="11:11" ht="15" customHeight="1">
      <c r="K963" s="24"/>
    </row>
    <row r="964" spans="11:11" ht="15" customHeight="1">
      <c r="K964" s="24"/>
    </row>
    <row r="965" spans="11:11" ht="15" customHeight="1">
      <c r="K965" s="24"/>
    </row>
    <row r="966" spans="11:11" ht="15" customHeight="1">
      <c r="K966" s="24"/>
    </row>
    <row r="967" spans="11:11" ht="15" customHeight="1">
      <c r="K967" s="24"/>
    </row>
    <row r="968" spans="11:11" ht="15" customHeight="1">
      <c r="K968" s="24"/>
    </row>
    <row r="969" spans="11:11" ht="15" customHeight="1">
      <c r="K969" s="24"/>
    </row>
    <row r="970" spans="11:11" ht="15" customHeight="1">
      <c r="K970" s="24"/>
    </row>
    <row r="971" spans="11:11" ht="15" customHeight="1">
      <c r="K971" s="24"/>
    </row>
    <row r="972" spans="11:11" ht="15" customHeight="1">
      <c r="K972" s="24"/>
    </row>
    <row r="973" spans="11:11" ht="15" customHeight="1">
      <c r="K973" s="24"/>
    </row>
    <row r="974" spans="11:11" ht="15" customHeight="1">
      <c r="K974" s="24"/>
    </row>
    <row r="975" spans="11:11" ht="15" customHeight="1">
      <c r="K975" s="24"/>
    </row>
    <row r="976" spans="11:11" ht="15" customHeight="1">
      <c r="K976" s="24"/>
    </row>
    <row r="977" spans="11:11" ht="15" customHeight="1">
      <c r="K977" s="24"/>
    </row>
    <row r="978" spans="11:11" ht="15" customHeight="1">
      <c r="K978" s="24"/>
    </row>
    <row r="979" spans="11:11" ht="15" customHeight="1">
      <c r="K979" s="24"/>
    </row>
    <row r="980" spans="11:11" ht="15" customHeight="1">
      <c r="K980" s="24"/>
    </row>
    <row r="981" spans="11:11" ht="15" customHeight="1">
      <c r="K981" s="24"/>
    </row>
    <row r="982" spans="11:11" ht="15" customHeight="1">
      <c r="K982" s="24"/>
    </row>
    <row r="983" spans="11:11" ht="15" customHeight="1">
      <c r="K983" s="24"/>
    </row>
    <row r="984" spans="11:11" ht="15" customHeight="1">
      <c r="K984" s="24"/>
    </row>
    <row r="985" spans="11:11" ht="15" customHeight="1">
      <c r="K985" s="24"/>
    </row>
    <row r="986" spans="11:11" ht="15" customHeight="1">
      <c r="K986" s="24"/>
    </row>
    <row r="987" spans="11:11" ht="15" customHeight="1">
      <c r="K987" s="24"/>
    </row>
    <row r="988" spans="11:11" ht="15" customHeight="1">
      <c r="K988" s="24"/>
    </row>
    <row r="989" spans="11:11" ht="15" customHeight="1">
      <c r="K989" s="24"/>
    </row>
    <row r="990" spans="11:11" ht="15" customHeight="1">
      <c r="K990" s="24"/>
    </row>
    <row r="991" spans="11:11" ht="15" customHeight="1">
      <c r="K991" s="24"/>
    </row>
    <row r="992" spans="11:11" ht="15" customHeight="1">
      <c r="K992" s="24"/>
    </row>
    <row r="993" spans="11:11" ht="15" customHeight="1">
      <c r="K993" s="24"/>
    </row>
    <row r="994" spans="11:11" ht="15" customHeight="1">
      <c r="K994" s="24"/>
    </row>
    <row r="995" spans="11:11" ht="15" customHeight="1">
      <c r="K995" s="24"/>
    </row>
    <row r="996" spans="11:11" ht="15" customHeight="1">
      <c r="K996" s="24"/>
    </row>
    <row r="997" spans="11:11" ht="15" customHeight="1">
      <c r="K997" s="24"/>
    </row>
    <row r="998" spans="11:11" ht="15" customHeight="1">
      <c r="K998" s="24"/>
    </row>
    <row r="999" spans="11:11" ht="15" customHeight="1">
      <c r="K999" s="24"/>
    </row>
    <row r="1000" spans="11:11" ht="15" customHeight="1">
      <c r="K1000" s="24"/>
    </row>
    <row r="1001" spans="11:11" ht="15" customHeight="1">
      <c r="K1001" s="24"/>
    </row>
    <row r="1002" spans="11:11" ht="15" customHeight="1">
      <c r="K1002" s="24"/>
    </row>
    <row r="1003" spans="11:11" ht="15" customHeight="1">
      <c r="K1003" s="24"/>
    </row>
    <row r="1004" spans="11:11" ht="15" customHeight="1">
      <c r="K1004" s="24"/>
    </row>
    <row r="1005" spans="11:11" ht="15" customHeight="1">
      <c r="K1005" s="24"/>
    </row>
    <row r="1006" spans="11:11" ht="15" customHeight="1">
      <c r="K1006" s="24"/>
    </row>
    <row r="1007" spans="11:11" ht="15" customHeight="1">
      <c r="K1007" s="24"/>
    </row>
    <row r="1008" spans="11:11" ht="15" customHeight="1">
      <c r="K1008" s="24"/>
    </row>
    <row r="1009" spans="11:11" ht="15" customHeight="1">
      <c r="K1009" s="24"/>
    </row>
    <row r="1010" spans="11:11" ht="15" customHeight="1">
      <c r="K1010" s="24"/>
    </row>
    <row r="1011" spans="11:11" ht="15" customHeight="1">
      <c r="K1011" s="24"/>
    </row>
    <row r="1012" spans="11:11" ht="15" customHeight="1">
      <c r="K1012" s="24"/>
    </row>
    <row r="1013" spans="11:11" ht="15" customHeight="1">
      <c r="K1013" s="24"/>
    </row>
    <row r="1014" spans="11:11" ht="15" customHeight="1">
      <c r="K1014" s="24"/>
    </row>
    <row r="1015" spans="11:11" ht="15" customHeight="1">
      <c r="K1015" s="24"/>
    </row>
    <row r="1016" spans="11:11" ht="15" customHeight="1">
      <c r="K1016" s="24"/>
    </row>
    <row r="1017" spans="11:11" ht="15" customHeight="1">
      <c r="K1017" s="24"/>
    </row>
    <row r="1018" spans="11:11" ht="15" customHeight="1">
      <c r="K1018" s="24"/>
    </row>
    <row r="1019" spans="11:11" ht="15" customHeight="1">
      <c r="K1019" s="24"/>
    </row>
    <row r="1020" spans="11:11" ht="15" customHeight="1">
      <c r="K1020" s="24"/>
    </row>
    <row r="1021" spans="11:11" ht="15" customHeight="1">
      <c r="K1021" s="24"/>
    </row>
    <row r="1022" spans="11:11" ht="15" customHeight="1">
      <c r="K1022" s="24"/>
    </row>
    <row r="1023" spans="11:11" ht="15" customHeight="1">
      <c r="K1023" s="24"/>
    </row>
    <row r="1024" spans="11:11" ht="15" customHeight="1">
      <c r="K1024" s="24"/>
    </row>
    <row r="1025" spans="11:11" ht="15" customHeight="1">
      <c r="K1025" s="24"/>
    </row>
    <row r="1026" spans="11:11" ht="15" customHeight="1">
      <c r="K1026" s="24"/>
    </row>
    <row r="1027" spans="11:11" ht="15" customHeight="1">
      <c r="K1027" s="24"/>
    </row>
    <row r="1028" spans="11:11" ht="15" customHeight="1">
      <c r="K1028" s="24"/>
    </row>
    <row r="1029" spans="11:11" ht="15" customHeight="1">
      <c r="K1029" s="24"/>
    </row>
    <row r="1030" spans="11:11" ht="15" customHeight="1">
      <c r="K1030" s="24"/>
    </row>
    <row r="1031" spans="11:11" ht="15" customHeight="1">
      <c r="K1031" s="24"/>
    </row>
    <row r="1032" spans="11:11" ht="15" customHeight="1">
      <c r="K1032" s="24"/>
    </row>
    <row r="1033" spans="11:11" ht="15" customHeight="1">
      <c r="K1033" s="24"/>
    </row>
    <row r="1034" spans="11:11" ht="15" customHeight="1">
      <c r="K1034" s="24"/>
    </row>
    <row r="1035" spans="11:11" ht="15" customHeight="1">
      <c r="K1035" s="24"/>
    </row>
    <row r="1036" spans="11:11" ht="15" customHeight="1">
      <c r="K1036" s="24"/>
    </row>
    <row r="1037" spans="11:11" ht="15" customHeight="1">
      <c r="K1037" s="24"/>
    </row>
    <row r="1038" spans="11:11" ht="15" customHeight="1">
      <c r="K1038" s="24"/>
    </row>
    <row r="1039" spans="11:11" ht="15" customHeight="1">
      <c r="K1039" s="24"/>
    </row>
    <row r="1040" spans="11:11" ht="15" customHeight="1">
      <c r="K1040" s="24"/>
    </row>
    <row r="1041" spans="11:11" ht="15" customHeight="1">
      <c r="K1041" s="24"/>
    </row>
    <row r="1042" spans="11:11" ht="15" customHeight="1">
      <c r="K1042" s="24"/>
    </row>
    <row r="1043" spans="11:11" ht="15" customHeight="1">
      <c r="K1043" s="24"/>
    </row>
    <row r="1044" spans="11:11" ht="15" customHeight="1">
      <c r="K1044" s="24"/>
    </row>
    <row r="1045" spans="11:11" ht="15" customHeight="1">
      <c r="K1045" s="24"/>
    </row>
    <row r="1046" spans="11:11" ht="15" customHeight="1">
      <c r="K1046" s="24"/>
    </row>
    <row r="1047" spans="11:11" ht="15" customHeight="1">
      <c r="K1047" s="24"/>
    </row>
    <row r="1048" spans="11:11" ht="15" customHeight="1">
      <c r="K1048" s="24"/>
    </row>
    <row r="1049" spans="11:11" ht="15" customHeight="1">
      <c r="K1049" s="24"/>
    </row>
    <row r="1050" spans="11:11" ht="15" customHeight="1">
      <c r="K1050" s="24"/>
    </row>
    <row r="1051" spans="11:11" ht="15" customHeight="1">
      <c r="K1051" s="24"/>
    </row>
    <row r="1052" spans="11:11" ht="15" customHeight="1">
      <c r="K1052" s="24"/>
    </row>
    <row r="1053" spans="11:11" ht="15" customHeight="1">
      <c r="K1053" s="24"/>
    </row>
    <row r="1054" spans="11:11" ht="15" customHeight="1">
      <c r="K1054" s="24"/>
    </row>
    <row r="1055" spans="11:11" ht="15" customHeight="1">
      <c r="K1055" s="24"/>
    </row>
    <row r="1056" spans="11:11" ht="15" customHeight="1">
      <c r="K1056" s="24"/>
    </row>
    <row r="1057" spans="11:11" ht="15" customHeight="1">
      <c r="K1057" s="24"/>
    </row>
    <row r="1058" spans="11:11" ht="15" customHeight="1">
      <c r="K1058" s="24"/>
    </row>
    <row r="1059" spans="11:11" ht="15" customHeight="1">
      <c r="K1059" s="24"/>
    </row>
    <row r="1060" spans="11:11" ht="15" customHeight="1">
      <c r="K1060" s="24"/>
    </row>
    <row r="1061" spans="11:11" ht="15" customHeight="1">
      <c r="K1061" s="24"/>
    </row>
    <row r="1062" spans="11:11" ht="15" customHeight="1">
      <c r="K1062" s="24"/>
    </row>
    <row r="1063" spans="11:11" ht="15" customHeight="1">
      <c r="K1063" s="24"/>
    </row>
    <row r="1064" spans="11:11" ht="15" customHeight="1">
      <c r="K1064" s="24"/>
    </row>
    <row r="1065" spans="11:11" ht="15" customHeight="1">
      <c r="K1065" s="24"/>
    </row>
    <row r="1066" spans="11:11" ht="15" customHeight="1">
      <c r="K1066" s="24"/>
    </row>
    <row r="1067" spans="11:11" ht="15" customHeight="1">
      <c r="K1067" s="24"/>
    </row>
    <row r="1068" spans="11:11" ht="15" customHeight="1">
      <c r="K1068" s="24"/>
    </row>
    <row r="1069" spans="11:11" ht="15" customHeight="1">
      <c r="K1069" s="24"/>
    </row>
    <row r="1070" spans="11:11" ht="15" customHeight="1">
      <c r="K1070" s="24"/>
    </row>
    <row r="1071" spans="11:11" ht="15" customHeight="1">
      <c r="K1071" s="24"/>
    </row>
    <row r="1072" spans="11:11" ht="15" customHeight="1">
      <c r="K1072" s="24"/>
    </row>
    <row r="1073" spans="11:11" ht="15" customHeight="1">
      <c r="K1073" s="24"/>
    </row>
    <row r="1074" spans="11:11" ht="15" customHeight="1">
      <c r="K1074" s="24"/>
    </row>
    <row r="1075" spans="11:11" ht="15" customHeight="1">
      <c r="K1075" s="24"/>
    </row>
    <row r="1076" spans="11:11" ht="15" customHeight="1">
      <c r="K1076" s="24"/>
    </row>
    <row r="1077" spans="11:11" ht="15" customHeight="1">
      <c r="K1077" s="24"/>
    </row>
    <row r="1078" spans="11:11" ht="15" customHeight="1">
      <c r="K1078" s="24"/>
    </row>
    <row r="1079" spans="11:11" ht="15" customHeight="1">
      <c r="K1079" s="24"/>
    </row>
    <row r="1080" spans="11:11" ht="15" customHeight="1">
      <c r="K1080" s="24"/>
    </row>
    <row r="1081" spans="11:11" ht="15" customHeight="1">
      <c r="K1081" s="24"/>
    </row>
    <row r="1082" spans="11:11" ht="15" customHeight="1">
      <c r="K1082" s="24"/>
    </row>
    <row r="1083" spans="11:11" ht="15" customHeight="1">
      <c r="K1083" s="24"/>
    </row>
    <row r="1084" spans="11:11" ht="15" customHeight="1">
      <c r="K1084" s="24"/>
    </row>
    <row r="1085" spans="11:11" ht="15" customHeight="1">
      <c r="K1085" s="24"/>
    </row>
    <row r="1086" spans="11:11" ht="15" customHeight="1">
      <c r="K1086" s="24"/>
    </row>
    <row r="1087" spans="11:11" ht="15" customHeight="1">
      <c r="K1087" s="24"/>
    </row>
    <row r="1088" spans="11:11" ht="15" customHeight="1">
      <c r="K1088" s="24"/>
    </row>
    <row r="1089" spans="11:11" ht="15" customHeight="1">
      <c r="K1089" s="24"/>
    </row>
    <row r="1090" spans="11:11" ht="15" customHeight="1">
      <c r="K1090" s="24"/>
    </row>
    <row r="1091" spans="11:11" ht="15" customHeight="1">
      <c r="K1091" s="24"/>
    </row>
    <row r="1092" spans="11:11" ht="15" customHeight="1">
      <c r="K1092" s="24"/>
    </row>
    <row r="1093" spans="11:11" ht="15" customHeight="1">
      <c r="K1093" s="24"/>
    </row>
    <row r="1094" spans="11:11" ht="15" customHeight="1">
      <c r="K1094" s="24"/>
    </row>
    <row r="1095" spans="11:11" ht="15" customHeight="1">
      <c r="K1095" s="24"/>
    </row>
    <row r="1096" spans="11:11" ht="15" customHeight="1">
      <c r="K1096" s="24"/>
    </row>
    <row r="1097" spans="11:11" ht="15" customHeight="1">
      <c r="K1097" s="24"/>
    </row>
    <row r="1098" spans="11:11" ht="15" customHeight="1">
      <c r="K1098" s="24"/>
    </row>
    <row r="1099" spans="11:11" ht="15" customHeight="1">
      <c r="K1099" s="24"/>
    </row>
    <row r="1100" spans="11:11" ht="15" customHeight="1">
      <c r="K1100" s="24"/>
    </row>
    <row r="1101" spans="11:11" ht="15" customHeight="1">
      <c r="K1101" s="24"/>
    </row>
    <row r="1102" spans="11:11" ht="15" customHeight="1">
      <c r="K1102" s="24"/>
    </row>
    <row r="1103" spans="11:11" ht="15" customHeight="1">
      <c r="K1103" s="24"/>
    </row>
    <row r="1104" spans="11:11" ht="15" customHeight="1">
      <c r="K1104" s="24"/>
    </row>
    <row r="1105" spans="11:11" ht="15" customHeight="1">
      <c r="K1105" s="24"/>
    </row>
    <row r="1106" spans="11:11" ht="15" customHeight="1">
      <c r="K1106" s="24"/>
    </row>
    <row r="1107" spans="11:11" ht="15" customHeight="1">
      <c r="K1107" s="24"/>
    </row>
    <row r="1108" spans="11:11" ht="15" customHeight="1">
      <c r="K1108" s="24"/>
    </row>
    <row r="1109" spans="11:11" ht="15" customHeight="1">
      <c r="K1109" s="24"/>
    </row>
    <row r="1110" spans="11:11" ht="15" customHeight="1">
      <c r="K1110" s="24"/>
    </row>
    <row r="1111" spans="11:11" ht="15" customHeight="1">
      <c r="K1111" s="24"/>
    </row>
    <row r="1112" spans="11:11" ht="15" customHeight="1">
      <c r="K1112" s="24"/>
    </row>
    <row r="1113" spans="11:11" ht="15" customHeight="1">
      <c r="K1113" s="24"/>
    </row>
    <row r="1114" spans="11:11" ht="15" customHeight="1">
      <c r="K1114" s="24"/>
    </row>
    <row r="1115" spans="11:11" ht="15" customHeight="1">
      <c r="K1115" s="24"/>
    </row>
    <row r="1116" spans="11:11" ht="15" customHeight="1">
      <c r="K1116" s="24"/>
    </row>
    <row r="1117" spans="11:11" ht="15" customHeight="1">
      <c r="K1117" s="24"/>
    </row>
    <row r="1118" spans="11:11" ht="15" customHeight="1">
      <c r="K1118" s="24"/>
    </row>
    <row r="1119" spans="11:11" ht="15" customHeight="1">
      <c r="K1119" s="24"/>
    </row>
    <row r="1120" spans="11:11" ht="15" customHeight="1">
      <c r="K1120" s="24"/>
    </row>
    <row r="1121" spans="11:11" ht="15" customHeight="1">
      <c r="K1121" s="24"/>
    </row>
    <row r="1122" spans="11:11" ht="15" customHeight="1">
      <c r="K1122" s="24"/>
    </row>
    <row r="1123" spans="11:11" ht="15" customHeight="1">
      <c r="K1123" s="24"/>
    </row>
    <row r="1124" spans="11:11" ht="15" customHeight="1">
      <c r="K1124" s="24"/>
    </row>
    <row r="1125" spans="11:11" ht="15" customHeight="1">
      <c r="K1125" s="24"/>
    </row>
    <row r="1126" spans="11:11" ht="15" customHeight="1">
      <c r="K1126" s="24"/>
    </row>
    <row r="1127" spans="11:11" ht="15" customHeight="1">
      <c r="K1127" s="24"/>
    </row>
    <row r="1128" spans="11:11" ht="15" customHeight="1">
      <c r="K1128" s="24"/>
    </row>
    <row r="1129" spans="11:11" ht="15" customHeight="1">
      <c r="K1129" s="24"/>
    </row>
    <row r="1130" spans="11:11" ht="15" customHeight="1">
      <c r="K1130" s="24"/>
    </row>
    <row r="1131" spans="11:11" ht="15" customHeight="1">
      <c r="K1131" s="24"/>
    </row>
    <row r="1132" spans="11:11" ht="15" customHeight="1">
      <c r="K1132" s="24"/>
    </row>
    <row r="1133" spans="11:11" ht="15" customHeight="1">
      <c r="K1133" s="24"/>
    </row>
    <row r="1134" spans="11:11" ht="15" customHeight="1">
      <c r="K1134" s="24"/>
    </row>
    <row r="1135" spans="11:11" ht="15" customHeight="1">
      <c r="K1135" s="24"/>
    </row>
    <row r="1136" spans="11:11" ht="15" customHeight="1">
      <c r="K1136" s="24"/>
    </row>
    <row r="1137" spans="11:11" ht="15" customHeight="1">
      <c r="K1137" s="24"/>
    </row>
    <row r="1138" spans="11:11" ht="15" customHeight="1">
      <c r="K1138" s="24"/>
    </row>
    <row r="1139" spans="11:11" ht="15" customHeight="1">
      <c r="K1139" s="24"/>
    </row>
    <row r="1140" spans="11:11" ht="15" customHeight="1">
      <c r="K1140" s="24"/>
    </row>
    <row r="1141" spans="11:11" ht="15" customHeight="1">
      <c r="K1141" s="24"/>
    </row>
    <row r="1142" spans="11:11" ht="15" customHeight="1">
      <c r="K1142" s="24"/>
    </row>
    <row r="1143" spans="11:11" ht="15" customHeight="1">
      <c r="K1143" s="24"/>
    </row>
    <row r="1144" spans="11:11" ht="15" customHeight="1">
      <c r="K1144" s="24"/>
    </row>
    <row r="1145" spans="11:11" ht="15" customHeight="1">
      <c r="K1145" s="24"/>
    </row>
    <row r="1146" spans="11:11" ht="15" customHeight="1">
      <c r="K1146" s="24"/>
    </row>
    <row r="1147" spans="11:11" ht="15" customHeight="1">
      <c r="K1147" s="24"/>
    </row>
    <row r="1148" spans="11:11" ht="15" customHeight="1">
      <c r="K1148" s="24"/>
    </row>
    <row r="1149" spans="11:11" ht="15" customHeight="1">
      <c r="K1149" s="24"/>
    </row>
    <row r="1150" spans="11:11" ht="15" customHeight="1">
      <c r="K1150" s="24"/>
    </row>
    <row r="1151" spans="11:11" ht="15" customHeight="1">
      <c r="K1151" s="24"/>
    </row>
    <row r="1152" spans="11:11" ht="15" customHeight="1">
      <c r="K1152" s="24"/>
    </row>
    <row r="1153" spans="11:11" ht="15" customHeight="1">
      <c r="K1153" s="24"/>
    </row>
    <row r="1154" spans="11:11" ht="15" customHeight="1">
      <c r="K1154" s="24"/>
    </row>
    <row r="1155" spans="11:11" ht="15" customHeight="1">
      <c r="K1155" s="24"/>
    </row>
    <row r="1156" spans="11:11" ht="15" customHeight="1">
      <c r="K1156" s="24"/>
    </row>
    <row r="1157" spans="11:11" ht="15" customHeight="1">
      <c r="K1157" s="24"/>
    </row>
    <row r="1158" spans="11:11" ht="15" customHeight="1">
      <c r="K1158" s="24"/>
    </row>
    <row r="1159" spans="11:11" ht="15" customHeight="1">
      <c r="K1159" s="24"/>
    </row>
    <row r="1160" spans="11:11" ht="15" customHeight="1">
      <c r="K1160" s="24"/>
    </row>
    <row r="1161" spans="11:11" ht="15" customHeight="1">
      <c r="K1161" s="24"/>
    </row>
    <row r="1162" spans="11:11" ht="15" customHeight="1">
      <c r="K1162" s="24"/>
    </row>
    <row r="1163" spans="11:11" ht="15" customHeight="1">
      <c r="K1163" s="24"/>
    </row>
    <row r="1164" spans="11:11" ht="15" customHeight="1">
      <c r="K1164" s="24"/>
    </row>
    <row r="1165" spans="11:11" ht="15" customHeight="1">
      <c r="K1165" s="24"/>
    </row>
    <row r="1166" spans="11:11" ht="15" customHeight="1">
      <c r="K1166" s="24"/>
    </row>
    <row r="1167" spans="11:11" ht="15" customHeight="1">
      <c r="K1167" s="24"/>
    </row>
    <row r="1168" spans="11:11" ht="15" customHeight="1">
      <c r="K1168" s="24"/>
    </row>
    <row r="1169" spans="11:11" ht="15" customHeight="1">
      <c r="K1169" s="24"/>
    </row>
    <row r="1170" spans="11:11" ht="15" customHeight="1">
      <c r="K1170" s="24"/>
    </row>
    <row r="1171" spans="11:11" ht="15" customHeight="1">
      <c r="K1171" s="24"/>
    </row>
    <row r="1172" spans="11:11" ht="15" customHeight="1">
      <c r="K1172" s="24"/>
    </row>
    <row r="1173" spans="11:11" ht="15" customHeight="1">
      <c r="K1173" s="24"/>
    </row>
    <row r="1174" spans="11:11" ht="15" customHeight="1">
      <c r="K1174" s="24"/>
    </row>
    <row r="1175" spans="11:11" ht="15" customHeight="1">
      <c r="K1175" s="24"/>
    </row>
    <row r="1176" spans="11:11" ht="15" customHeight="1">
      <c r="K1176" s="24"/>
    </row>
    <row r="1177" spans="11:11" ht="15" customHeight="1">
      <c r="K1177" s="24"/>
    </row>
    <row r="1178" spans="11:11" ht="15" customHeight="1">
      <c r="K1178" s="24"/>
    </row>
    <row r="1179" spans="11:11" ht="15" customHeight="1">
      <c r="K1179" s="24"/>
    </row>
    <row r="1180" spans="11:11" ht="15" customHeight="1">
      <c r="K1180" s="24"/>
    </row>
    <row r="1181" spans="11:11" ht="15" customHeight="1">
      <c r="K1181" s="24"/>
    </row>
    <row r="1182" spans="11:11" ht="15" customHeight="1">
      <c r="K1182" s="24"/>
    </row>
    <row r="1183" spans="11:11" ht="15" customHeight="1">
      <c r="K1183" s="24"/>
    </row>
    <row r="1184" spans="11:11" ht="15" customHeight="1">
      <c r="K1184" s="24"/>
    </row>
    <row r="1185" spans="11:11" ht="15" customHeight="1">
      <c r="K1185" s="24"/>
    </row>
    <row r="1186" spans="11:11" ht="15" customHeight="1">
      <c r="K1186" s="24"/>
    </row>
    <row r="1187" spans="11:11" ht="15" customHeight="1">
      <c r="K1187" s="24"/>
    </row>
    <row r="1188" spans="11:11" ht="15" customHeight="1">
      <c r="K1188" s="24"/>
    </row>
    <row r="1189" spans="11:11" ht="15" customHeight="1">
      <c r="K1189" s="24"/>
    </row>
    <row r="1190" spans="11:11" ht="15" customHeight="1">
      <c r="K1190" s="24"/>
    </row>
    <row r="1191" spans="11:11" ht="15" customHeight="1">
      <c r="K1191" s="24"/>
    </row>
    <row r="1192" spans="11:11" ht="15" customHeight="1">
      <c r="K1192" s="24"/>
    </row>
    <row r="1193" spans="11:11" ht="15" customHeight="1">
      <c r="K1193" s="24"/>
    </row>
    <row r="1194" spans="11:11" ht="15" customHeight="1">
      <c r="K1194" s="24"/>
    </row>
    <row r="1195" spans="11:11" ht="15" customHeight="1">
      <c r="K1195" s="24"/>
    </row>
    <row r="1196" spans="11:11" ht="15" customHeight="1">
      <c r="K1196" s="24"/>
    </row>
    <row r="1197" spans="11:11" ht="15" customHeight="1">
      <c r="K1197" s="24"/>
    </row>
    <row r="1198" spans="11:11" ht="15" customHeight="1">
      <c r="K1198" s="24"/>
    </row>
    <row r="1199" spans="11:11" ht="15" customHeight="1">
      <c r="K1199" s="24"/>
    </row>
    <row r="1200" spans="11:11" ht="15" customHeight="1">
      <c r="K1200" s="24"/>
    </row>
    <row r="1201" spans="11:11" ht="15" customHeight="1">
      <c r="K1201" s="24"/>
    </row>
    <row r="1202" spans="11:11" ht="15" customHeight="1">
      <c r="K1202" s="24"/>
    </row>
    <row r="1203" spans="11:11" ht="15" customHeight="1">
      <c r="K1203" s="24"/>
    </row>
    <row r="1204" spans="11:11" ht="15" customHeight="1">
      <c r="K1204" s="24"/>
    </row>
    <row r="1205" spans="11:11" ht="15" customHeight="1">
      <c r="K1205" s="24"/>
    </row>
    <row r="1206" spans="11:11" ht="15" customHeight="1">
      <c r="K1206" s="24"/>
    </row>
    <row r="1207" spans="11:11" ht="15" customHeight="1">
      <c r="K1207" s="24"/>
    </row>
    <row r="1208" spans="11:11" ht="15" customHeight="1">
      <c r="K1208" s="24"/>
    </row>
    <row r="1209" spans="11:11" ht="15" customHeight="1">
      <c r="K1209" s="24"/>
    </row>
    <row r="1210" spans="11:11" ht="15" customHeight="1">
      <c r="K1210" s="24"/>
    </row>
    <row r="1211" spans="11:11" ht="15" customHeight="1">
      <c r="K1211" s="24"/>
    </row>
    <row r="1212" spans="11:11" ht="15" customHeight="1">
      <c r="K1212" s="24"/>
    </row>
    <row r="1213" spans="11:11" ht="15" customHeight="1">
      <c r="K1213" s="24"/>
    </row>
    <row r="1214" spans="11:11" ht="15" customHeight="1">
      <c r="K1214" s="24"/>
    </row>
    <row r="1215" spans="11:11" ht="15" customHeight="1">
      <c r="K1215" s="24"/>
    </row>
    <row r="1216" spans="11:11" ht="15" customHeight="1">
      <c r="K1216" s="24"/>
    </row>
    <row r="1217" spans="11:11" ht="15" customHeight="1">
      <c r="K1217" s="24"/>
    </row>
    <row r="1218" spans="11:11" ht="15" customHeight="1">
      <c r="K1218" s="24"/>
    </row>
    <row r="1219" spans="11:11" ht="15" customHeight="1">
      <c r="K1219" s="24"/>
    </row>
    <row r="1220" spans="11:11" ht="15" customHeight="1">
      <c r="K1220" s="24"/>
    </row>
    <row r="1221" spans="11:11" ht="15" customHeight="1">
      <c r="K1221" s="24"/>
    </row>
    <row r="1222" spans="11:11" ht="15" customHeight="1">
      <c r="K1222" s="24"/>
    </row>
    <row r="1223" spans="11:11" ht="15" customHeight="1">
      <c r="K1223" s="24"/>
    </row>
    <row r="1224" spans="11:11" ht="15" customHeight="1">
      <c r="K1224" s="24"/>
    </row>
    <row r="1225" spans="11:11" ht="15" customHeight="1">
      <c r="K1225" s="24"/>
    </row>
    <row r="1226" spans="11:11" ht="15" customHeight="1">
      <c r="K1226" s="24"/>
    </row>
    <row r="1227" spans="11:11" ht="15" customHeight="1">
      <c r="K1227" s="24"/>
    </row>
    <row r="1228" spans="11:11" ht="15" customHeight="1">
      <c r="K1228" s="24"/>
    </row>
    <row r="1229" spans="11:11" ht="15" customHeight="1">
      <c r="K1229" s="24"/>
    </row>
    <row r="1230" spans="11:11" ht="15" customHeight="1">
      <c r="K1230" s="24"/>
    </row>
    <row r="1231" spans="11:11" ht="15" customHeight="1">
      <c r="K1231" s="24"/>
    </row>
    <row r="1232" spans="11:11" ht="15" customHeight="1">
      <c r="K1232" s="24"/>
    </row>
    <row r="1233" spans="11:11" ht="15" customHeight="1">
      <c r="K1233" s="24"/>
    </row>
    <row r="1234" spans="11:11" ht="15" customHeight="1">
      <c r="K1234" s="24"/>
    </row>
    <row r="1235" spans="11:11" ht="15" customHeight="1">
      <c r="K1235" s="24"/>
    </row>
    <row r="1236" spans="11:11" ht="15" customHeight="1">
      <c r="K1236" s="24"/>
    </row>
    <row r="1237" spans="11:11" ht="15" customHeight="1">
      <c r="K1237" s="24"/>
    </row>
    <row r="1238" spans="11:11" ht="15" customHeight="1">
      <c r="K1238" s="24"/>
    </row>
    <row r="1239" spans="11:11" ht="15" customHeight="1">
      <c r="K1239" s="24"/>
    </row>
    <row r="1240" spans="11:11" ht="15" customHeight="1">
      <c r="K1240" s="24"/>
    </row>
    <row r="1241" spans="11:11" ht="15" customHeight="1">
      <c r="K1241" s="24"/>
    </row>
    <row r="1242" spans="11:11" ht="15" customHeight="1">
      <c r="K1242" s="24"/>
    </row>
    <row r="1243" spans="11:11" ht="15" customHeight="1">
      <c r="K1243" s="24"/>
    </row>
    <row r="1244" spans="11:11" ht="15" customHeight="1">
      <c r="K1244" s="24"/>
    </row>
    <row r="1245" spans="11:11" ht="15" customHeight="1">
      <c r="K1245" s="24"/>
    </row>
    <row r="1246" spans="11:11" ht="15" customHeight="1">
      <c r="K1246" s="24"/>
    </row>
    <row r="1247" spans="11:11" ht="15" customHeight="1">
      <c r="K1247" s="24"/>
    </row>
    <row r="1248" spans="11:11" ht="15" customHeight="1">
      <c r="K1248" s="24"/>
    </row>
    <row r="1249" spans="11:11" ht="15" customHeight="1">
      <c r="K1249" s="24"/>
    </row>
    <row r="1250" spans="11:11" ht="15" customHeight="1">
      <c r="K1250" s="24"/>
    </row>
    <row r="1251" spans="11:11" ht="15" customHeight="1">
      <c r="K1251" s="24"/>
    </row>
    <row r="1252" spans="11:11" ht="15" customHeight="1">
      <c r="K1252" s="24"/>
    </row>
    <row r="1253" spans="11:11" ht="15" customHeight="1">
      <c r="K1253" s="24"/>
    </row>
    <row r="1254" spans="11:11" ht="15" customHeight="1">
      <c r="K1254" s="24"/>
    </row>
    <row r="1255" spans="11:11" ht="15" customHeight="1">
      <c r="K1255" s="24"/>
    </row>
    <row r="1256" spans="11:11" ht="15" customHeight="1">
      <c r="K1256" s="24"/>
    </row>
    <row r="1257" spans="11:11" ht="15" customHeight="1">
      <c r="K1257" s="24"/>
    </row>
    <row r="1258" spans="11:11" ht="15" customHeight="1">
      <c r="K1258" s="24"/>
    </row>
    <row r="1259" spans="11:11" ht="15" customHeight="1">
      <c r="K1259" s="24"/>
    </row>
    <row r="1260" spans="11:11" ht="15" customHeight="1">
      <c r="K1260" s="24"/>
    </row>
    <row r="1261" spans="11:11" ht="15" customHeight="1">
      <c r="K1261" s="24"/>
    </row>
    <row r="1262" spans="11:11" ht="15" customHeight="1">
      <c r="K1262" s="24"/>
    </row>
    <row r="1263" spans="11:11" ht="15" customHeight="1">
      <c r="K1263" s="24"/>
    </row>
    <row r="1264" spans="11:11" ht="15" customHeight="1">
      <c r="K1264" s="24"/>
    </row>
    <row r="1265" spans="11:11" ht="15" customHeight="1">
      <c r="K1265" s="24"/>
    </row>
    <row r="1266" spans="11:11" ht="15" customHeight="1">
      <c r="K1266" s="24"/>
    </row>
    <row r="1267" spans="11:11" ht="15" customHeight="1">
      <c r="K1267" s="24"/>
    </row>
    <row r="1268" spans="11:11" ht="15" customHeight="1">
      <c r="K1268" s="24"/>
    </row>
    <row r="1269" spans="11:11" ht="15" customHeight="1">
      <c r="K1269" s="24"/>
    </row>
    <row r="1270" spans="11:11" ht="15" customHeight="1">
      <c r="K1270" s="24"/>
    </row>
    <row r="1271" spans="11:11" ht="15" customHeight="1">
      <c r="K1271" s="24"/>
    </row>
    <row r="1272" spans="11:11" ht="15" customHeight="1">
      <c r="K1272" s="24"/>
    </row>
    <row r="1273" spans="11:11" ht="15" customHeight="1">
      <c r="K1273" s="24"/>
    </row>
    <row r="1274" spans="11:11" ht="15" customHeight="1">
      <c r="K1274" s="24"/>
    </row>
    <row r="1275" spans="11:11" ht="15" customHeight="1">
      <c r="K1275" s="24"/>
    </row>
    <row r="1276" spans="11:11" ht="15" customHeight="1">
      <c r="K1276" s="24"/>
    </row>
    <row r="1277" spans="11:11" ht="15" customHeight="1">
      <c r="K1277" s="24"/>
    </row>
    <row r="1278" spans="11:11" ht="15" customHeight="1">
      <c r="K1278" s="24"/>
    </row>
    <row r="1279" spans="11:11" ht="15" customHeight="1">
      <c r="K1279" s="24"/>
    </row>
    <row r="1280" spans="11:11" ht="15" customHeight="1">
      <c r="K1280" s="24"/>
    </row>
    <row r="1281" spans="11:11" ht="15" customHeight="1">
      <c r="K1281" s="24"/>
    </row>
    <row r="1282" spans="11:11" ht="15" customHeight="1">
      <c r="K1282" s="24"/>
    </row>
    <row r="1283" spans="11:11" ht="15" customHeight="1">
      <c r="K1283" s="24"/>
    </row>
    <row r="1284" spans="11:11" ht="15" customHeight="1">
      <c r="K1284" s="24"/>
    </row>
    <row r="1285" spans="11:11" ht="15" customHeight="1">
      <c r="K1285" s="24"/>
    </row>
    <row r="1286" spans="11:11" ht="15" customHeight="1">
      <c r="K1286" s="24"/>
    </row>
    <row r="1287" spans="11:11" ht="15" customHeight="1">
      <c r="K1287" s="24"/>
    </row>
    <row r="1288" spans="11:11" ht="15" customHeight="1">
      <c r="K1288" s="24"/>
    </row>
    <row r="1289" spans="11:11" ht="15" customHeight="1">
      <c r="K1289" s="24"/>
    </row>
    <row r="1290" spans="11:11" ht="15" customHeight="1">
      <c r="K1290" s="24"/>
    </row>
    <row r="1291" spans="11:11" ht="15" customHeight="1">
      <c r="K1291" s="24"/>
    </row>
    <row r="1292" spans="11:11" ht="15" customHeight="1">
      <c r="K1292" s="24"/>
    </row>
    <row r="1293" spans="11:11" ht="15" customHeight="1">
      <c r="K1293" s="24"/>
    </row>
    <row r="1294" spans="11:11" ht="15" customHeight="1">
      <c r="K1294" s="24"/>
    </row>
    <row r="1295" spans="11:11" ht="15" customHeight="1">
      <c r="K1295" s="24"/>
    </row>
    <row r="1296" spans="11:11" ht="15" customHeight="1">
      <c r="K1296" s="24"/>
    </row>
    <row r="1297" spans="11:11" ht="15" customHeight="1">
      <c r="K1297" s="24"/>
    </row>
    <row r="1298" spans="11:11" ht="15" customHeight="1">
      <c r="K1298" s="24"/>
    </row>
    <row r="1299" spans="11:11" ht="15" customHeight="1">
      <c r="K1299" s="24"/>
    </row>
    <row r="1300" spans="11:11" ht="15" customHeight="1">
      <c r="K1300" s="24"/>
    </row>
    <row r="1301" spans="11:11" ht="15" customHeight="1">
      <c r="K1301" s="24"/>
    </row>
    <row r="1302" spans="11:11" ht="15" customHeight="1">
      <c r="K1302" s="24"/>
    </row>
    <row r="1303" spans="11:11" ht="15" customHeight="1">
      <c r="K1303" s="24"/>
    </row>
    <row r="1304" spans="11:11" ht="15" customHeight="1">
      <c r="K1304" s="24"/>
    </row>
    <row r="1305" spans="11:11" ht="15" customHeight="1">
      <c r="K1305" s="24"/>
    </row>
    <row r="1306" spans="11:11" ht="15" customHeight="1">
      <c r="K1306" s="24"/>
    </row>
    <row r="1307" spans="11:11" ht="15" customHeight="1">
      <c r="K1307" s="24"/>
    </row>
    <row r="1308" spans="11:11" ht="15" customHeight="1">
      <c r="K1308" s="24"/>
    </row>
    <row r="1309" spans="11:11" ht="15" customHeight="1">
      <c r="K1309" s="24"/>
    </row>
    <row r="1310" spans="11:11" ht="15" customHeight="1">
      <c r="K1310" s="24"/>
    </row>
    <row r="1311" spans="11:11" ht="15" customHeight="1">
      <c r="K1311" s="24"/>
    </row>
    <row r="1312" spans="11:11" ht="15" customHeight="1">
      <c r="K1312" s="24"/>
    </row>
    <row r="1313" spans="11:11" ht="15" customHeight="1">
      <c r="K1313" s="24"/>
    </row>
    <row r="1314" spans="11:11" ht="15" customHeight="1">
      <c r="K1314" s="24"/>
    </row>
    <row r="1315" spans="11:11" ht="15" customHeight="1">
      <c r="K1315" s="24"/>
    </row>
    <row r="1316" spans="11:11" ht="15" customHeight="1">
      <c r="K1316" s="24"/>
    </row>
    <row r="1317" spans="11:11" ht="15" customHeight="1">
      <c r="K1317" s="24"/>
    </row>
    <row r="1318" spans="11:11" ht="15" customHeight="1">
      <c r="K1318" s="24"/>
    </row>
    <row r="1319" spans="11:11" ht="15" customHeight="1">
      <c r="K1319" s="24"/>
    </row>
    <row r="1320" spans="11:11" ht="15" customHeight="1">
      <c r="K1320" s="24"/>
    </row>
    <row r="1321" spans="11:11" ht="15" customHeight="1">
      <c r="K1321" s="24"/>
    </row>
    <row r="1322" spans="11:11" ht="15" customHeight="1">
      <c r="K1322" s="24"/>
    </row>
    <row r="1323" spans="11:11" ht="15" customHeight="1">
      <c r="K1323" s="24"/>
    </row>
    <row r="1324" spans="11:11" ht="15" customHeight="1">
      <c r="K1324" s="24"/>
    </row>
    <row r="1325" spans="11:11" ht="15" customHeight="1">
      <c r="K1325" s="24"/>
    </row>
    <row r="1326" spans="11:11" ht="15" customHeight="1">
      <c r="K1326" s="24"/>
    </row>
    <row r="1327" spans="11:11" ht="15" customHeight="1">
      <c r="K1327" s="24"/>
    </row>
    <row r="1328" spans="11:11" ht="15" customHeight="1">
      <c r="K1328" s="24"/>
    </row>
    <row r="1329" spans="11:11" ht="15" customHeight="1">
      <c r="K1329" s="24"/>
    </row>
    <row r="1330" spans="11:11" ht="15" customHeight="1">
      <c r="K1330" s="24"/>
    </row>
    <row r="1331" spans="11:11" ht="15" customHeight="1">
      <c r="K1331" s="24"/>
    </row>
    <row r="1332" spans="11:11" ht="15" customHeight="1">
      <c r="K1332" s="24"/>
    </row>
    <row r="1333" spans="11:11" ht="15" customHeight="1">
      <c r="K1333" s="24"/>
    </row>
    <row r="1334" spans="11:11" ht="15" customHeight="1">
      <c r="K1334" s="24"/>
    </row>
    <row r="1335" spans="11:11" ht="15" customHeight="1">
      <c r="K1335" s="24"/>
    </row>
    <row r="1336" spans="11:11" ht="15" customHeight="1">
      <c r="K1336" s="24"/>
    </row>
    <row r="1337" spans="11:11" ht="15" customHeight="1">
      <c r="K1337" s="24"/>
    </row>
    <row r="1338" spans="11:11" ht="15" customHeight="1">
      <c r="K1338" s="24"/>
    </row>
    <row r="1339" spans="11:11" ht="15" customHeight="1">
      <c r="K1339" s="24"/>
    </row>
    <row r="1340" spans="11:11" ht="15" customHeight="1">
      <c r="K1340" s="24"/>
    </row>
    <row r="1341" spans="11:11" ht="15" customHeight="1">
      <c r="K1341" s="24"/>
    </row>
    <row r="1342" spans="11:11" ht="15" customHeight="1">
      <c r="K1342" s="24"/>
    </row>
    <row r="1343" spans="11:11" ht="15" customHeight="1">
      <c r="K1343" s="24"/>
    </row>
    <row r="1344" spans="11:11" ht="15" customHeight="1">
      <c r="K1344" s="24"/>
    </row>
    <row r="1345" spans="11:11" ht="15" customHeight="1">
      <c r="K1345" s="24"/>
    </row>
    <row r="1346" spans="11:11" ht="15" customHeight="1">
      <c r="K1346" s="24"/>
    </row>
    <row r="1347" spans="11:11" ht="15" customHeight="1">
      <c r="K1347" s="24"/>
    </row>
    <row r="1348" spans="11:11" ht="15" customHeight="1">
      <c r="K1348" s="24"/>
    </row>
    <row r="1349" spans="11:11" ht="15" customHeight="1">
      <c r="K1349" s="24"/>
    </row>
    <row r="1350" spans="11:11" ht="15" customHeight="1">
      <c r="K1350" s="24"/>
    </row>
    <row r="1351" spans="11:11" ht="15" customHeight="1">
      <c r="K1351" s="24"/>
    </row>
    <row r="1352" spans="11:11" ht="15" customHeight="1">
      <c r="K1352" s="24"/>
    </row>
    <row r="1353" spans="11:11" ht="15" customHeight="1">
      <c r="K1353" s="24"/>
    </row>
    <row r="1354" spans="11:11" ht="15" customHeight="1">
      <c r="K1354" s="24"/>
    </row>
    <row r="1355" spans="11:11" ht="15" customHeight="1">
      <c r="K1355" s="24"/>
    </row>
    <row r="1356" spans="11:11" ht="15" customHeight="1">
      <c r="K1356" s="24"/>
    </row>
    <row r="1357" spans="11:11" ht="15" customHeight="1">
      <c r="K1357" s="24"/>
    </row>
    <row r="1358" spans="11:11" ht="15" customHeight="1">
      <c r="K1358" s="24"/>
    </row>
    <row r="1359" spans="11:11" ht="15" customHeight="1">
      <c r="K1359" s="24"/>
    </row>
    <row r="1360" spans="11:11" ht="15" customHeight="1">
      <c r="K1360" s="24"/>
    </row>
    <row r="1361" spans="11:11" ht="15" customHeight="1">
      <c r="K1361" s="24"/>
    </row>
    <row r="1362" spans="11:11" ht="15" customHeight="1">
      <c r="K1362" s="24"/>
    </row>
    <row r="1363" spans="11:11" ht="15" customHeight="1">
      <c r="K1363" s="24"/>
    </row>
    <row r="1364" spans="11:11" ht="15" customHeight="1">
      <c r="K1364" s="24"/>
    </row>
    <row r="1365" spans="11:11" ht="15" customHeight="1">
      <c r="K1365" s="24"/>
    </row>
    <row r="1366" spans="11:11" ht="15" customHeight="1">
      <c r="K1366" s="24"/>
    </row>
    <row r="1367" spans="11:11" ht="15" customHeight="1">
      <c r="K1367" s="24"/>
    </row>
    <row r="1368" spans="11:11" ht="15" customHeight="1">
      <c r="K1368" s="24"/>
    </row>
    <row r="1369" spans="11:11" ht="15" customHeight="1">
      <c r="K1369" s="24"/>
    </row>
    <row r="1370" spans="11:11" ht="15" customHeight="1">
      <c r="K1370" s="24"/>
    </row>
    <row r="1371" spans="11:11" ht="15" customHeight="1">
      <c r="K1371" s="24"/>
    </row>
    <row r="1372" spans="11:11" ht="15" customHeight="1">
      <c r="K1372" s="24"/>
    </row>
    <row r="1373" spans="11:11" ht="15" customHeight="1">
      <c r="K1373" s="24"/>
    </row>
    <row r="1374" spans="11:11" ht="15" customHeight="1">
      <c r="K1374" s="24"/>
    </row>
    <row r="1375" spans="11:11" ht="15" customHeight="1">
      <c r="K1375" s="24"/>
    </row>
    <row r="1376" spans="11:11" ht="15" customHeight="1">
      <c r="K1376" s="24"/>
    </row>
    <row r="1377" spans="11:11" ht="15" customHeight="1">
      <c r="K1377" s="24"/>
    </row>
    <row r="1378" spans="11:11" ht="15" customHeight="1">
      <c r="K1378" s="24"/>
    </row>
    <row r="1379" spans="11:11" ht="15" customHeight="1">
      <c r="K1379" s="24"/>
    </row>
    <row r="1380" spans="11:11" ht="15" customHeight="1">
      <c r="K1380" s="24"/>
    </row>
    <row r="1381" spans="11:11" ht="15" customHeight="1">
      <c r="K1381" s="24"/>
    </row>
    <row r="1382" spans="11:11" ht="15" customHeight="1">
      <c r="K1382" s="24"/>
    </row>
    <row r="1383" spans="11:11" ht="15" customHeight="1">
      <c r="K1383" s="24"/>
    </row>
    <row r="1384" spans="11:11" ht="15" customHeight="1">
      <c r="K1384" s="24"/>
    </row>
    <row r="1385" spans="11:11" ht="15" customHeight="1">
      <c r="K1385" s="24"/>
    </row>
    <row r="1386" spans="11:11" ht="15" customHeight="1">
      <c r="K1386" s="24"/>
    </row>
    <row r="1387" spans="11:11" ht="15" customHeight="1">
      <c r="K1387" s="24"/>
    </row>
    <row r="1388" spans="11:11" ht="15" customHeight="1">
      <c r="K1388" s="24"/>
    </row>
    <row r="1389" spans="11:11" ht="15" customHeight="1">
      <c r="K1389" s="24"/>
    </row>
    <row r="1390" spans="11:11" ht="15" customHeight="1">
      <c r="K1390" s="24"/>
    </row>
    <row r="1391" spans="11:11" ht="15" customHeight="1">
      <c r="K1391" s="24"/>
    </row>
    <row r="1392" spans="11:11" ht="15" customHeight="1">
      <c r="K1392" s="24"/>
    </row>
    <row r="1393" spans="11:11" ht="15" customHeight="1">
      <c r="K1393" s="24"/>
    </row>
    <row r="1394" spans="11:11" ht="15" customHeight="1">
      <c r="K1394" s="24"/>
    </row>
    <row r="1395" spans="11:11" ht="15" customHeight="1">
      <c r="K1395" s="24"/>
    </row>
    <row r="1396" spans="11:11" ht="15" customHeight="1">
      <c r="K1396" s="24"/>
    </row>
    <row r="1397" spans="11:11" ht="15" customHeight="1">
      <c r="K1397" s="24"/>
    </row>
    <row r="1398" spans="11:11" ht="15" customHeight="1">
      <c r="K1398" s="24"/>
    </row>
    <row r="1399" spans="11:11" ht="15" customHeight="1">
      <c r="K1399" s="24"/>
    </row>
    <row r="1400" spans="11:11" ht="15" customHeight="1">
      <c r="K1400" s="24"/>
    </row>
    <row r="1401" spans="11:11" ht="15" customHeight="1">
      <c r="K1401" s="24"/>
    </row>
    <row r="1402" spans="11:11" ht="15" customHeight="1">
      <c r="K1402" s="24"/>
    </row>
    <row r="1403" spans="11:11" ht="15" customHeight="1">
      <c r="K1403" s="24"/>
    </row>
    <row r="1404" spans="11:11" ht="15" customHeight="1">
      <c r="K1404" s="24"/>
    </row>
    <row r="1405" spans="11:11" ht="15" customHeight="1">
      <c r="K1405" s="24"/>
    </row>
    <row r="1406" spans="11:11" ht="15" customHeight="1">
      <c r="K1406" s="24"/>
    </row>
    <row r="1407" spans="11:11" ht="15" customHeight="1">
      <c r="K1407" s="24"/>
    </row>
    <row r="1408" spans="11:11" ht="15" customHeight="1">
      <c r="K1408" s="24"/>
    </row>
    <row r="1409" spans="11:11" ht="15" customHeight="1">
      <c r="K1409" s="24"/>
    </row>
    <row r="1410" spans="11:11" ht="15" customHeight="1">
      <c r="K1410" s="24"/>
    </row>
    <row r="1411" spans="11:11" ht="15" customHeight="1">
      <c r="K1411" s="24"/>
    </row>
    <row r="1412" spans="11:11" ht="15" customHeight="1">
      <c r="K1412" s="24"/>
    </row>
    <row r="1413" spans="11:11" ht="15" customHeight="1">
      <c r="K1413" s="24"/>
    </row>
    <row r="1414" spans="11:11" ht="15" customHeight="1">
      <c r="K1414" s="24"/>
    </row>
    <row r="1415" spans="11:11" ht="15" customHeight="1">
      <c r="K1415" s="24"/>
    </row>
    <row r="1416" spans="11:11" ht="15" customHeight="1">
      <c r="K1416" s="24"/>
    </row>
    <row r="1417" spans="11:11" ht="15" customHeight="1">
      <c r="K1417" s="24"/>
    </row>
    <row r="1418" spans="11:11" ht="15" customHeight="1">
      <c r="K1418" s="24"/>
    </row>
    <row r="1419" spans="11:11" ht="15" customHeight="1">
      <c r="K1419" s="24"/>
    </row>
    <row r="1420" spans="11:11" ht="15" customHeight="1">
      <c r="K1420" s="24"/>
    </row>
    <row r="1421" spans="11:11" ht="15" customHeight="1">
      <c r="K1421" s="24"/>
    </row>
    <row r="1422" spans="11:11" ht="15" customHeight="1">
      <c r="K1422" s="24"/>
    </row>
    <row r="1423" spans="11:11" ht="15" customHeight="1">
      <c r="K1423" s="24"/>
    </row>
    <row r="1424" spans="11:11" ht="15" customHeight="1">
      <c r="K1424" s="24"/>
    </row>
    <row r="1425" spans="11:11" ht="15" customHeight="1">
      <c r="K1425" s="24"/>
    </row>
    <row r="1426" spans="11:11" ht="15" customHeight="1">
      <c r="K1426" s="24"/>
    </row>
    <row r="1427" spans="11:11" ht="15" customHeight="1">
      <c r="K1427" s="24"/>
    </row>
    <row r="1428" spans="11:11" ht="15" customHeight="1">
      <c r="K1428" s="24"/>
    </row>
    <row r="1429" spans="11:11" ht="15" customHeight="1">
      <c r="K1429" s="24"/>
    </row>
    <row r="1430" spans="11:11" ht="15" customHeight="1">
      <c r="K1430" s="24"/>
    </row>
    <row r="1431" spans="11:11" ht="15" customHeight="1">
      <c r="K1431" s="24"/>
    </row>
    <row r="1432" spans="11:11" ht="15" customHeight="1">
      <c r="K1432" s="24"/>
    </row>
    <row r="1433" spans="11:11" ht="15" customHeight="1">
      <c r="K1433" s="24"/>
    </row>
    <row r="1434" spans="11:11" ht="15" customHeight="1">
      <c r="K1434" s="24"/>
    </row>
    <row r="1435" spans="11:11" ht="15" customHeight="1">
      <c r="K1435" s="24"/>
    </row>
    <row r="1436" spans="11:11" ht="15" customHeight="1">
      <c r="K1436" s="24"/>
    </row>
    <row r="1437" spans="11:11" ht="15" customHeight="1">
      <c r="K1437" s="24"/>
    </row>
    <row r="1438" spans="11:11" ht="15" customHeight="1">
      <c r="K1438" s="24"/>
    </row>
    <row r="1439" spans="11:11" ht="15" customHeight="1">
      <c r="K1439" s="24"/>
    </row>
    <row r="1440" spans="11:11" ht="15" customHeight="1">
      <c r="K1440" s="24"/>
    </row>
    <row r="1441" spans="11:11" ht="15" customHeight="1">
      <c r="K1441" s="24"/>
    </row>
    <row r="1442" spans="11:11" ht="15" customHeight="1">
      <c r="K1442" s="24"/>
    </row>
    <row r="1443" spans="11:11" ht="15" customHeight="1">
      <c r="K1443" s="24"/>
    </row>
    <row r="1444" spans="11:11" ht="15" customHeight="1">
      <c r="K1444" s="24"/>
    </row>
    <row r="1445" spans="11:11" ht="15" customHeight="1">
      <c r="K1445" s="24"/>
    </row>
    <row r="1446" spans="11:11" ht="15" customHeight="1">
      <c r="K1446" s="24"/>
    </row>
    <row r="1447" spans="11:11" ht="15" customHeight="1">
      <c r="K1447" s="24"/>
    </row>
    <row r="1448" spans="11:11" ht="15" customHeight="1">
      <c r="K1448" s="24"/>
    </row>
    <row r="1449" spans="11:11" ht="15" customHeight="1">
      <c r="K1449" s="24"/>
    </row>
    <row r="1450" spans="11:11" ht="15" customHeight="1">
      <c r="K1450" s="24"/>
    </row>
    <row r="1451" spans="11:11" ht="15" customHeight="1">
      <c r="K1451" s="24"/>
    </row>
    <row r="1452" spans="11:11" ht="15" customHeight="1">
      <c r="K1452" s="24"/>
    </row>
    <row r="1453" spans="11:11" ht="15" customHeight="1">
      <c r="K1453" s="24"/>
    </row>
    <row r="1454" spans="11:11" ht="15" customHeight="1">
      <c r="K1454" s="24"/>
    </row>
    <row r="1455" spans="11:11" ht="15" customHeight="1">
      <c r="K1455" s="24"/>
    </row>
    <row r="1456" spans="11:11" ht="15" customHeight="1">
      <c r="K1456" s="24"/>
    </row>
    <row r="1457" spans="11:11" ht="15" customHeight="1">
      <c r="K1457" s="24"/>
    </row>
    <row r="1458" spans="11:11" ht="15" customHeight="1">
      <c r="K1458" s="24"/>
    </row>
    <row r="1459" spans="11:11" ht="15" customHeight="1">
      <c r="K1459" s="24"/>
    </row>
    <row r="1460" spans="11:11" ht="15" customHeight="1">
      <c r="K1460" s="24"/>
    </row>
    <row r="1461" spans="11:11" ht="15" customHeight="1">
      <c r="K1461" s="24"/>
    </row>
    <row r="1462" spans="11:11" ht="15" customHeight="1">
      <c r="K1462" s="24"/>
    </row>
    <row r="1463" spans="11:11" ht="15" customHeight="1">
      <c r="K1463" s="24"/>
    </row>
    <row r="1464" spans="11:11" ht="15" customHeight="1">
      <c r="K1464" s="24"/>
    </row>
    <row r="1465" spans="11:11" ht="15" customHeight="1">
      <c r="K1465" s="24"/>
    </row>
    <row r="1466" spans="11:11" ht="15" customHeight="1">
      <c r="K1466" s="24"/>
    </row>
    <row r="1467" spans="11:11" ht="15" customHeight="1">
      <c r="K1467" s="24"/>
    </row>
    <row r="1468" spans="11:11" ht="15" customHeight="1">
      <c r="K1468" s="24"/>
    </row>
    <row r="1469" spans="11:11" ht="15" customHeight="1">
      <c r="K1469" s="24"/>
    </row>
    <row r="1470" spans="11:11" ht="15" customHeight="1">
      <c r="K1470" s="24"/>
    </row>
    <row r="1471" spans="11:11" ht="15" customHeight="1">
      <c r="K1471" s="24"/>
    </row>
    <row r="1472" spans="11:11" ht="15" customHeight="1">
      <c r="K1472" s="24"/>
    </row>
    <row r="1473" spans="11:11" ht="15" customHeight="1">
      <c r="K1473" s="24"/>
    </row>
    <row r="1474" spans="11:11" ht="15" customHeight="1">
      <c r="K1474" s="24"/>
    </row>
    <row r="1475" spans="11:11" ht="15" customHeight="1">
      <c r="K1475" s="24"/>
    </row>
    <row r="1476" spans="11:11" ht="15" customHeight="1">
      <c r="K1476" s="24"/>
    </row>
    <row r="1477" spans="11:11" ht="15" customHeight="1">
      <c r="K1477" s="24"/>
    </row>
    <row r="1478" spans="11:11" ht="15" customHeight="1">
      <c r="K1478" s="24"/>
    </row>
    <row r="1479" spans="11:11" ht="15" customHeight="1">
      <c r="K1479" s="24"/>
    </row>
    <row r="1480" spans="11:11" ht="15" customHeight="1">
      <c r="K1480" s="24"/>
    </row>
    <row r="1481" spans="11:11" ht="15" customHeight="1">
      <c r="K1481" s="24"/>
    </row>
    <row r="1482" spans="11:11" ht="15" customHeight="1">
      <c r="K1482" s="24"/>
    </row>
    <row r="1483" spans="11:11" ht="15" customHeight="1">
      <c r="K1483" s="24"/>
    </row>
    <row r="1484" spans="11:11" ht="15" customHeight="1">
      <c r="K1484" s="24"/>
    </row>
    <row r="1485" spans="11:11" ht="15" customHeight="1">
      <c r="K1485" s="24"/>
    </row>
    <row r="1486" spans="11:11" ht="15" customHeight="1">
      <c r="K1486" s="24"/>
    </row>
    <row r="1487" spans="11:11" ht="15" customHeight="1">
      <c r="K1487" s="24"/>
    </row>
    <row r="1488" spans="11:11" ht="15" customHeight="1">
      <c r="K1488" s="24"/>
    </row>
    <row r="1489" spans="11:11" ht="15" customHeight="1">
      <c r="K1489" s="24"/>
    </row>
    <row r="1490" spans="11:11" ht="15" customHeight="1">
      <c r="K1490" s="24"/>
    </row>
    <row r="1491" spans="11:11" ht="15" customHeight="1">
      <c r="K1491" s="24"/>
    </row>
    <row r="1492" spans="11:11" ht="15" customHeight="1">
      <c r="K1492" s="24"/>
    </row>
    <row r="1493" spans="11:11" ht="15" customHeight="1">
      <c r="K1493" s="24"/>
    </row>
    <row r="1494" spans="11:11" ht="15" customHeight="1">
      <c r="K1494" s="24"/>
    </row>
    <row r="1495" spans="11:11" ht="15" customHeight="1">
      <c r="K1495" s="24"/>
    </row>
    <row r="1496" spans="11:11" ht="15" customHeight="1">
      <c r="K1496" s="24"/>
    </row>
    <row r="1497" spans="11:11" ht="15" customHeight="1">
      <c r="K1497" s="24"/>
    </row>
    <row r="1498" spans="11:11" ht="15" customHeight="1">
      <c r="K1498" s="24"/>
    </row>
    <row r="1499" spans="11:11" ht="15" customHeight="1">
      <c r="K1499" s="24"/>
    </row>
    <row r="1500" spans="11:11" ht="15" customHeight="1">
      <c r="K1500" s="24"/>
    </row>
    <row r="1501" spans="11:11" ht="15" customHeight="1">
      <c r="K1501" s="24"/>
    </row>
    <row r="1502" spans="11:11" ht="15" customHeight="1">
      <c r="K1502" s="24"/>
    </row>
    <row r="1503" spans="11:11" ht="15" customHeight="1">
      <c r="K1503" s="24"/>
    </row>
    <row r="1504" spans="11:11" ht="15" customHeight="1">
      <c r="K1504" s="24"/>
    </row>
    <row r="1505" spans="11:11" ht="15" customHeight="1">
      <c r="K1505" s="24"/>
    </row>
    <row r="1506" spans="11:11" ht="15" customHeight="1">
      <c r="K1506" s="24"/>
    </row>
    <row r="1507" spans="11:11" ht="15" customHeight="1">
      <c r="K1507" s="24"/>
    </row>
    <row r="1508" spans="11:11" ht="15" customHeight="1">
      <c r="K1508" s="24"/>
    </row>
    <row r="1509" spans="11:11" ht="15" customHeight="1">
      <c r="K1509" s="24"/>
    </row>
    <row r="1510" spans="11:11" ht="15" customHeight="1">
      <c r="K1510" s="24"/>
    </row>
    <row r="1511" spans="11:11" ht="15" customHeight="1">
      <c r="K1511" s="24"/>
    </row>
    <row r="1512" spans="11:11" ht="15" customHeight="1">
      <c r="K1512" s="24"/>
    </row>
    <row r="1513" spans="11:11" ht="15" customHeight="1">
      <c r="K1513" s="24"/>
    </row>
    <row r="1514" spans="11:11" ht="15" customHeight="1">
      <c r="K1514" s="24"/>
    </row>
    <row r="1515" spans="11:11" ht="15" customHeight="1">
      <c r="K1515" s="24"/>
    </row>
    <row r="1516" spans="11:11" ht="15" customHeight="1">
      <c r="K1516" s="24"/>
    </row>
    <row r="1517" spans="11:11" ht="15" customHeight="1">
      <c r="K1517" s="24"/>
    </row>
    <row r="1518" spans="11:11" ht="15" customHeight="1">
      <c r="K1518" s="24"/>
    </row>
    <row r="1519" spans="11:11" ht="15" customHeight="1">
      <c r="K1519" s="24"/>
    </row>
    <row r="1520" spans="11:11" ht="15" customHeight="1">
      <c r="K1520" s="24"/>
    </row>
    <row r="1521" spans="11:11" ht="15" customHeight="1">
      <c r="K1521" s="24"/>
    </row>
    <row r="1522" spans="11:11" ht="15" customHeight="1">
      <c r="K1522" s="24"/>
    </row>
    <row r="1523" spans="11:11" ht="15" customHeight="1">
      <c r="K1523" s="24"/>
    </row>
    <row r="1524" spans="11:11" ht="15" customHeight="1">
      <c r="K1524" s="24"/>
    </row>
    <row r="1525" spans="11:11" ht="15" customHeight="1">
      <c r="K1525" s="24"/>
    </row>
    <row r="1526" spans="11:11" ht="15" customHeight="1">
      <c r="K1526" s="24"/>
    </row>
    <row r="1527" spans="11:11" ht="15" customHeight="1">
      <c r="K1527" s="24"/>
    </row>
    <row r="1528" spans="11:11" ht="15" customHeight="1">
      <c r="K1528" s="24"/>
    </row>
    <row r="1529" spans="11:11" ht="15" customHeight="1">
      <c r="K1529" s="24"/>
    </row>
    <row r="1530" spans="11:11" ht="15" customHeight="1">
      <c r="K1530" s="24"/>
    </row>
    <row r="1531" spans="11:11" ht="15" customHeight="1">
      <c r="K1531" s="24"/>
    </row>
    <row r="1532" spans="11:11" ht="15" customHeight="1">
      <c r="K1532" s="24"/>
    </row>
    <row r="1533" spans="11:11" ht="15" customHeight="1">
      <c r="K1533" s="24"/>
    </row>
    <row r="1534" spans="11:11" ht="15" customHeight="1">
      <c r="K1534" s="24"/>
    </row>
    <row r="1535" spans="11:11" ht="15" customHeight="1">
      <c r="K1535" s="24"/>
    </row>
    <row r="1536" spans="11:11" ht="15" customHeight="1">
      <c r="K1536" s="24"/>
    </row>
    <row r="1537" spans="11:11" ht="15" customHeight="1">
      <c r="K1537" s="24"/>
    </row>
    <row r="1538" spans="11:11" ht="15" customHeight="1">
      <c r="K1538" s="24"/>
    </row>
    <row r="1539" spans="11:11" ht="15" customHeight="1">
      <c r="K1539" s="24"/>
    </row>
    <row r="1540" spans="11:11" ht="15" customHeight="1">
      <c r="K1540" s="24"/>
    </row>
    <row r="1541" spans="11:11" ht="15" customHeight="1">
      <c r="K1541" s="24"/>
    </row>
    <row r="1542" spans="11:11" ht="15" customHeight="1">
      <c r="K1542" s="24"/>
    </row>
    <row r="1543" spans="11:11" ht="15" customHeight="1">
      <c r="K1543" s="24"/>
    </row>
    <row r="1544" spans="11:11" ht="15" customHeight="1">
      <c r="K1544" s="24"/>
    </row>
    <row r="1545" spans="11:11" ht="15" customHeight="1">
      <c r="K1545" s="24"/>
    </row>
    <row r="1546" spans="11:11" ht="15" customHeight="1">
      <c r="K1546" s="24"/>
    </row>
    <row r="1547" spans="11:11" ht="15" customHeight="1">
      <c r="K1547" s="24"/>
    </row>
    <row r="1548" spans="11:11" ht="15" customHeight="1">
      <c r="K1548" s="24"/>
    </row>
    <row r="1549" spans="11:11" ht="15" customHeight="1">
      <c r="K1549" s="24"/>
    </row>
    <row r="1550" spans="11:11" ht="15" customHeight="1">
      <c r="K1550" s="24"/>
    </row>
    <row r="1551" spans="11:11" ht="15" customHeight="1">
      <c r="K1551" s="24"/>
    </row>
    <row r="1552" spans="11:11" ht="15" customHeight="1">
      <c r="K1552" s="24"/>
    </row>
    <row r="1553" spans="11:11" ht="15" customHeight="1">
      <c r="K1553" s="24"/>
    </row>
    <row r="1554" spans="11:11" ht="15" customHeight="1">
      <c r="K1554" s="24"/>
    </row>
    <row r="1555" spans="11:11" ht="15" customHeight="1">
      <c r="K1555" s="24"/>
    </row>
    <row r="1556" spans="11:11" ht="15" customHeight="1">
      <c r="K1556" s="24"/>
    </row>
    <row r="1557" spans="11:11" ht="15" customHeight="1">
      <c r="K1557" s="24"/>
    </row>
    <row r="1558" spans="11:11" ht="15" customHeight="1">
      <c r="K1558" s="24"/>
    </row>
    <row r="1559" spans="11:11" ht="15" customHeight="1">
      <c r="K1559" s="24"/>
    </row>
    <row r="1560" spans="11:11" ht="15" customHeight="1">
      <c r="K1560" s="24"/>
    </row>
    <row r="1561" spans="11:11" ht="15" customHeight="1">
      <c r="K1561" s="24"/>
    </row>
    <row r="1562" spans="11:11" ht="15" customHeight="1">
      <c r="K1562" s="24"/>
    </row>
    <row r="1563" spans="11:11" ht="15" customHeight="1">
      <c r="K1563" s="24"/>
    </row>
    <row r="1564" spans="11:11" ht="15" customHeight="1">
      <c r="K1564" s="24"/>
    </row>
    <row r="1565" spans="11:11" ht="15" customHeight="1">
      <c r="K1565" s="24"/>
    </row>
    <row r="1566" spans="11:11" ht="15" customHeight="1">
      <c r="K1566" s="24"/>
    </row>
    <row r="1567" spans="11:11" ht="15" customHeight="1">
      <c r="K1567" s="24"/>
    </row>
    <row r="1568" spans="11:11" ht="15" customHeight="1">
      <c r="K1568" s="24"/>
    </row>
    <row r="1569" spans="11:11" ht="15" customHeight="1">
      <c r="K1569" s="24"/>
    </row>
    <row r="1570" spans="11:11" ht="15" customHeight="1">
      <c r="K1570" s="24"/>
    </row>
    <row r="1571" spans="11:11" ht="15" customHeight="1">
      <c r="K1571" s="24"/>
    </row>
    <row r="1572" spans="11:11" ht="15" customHeight="1">
      <c r="K1572" s="24"/>
    </row>
    <row r="1573" spans="11:11" ht="15" customHeight="1">
      <c r="K1573" s="24"/>
    </row>
    <row r="1574" spans="11:11" ht="15" customHeight="1">
      <c r="K1574" s="24"/>
    </row>
    <row r="1575" spans="11:11" ht="15" customHeight="1">
      <c r="K1575" s="24"/>
    </row>
    <row r="1576" spans="11:11" ht="15" customHeight="1">
      <c r="K1576" s="24"/>
    </row>
    <row r="1577" spans="11:11" ht="15" customHeight="1">
      <c r="K1577" s="24"/>
    </row>
    <row r="1578" spans="11:11" ht="15" customHeight="1">
      <c r="K1578" s="24"/>
    </row>
    <row r="1579" spans="11:11" ht="15" customHeight="1">
      <c r="K1579" s="24"/>
    </row>
    <row r="1580" spans="11:11" ht="15" customHeight="1">
      <c r="K1580" s="24"/>
    </row>
    <row r="1581" spans="11:11" ht="15" customHeight="1">
      <c r="K1581" s="24"/>
    </row>
    <row r="1582" spans="11:11" ht="15" customHeight="1">
      <c r="K1582" s="24"/>
    </row>
    <row r="1583" spans="11:11" ht="15" customHeight="1">
      <c r="K1583" s="24"/>
    </row>
    <row r="1584" spans="11:11" ht="15" customHeight="1">
      <c r="K1584" s="24"/>
    </row>
    <row r="1585" spans="11:11" ht="15" customHeight="1">
      <c r="K1585" s="24"/>
    </row>
    <row r="1586" spans="11:11" ht="15" customHeight="1">
      <c r="K1586" s="24"/>
    </row>
    <row r="1587" spans="11:11" ht="15" customHeight="1">
      <c r="K1587" s="24"/>
    </row>
    <row r="1588" spans="11:11" ht="15" customHeight="1">
      <c r="K1588" s="24"/>
    </row>
    <row r="1589" spans="11:11" ht="15" customHeight="1">
      <c r="K1589" s="24"/>
    </row>
    <row r="1590" spans="11:11" ht="15" customHeight="1">
      <c r="K1590" s="24"/>
    </row>
    <row r="1591" spans="11:11" ht="15" customHeight="1">
      <c r="K1591" s="24"/>
    </row>
    <row r="1592" spans="11:11" ht="15" customHeight="1">
      <c r="K1592" s="24"/>
    </row>
    <row r="1593" spans="11:11" ht="15" customHeight="1">
      <c r="K1593" s="24"/>
    </row>
    <row r="1594" spans="11:11" ht="15" customHeight="1">
      <c r="K1594" s="24"/>
    </row>
    <row r="1595" spans="11:11" ht="15" customHeight="1">
      <c r="K1595" s="24"/>
    </row>
    <row r="1596" spans="11:11" ht="15" customHeight="1">
      <c r="K1596" s="24"/>
    </row>
    <row r="1597" spans="11:11" ht="15" customHeight="1">
      <c r="K1597" s="24"/>
    </row>
    <row r="1598" spans="11:11" ht="15" customHeight="1">
      <c r="K1598" s="24"/>
    </row>
    <row r="1599" spans="11:11" ht="15" customHeight="1">
      <c r="K1599" s="24"/>
    </row>
    <row r="1600" spans="11:11" ht="15" customHeight="1">
      <c r="K1600" s="24"/>
    </row>
    <row r="1601" spans="11:11" ht="15" customHeight="1">
      <c r="K1601" s="24"/>
    </row>
    <row r="1602" spans="11:11" ht="15" customHeight="1">
      <c r="K1602" s="24"/>
    </row>
    <row r="1603" spans="11:11" ht="15" customHeight="1">
      <c r="K1603" s="24"/>
    </row>
    <row r="1604" spans="11:11" ht="15" customHeight="1">
      <c r="K1604" s="24"/>
    </row>
    <row r="1605" spans="11:11" ht="15" customHeight="1">
      <c r="K1605" s="24"/>
    </row>
    <row r="1606" spans="11:11" ht="15" customHeight="1">
      <c r="K1606" s="24"/>
    </row>
    <row r="1607" spans="11:11" ht="15" customHeight="1">
      <c r="K1607" s="24"/>
    </row>
    <row r="1608" spans="11:11" ht="15" customHeight="1">
      <c r="K1608" s="24"/>
    </row>
    <row r="1609" spans="11:11" ht="15" customHeight="1">
      <c r="K1609" s="24"/>
    </row>
    <row r="1610" spans="11:11" ht="15" customHeight="1">
      <c r="K1610" s="24"/>
    </row>
    <row r="1611" spans="11:11" ht="15" customHeight="1">
      <c r="K1611" s="24"/>
    </row>
    <row r="1612" spans="11:11" ht="15" customHeight="1">
      <c r="K1612" s="24"/>
    </row>
    <row r="1613" spans="11:11" ht="15" customHeight="1">
      <c r="K1613" s="24"/>
    </row>
    <row r="1614" spans="11:11" ht="15" customHeight="1">
      <c r="K1614" s="24"/>
    </row>
    <row r="1615" spans="11:11" ht="15" customHeight="1">
      <c r="K1615" s="24"/>
    </row>
    <row r="1616" spans="11:11" ht="15" customHeight="1">
      <c r="K1616" s="24"/>
    </row>
    <row r="1617" spans="11:11" ht="15" customHeight="1">
      <c r="K1617" s="24"/>
    </row>
    <row r="1618" spans="11:11" ht="15" customHeight="1">
      <c r="K1618" s="24"/>
    </row>
    <row r="1619" spans="11:11" ht="15" customHeight="1">
      <c r="K1619" s="24"/>
    </row>
    <row r="1620" spans="11:11" ht="15" customHeight="1">
      <c r="K1620" s="24"/>
    </row>
    <row r="1621" spans="11:11" ht="15" customHeight="1">
      <c r="K1621" s="24"/>
    </row>
    <row r="1622" spans="11:11" ht="15" customHeight="1">
      <c r="K1622" s="24"/>
    </row>
    <row r="1623" spans="11:11" ht="15" customHeight="1">
      <c r="K1623" s="24"/>
    </row>
    <row r="1624" spans="11:11" ht="15" customHeight="1">
      <c r="K1624" s="24"/>
    </row>
    <row r="1625" spans="11:11" ht="15" customHeight="1">
      <c r="K1625" s="24"/>
    </row>
    <row r="1626" spans="11:11" ht="15" customHeight="1">
      <c r="K1626" s="24"/>
    </row>
    <row r="1627" spans="11:11" ht="15" customHeight="1">
      <c r="K1627" s="24"/>
    </row>
    <row r="1628" spans="11:11" ht="15" customHeight="1">
      <c r="K1628" s="24"/>
    </row>
    <row r="1629" spans="11:11" ht="15" customHeight="1">
      <c r="K1629" s="24"/>
    </row>
    <row r="1630" spans="11:11" ht="15" customHeight="1">
      <c r="K1630" s="24"/>
    </row>
    <row r="1631" spans="11:11" ht="15" customHeight="1">
      <c r="K1631" s="24"/>
    </row>
    <row r="1632" spans="11:11" ht="15" customHeight="1">
      <c r="K1632" s="24"/>
    </row>
    <row r="1633" spans="11:11" ht="15" customHeight="1">
      <c r="K1633" s="24"/>
    </row>
    <row r="1634" spans="11:11" ht="15" customHeight="1">
      <c r="K1634" s="24"/>
    </row>
    <row r="1635" spans="11:11" ht="15" customHeight="1">
      <c r="K1635" s="24"/>
    </row>
    <row r="1636" spans="11:11" ht="15" customHeight="1">
      <c r="K1636" s="24"/>
    </row>
    <row r="1637" spans="11:11" ht="15" customHeight="1">
      <c r="K1637" s="24"/>
    </row>
    <row r="1638" spans="11:11" ht="15" customHeight="1">
      <c r="K1638" s="24"/>
    </row>
    <row r="1639" spans="11:11" ht="15" customHeight="1">
      <c r="K1639" s="24"/>
    </row>
    <row r="1640" spans="11:11" ht="15" customHeight="1">
      <c r="K1640" s="24"/>
    </row>
    <row r="1641" spans="11:11" ht="15" customHeight="1">
      <c r="K1641" s="24"/>
    </row>
    <row r="1642" spans="11:11" ht="15" customHeight="1">
      <c r="K1642" s="24"/>
    </row>
    <row r="1643" spans="11:11" ht="15" customHeight="1">
      <c r="K1643" s="24"/>
    </row>
    <row r="1644" spans="11:11" ht="15" customHeight="1">
      <c r="K1644" s="24"/>
    </row>
    <row r="1645" spans="11:11" ht="15" customHeight="1">
      <c r="K1645" s="24"/>
    </row>
    <row r="1646" spans="11:11" ht="15" customHeight="1">
      <c r="K1646" s="24"/>
    </row>
    <row r="1647" spans="11:11" ht="15" customHeight="1">
      <c r="K1647" s="24"/>
    </row>
    <row r="1648" spans="11:11" ht="15" customHeight="1">
      <c r="K1648" s="24"/>
    </row>
    <row r="1649" spans="11:11" ht="15" customHeight="1">
      <c r="K1649" s="24"/>
    </row>
    <row r="1650" spans="11:11" ht="15" customHeight="1">
      <c r="K1650" s="24"/>
    </row>
    <row r="1651" spans="11:11" ht="15" customHeight="1">
      <c r="K1651" s="24"/>
    </row>
    <row r="1652" spans="11:11" ht="15" customHeight="1">
      <c r="K1652" s="24"/>
    </row>
    <row r="1653" spans="11:11" ht="15" customHeight="1">
      <c r="K1653" s="24"/>
    </row>
    <row r="1654" spans="11:11" ht="15" customHeight="1">
      <c r="K1654" s="24"/>
    </row>
    <row r="1655" spans="11:11" ht="15" customHeight="1">
      <c r="K1655" s="24"/>
    </row>
    <row r="1656" spans="11:11" ht="15" customHeight="1">
      <c r="K1656" s="24"/>
    </row>
    <row r="1657" spans="11:11" ht="15" customHeight="1">
      <c r="K1657" s="24"/>
    </row>
    <row r="1658" spans="11:11" ht="15" customHeight="1">
      <c r="K1658" s="24"/>
    </row>
    <row r="1659" spans="11:11" ht="15" customHeight="1">
      <c r="K1659" s="24"/>
    </row>
    <row r="1660" spans="11:11" ht="15" customHeight="1">
      <c r="K1660" s="24"/>
    </row>
    <row r="1661" spans="11:11" ht="15" customHeight="1">
      <c r="K1661" s="24"/>
    </row>
    <row r="1662" spans="11:11" ht="15" customHeight="1">
      <c r="K1662" s="24"/>
    </row>
    <row r="1663" spans="11:11" ht="15" customHeight="1">
      <c r="K1663" s="24"/>
    </row>
    <row r="1664" spans="11:11" ht="15" customHeight="1">
      <c r="K1664" s="24"/>
    </row>
    <row r="1665" spans="11:11" ht="15" customHeight="1">
      <c r="K1665" s="24"/>
    </row>
    <row r="1666" spans="11:11" ht="15" customHeight="1">
      <c r="K1666" s="24"/>
    </row>
    <row r="1667" spans="11:11" ht="15" customHeight="1">
      <c r="K1667" s="24"/>
    </row>
    <row r="1668" spans="11:11" ht="15" customHeight="1">
      <c r="K1668" s="24"/>
    </row>
    <row r="1669" spans="11:11" ht="15" customHeight="1">
      <c r="K1669" s="24"/>
    </row>
    <row r="1670" spans="11:11" ht="15" customHeight="1">
      <c r="K1670" s="24"/>
    </row>
    <row r="1671" spans="11:11" ht="15" customHeight="1">
      <c r="K1671" s="24"/>
    </row>
    <row r="1672" spans="11:11" ht="15" customHeight="1">
      <c r="K1672" s="24"/>
    </row>
    <row r="1673" spans="11:11" ht="15" customHeight="1">
      <c r="K1673" s="24"/>
    </row>
    <row r="1674" spans="11:11" ht="15" customHeight="1">
      <c r="K1674" s="24"/>
    </row>
    <row r="1675" spans="11:11" ht="15" customHeight="1">
      <c r="K1675" s="24"/>
    </row>
    <row r="1676" spans="11:11" ht="15" customHeight="1">
      <c r="K1676" s="24"/>
    </row>
    <row r="1677" spans="11:11" ht="15" customHeight="1">
      <c r="K1677" s="24"/>
    </row>
    <row r="1678" spans="11:11" ht="15" customHeight="1">
      <c r="K1678" s="24"/>
    </row>
    <row r="1679" spans="11:11" ht="15" customHeight="1">
      <c r="K1679" s="24"/>
    </row>
    <row r="1680" spans="11:11" ht="15" customHeight="1">
      <c r="K1680" s="24"/>
    </row>
    <row r="1681" spans="11:11" ht="15" customHeight="1">
      <c r="K1681" s="24"/>
    </row>
    <row r="1682" spans="11:11" ht="15" customHeight="1">
      <c r="K1682" s="24"/>
    </row>
    <row r="1683" spans="11:11" ht="15" customHeight="1">
      <c r="K1683" s="24"/>
    </row>
    <row r="1684" spans="11:11" ht="15" customHeight="1">
      <c r="K1684" s="24"/>
    </row>
    <row r="1685" spans="11:11" ht="15" customHeight="1">
      <c r="K1685" s="24"/>
    </row>
    <row r="1686" spans="11:11" ht="15" customHeight="1">
      <c r="K1686" s="24"/>
    </row>
    <row r="1687" spans="11:11" ht="15" customHeight="1">
      <c r="K1687" s="24"/>
    </row>
    <row r="1688" spans="11:11" ht="15" customHeight="1">
      <c r="K1688" s="24"/>
    </row>
    <row r="1689" spans="11:11" ht="15" customHeight="1">
      <c r="K1689" s="24"/>
    </row>
    <row r="1690" spans="11:11" ht="15" customHeight="1">
      <c r="K1690" s="24"/>
    </row>
    <row r="1691" spans="11:11" ht="15" customHeight="1">
      <c r="K1691" s="24"/>
    </row>
    <row r="1692" spans="11:11" ht="15" customHeight="1">
      <c r="K1692" s="24"/>
    </row>
    <row r="1693" spans="11:11" ht="15" customHeight="1">
      <c r="K1693" s="24"/>
    </row>
    <row r="1694" spans="11:11" ht="15" customHeight="1">
      <c r="K1694" s="24"/>
    </row>
    <row r="1695" spans="11:11" ht="15" customHeight="1">
      <c r="K1695" s="24"/>
    </row>
    <row r="1696" spans="11:11" ht="15" customHeight="1">
      <c r="K1696" s="24"/>
    </row>
    <row r="1697" spans="11:11" ht="15" customHeight="1">
      <c r="K1697" s="24"/>
    </row>
    <row r="1698" spans="11:11" ht="15" customHeight="1">
      <c r="K1698" s="24"/>
    </row>
    <row r="1699" spans="11:11" ht="15" customHeight="1">
      <c r="K1699" s="24"/>
    </row>
    <row r="1700" spans="11:11" ht="15" customHeight="1">
      <c r="K1700" s="24"/>
    </row>
    <row r="1701" spans="11:11" ht="15" customHeight="1">
      <c r="K1701" s="24"/>
    </row>
    <row r="1702" spans="11:11" ht="15" customHeight="1">
      <c r="K1702" s="24"/>
    </row>
    <row r="1703" spans="11:11" ht="15" customHeight="1">
      <c r="K1703" s="24"/>
    </row>
    <row r="1704" spans="11:11" ht="15" customHeight="1">
      <c r="K1704" s="24"/>
    </row>
    <row r="1705" spans="11:11" ht="15" customHeight="1">
      <c r="K1705" s="24"/>
    </row>
    <row r="1706" spans="11:11" ht="15" customHeight="1">
      <c r="K1706" s="24"/>
    </row>
    <row r="1707" spans="11:11" ht="15" customHeight="1">
      <c r="K1707" s="24"/>
    </row>
    <row r="1708" spans="11:11" ht="15" customHeight="1">
      <c r="K1708" s="24"/>
    </row>
    <row r="1709" spans="11:11" ht="15" customHeight="1">
      <c r="K1709" s="24"/>
    </row>
    <row r="1710" spans="11:11" ht="15" customHeight="1">
      <c r="K1710" s="24"/>
    </row>
    <row r="1711" spans="11:11" ht="15" customHeight="1">
      <c r="K1711" s="24"/>
    </row>
    <row r="1712" spans="11:11" ht="15" customHeight="1">
      <c r="K1712" s="24"/>
    </row>
    <row r="1713" spans="11:11" ht="15" customHeight="1">
      <c r="K1713" s="24"/>
    </row>
    <row r="1714" spans="11:11" ht="15" customHeight="1">
      <c r="K1714" s="24"/>
    </row>
    <row r="1715" spans="11:11" ht="15" customHeight="1">
      <c r="K1715" s="24"/>
    </row>
    <row r="1716" spans="11:11" ht="15" customHeight="1">
      <c r="K1716" s="24"/>
    </row>
    <row r="1717" spans="11:11" ht="15" customHeight="1">
      <c r="K1717" s="24"/>
    </row>
    <row r="1718" spans="11:11" ht="15" customHeight="1">
      <c r="K1718" s="24"/>
    </row>
    <row r="1719" spans="11:11" ht="15" customHeight="1">
      <c r="K1719" s="24"/>
    </row>
    <row r="1720" spans="11:11" ht="15" customHeight="1">
      <c r="K1720" s="24"/>
    </row>
    <row r="1721" spans="11:11" ht="15" customHeight="1">
      <c r="K1721" s="24"/>
    </row>
    <row r="1722" spans="11:11" ht="15" customHeight="1">
      <c r="K1722" s="24"/>
    </row>
    <row r="1723" spans="11:11" ht="15" customHeight="1">
      <c r="K1723" s="24"/>
    </row>
    <row r="1724" spans="11:11" ht="15" customHeight="1">
      <c r="K1724" s="24"/>
    </row>
    <row r="1725" spans="11:11" ht="15" customHeight="1">
      <c r="K1725" s="24"/>
    </row>
    <row r="1726" spans="11:11" ht="15" customHeight="1">
      <c r="K1726" s="24"/>
    </row>
    <row r="1727" spans="11:11" ht="15" customHeight="1">
      <c r="K1727" s="24"/>
    </row>
    <row r="1728" spans="11:11" ht="15" customHeight="1">
      <c r="K1728" s="24"/>
    </row>
    <row r="1729" spans="11:11" ht="15" customHeight="1">
      <c r="K1729" s="24"/>
    </row>
    <row r="1730" spans="11:11" ht="15" customHeight="1">
      <c r="K1730" s="24"/>
    </row>
    <row r="1731" spans="11:11" ht="15" customHeight="1">
      <c r="K1731" s="24"/>
    </row>
    <row r="1732" spans="11:11" ht="15" customHeight="1">
      <c r="K1732" s="24"/>
    </row>
    <row r="1733" spans="11:11" ht="15" customHeight="1">
      <c r="K1733" s="24"/>
    </row>
    <row r="1734" spans="11:11" ht="15" customHeight="1">
      <c r="K1734" s="24"/>
    </row>
    <row r="1735" spans="11:11" ht="15" customHeight="1">
      <c r="K1735" s="24"/>
    </row>
    <row r="1736" spans="11:11" ht="15" customHeight="1">
      <c r="K1736" s="24"/>
    </row>
    <row r="1737" spans="11:11" ht="15" customHeight="1">
      <c r="K1737" s="24"/>
    </row>
    <row r="1738" spans="11:11" ht="15" customHeight="1">
      <c r="K1738" s="24"/>
    </row>
    <row r="1739" spans="11:11" ht="15" customHeight="1">
      <c r="K1739" s="24"/>
    </row>
    <row r="1740" spans="11:11" ht="15" customHeight="1">
      <c r="K1740" s="24"/>
    </row>
    <row r="1741" spans="11:11" ht="15" customHeight="1">
      <c r="K1741" s="24"/>
    </row>
    <row r="1742" spans="11:11" ht="15" customHeight="1">
      <c r="K1742" s="24"/>
    </row>
    <row r="1743" spans="11:11" ht="15" customHeight="1">
      <c r="K1743" s="24"/>
    </row>
    <row r="1744" spans="11:11" ht="15" customHeight="1">
      <c r="K1744" s="24"/>
    </row>
    <row r="1745" spans="11:11" ht="15" customHeight="1">
      <c r="K1745" s="24"/>
    </row>
    <row r="1746" spans="11:11" ht="15" customHeight="1">
      <c r="K1746" s="24"/>
    </row>
    <row r="1747" spans="11:11" ht="15" customHeight="1">
      <c r="K1747" s="24"/>
    </row>
    <row r="1748" spans="11:11" ht="15" customHeight="1">
      <c r="K1748" s="24"/>
    </row>
    <row r="1749" spans="11:11" ht="15" customHeight="1">
      <c r="K1749" s="24"/>
    </row>
    <row r="1750" spans="11:11" ht="15" customHeight="1">
      <c r="K1750" s="24"/>
    </row>
    <row r="1751" spans="11:11" ht="15" customHeight="1">
      <c r="K1751" s="24"/>
    </row>
    <row r="1752" spans="11:11" ht="15" customHeight="1">
      <c r="K1752" s="24"/>
    </row>
    <row r="1753" spans="11:11" ht="15" customHeight="1">
      <c r="K1753" s="24"/>
    </row>
    <row r="1754" spans="11:11" ht="15" customHeight="1">
      <c r="K1754" s="24"/>
    </row>
    <row r="1755" spans="11:11" ht="15" customHeight="1">
      <c r="K1755" s="24"/>
    </row>
    <row r="1756" spans="11:11" ht="15" customHeight="1">
      <c r="K1756" s="24"/>
    </row>
    <row r="1757" spans="11:11" ht="15" customHeight="1">
      <c r="K1757" s="24"/>
    </row>
    <row r="1758" spans="11:11" ht="15" customHeight="1">
      <c r="K1758" s="24"/>
    </row>
    <row r="1759" spans="11:11" ht="15" customHeight="1">
      <c r="K1759" s="24"/>
    </row>
    <row r="1760" spans="11:11" ht="15" customHeight="1">
      <c r="K1760" s="24"/>
    </row>
    <row r="1761" spans="11:11" ht="15" customHeight="1">
      <c r="K1761" s="24"/>
    </row>
    <row r="1762" spans="11:11" ht="15" customHeight="1">
      <c r="K1762" s="24"/>
    </row>
    <row r="1763" spans="11:11" ht="15" customHeight="1">
      <c r="K1763" s="24"/>
    </row>
    <row r="1764" spans="11:11" ht="15" customHeight="1">
      <c r="K1764" s="24"/>
    </row>
    <row r="1765" spans="11:11" ht="15" customHeight="1">
      <c r="K1765" s="24"/>
    </row>
    <row r="1766" spans="11:11" ht="15" customHeight="1">
      <c r="K1766" s="24"/>
    </row>
    <row r="1767" spans="11:11" ht="15" customHeight="1">
      <c r="K1767" s="24"/>
    </row>
    <row r="1768" spans="11:11" ht="15" customHeight="1">
      <c r="K1768" s="24"/>
    </row>
    <row r="1769" spans="11:11" ht="15" customHeight="1">
      <c r="K1769" s="24"/>
    </row>
    <row r="1770" spans="11:11" ht="15" customHeight="1">
      <c r="K1770" s="24"/>
    </row>
    <row r="1771" spans="11:11" ht="15" customHeight="1">
      <c r="K1771" s="24"/>
    </row>
    <row r="1772" spans="11:11" ht="15" customHeight="1">
      <c r="K1772" s="24"/>
    </row>
    <row r="1773" spans="11:11" ht="15" customHeight="1">
      <c r="K1773" s="24"/>
    </row>
    <row r="1774" spans="11:11" ht="15" customHeight="1">
      <c r="K1774" s="24"/>
    </row>
    <row r="1775" spans="11:11" ht="15" customHeight="1">
      <c r="K1775" s="24"/>
    </row>
    <row r="1776" spans="11:11" ht="15" customHeight="1">
      <c r="K1776" s="24"/>
    </row>
    <row r="1777" spans="11:11" ht="15" customHeight="1">
      <c r="K1777" s="24"/>
    </row>
    <row r="1778" spans="11:11" ht="15" customHeight="1">
      <c r="K1778" s="24"/>
    </row>
    <row r="1779" spans="11:11" ht="15" customHeight="1">
      <c r="K1779" s="24"/>
    </row>
    <row r="1780" spans="11:11" ht="15" customHeight="1">
      <c r="K1780" s="24"/>
    </row>
    <row r="1781" spans="11:11" ht="15" customHeight="1">
      <c r="K1781" s="24"/>
    </row>
    <row r="1782" spans="11:11" ht="15" customHeight="1">
      <c r="K1782" s="24"/>
    </row>
    <row r="1783" spans="11:11" ht="15" customHeight="1">
      <c r="K1783" s="24"/>
    </row>
    <row r="1784" spans="11:11" ht="15" customHeight="1">
      <c r="K1784" s="24"/>
    </row>
    <row r="1785" spans="11:11" ht="15" customHeight="1">
      <c r="K1785" s="24"/>
    </row>
    <row r="1786" spans="11:11" ht="15" customHeight="1">
      <c r="K1786" s="24"/>
    </row>
    <row r="1787" spans="11:11" ht="15" customHeight="1">
      <c r="K1787" s="24"/>
    </row>
    <row r="1788" spans="11:11" ht="15" customHeight="1">
      <c r="K1788" s="24"/>
    </row>
    <row r="1789" spans="11:11" ht="15" customHeight="1">
      <c r="K1789" s="24"/>
    </row>
    <row r="1790" spans="11:11" ht="15" customHeight="1">
      <c r="K1790" s="24"/>
    </row>
    <row r="1791" spans="11:11" ht="15" customHeight="1">
      <c r="K1791" s="24"/>
    </row>
    <row r="1792" spans="11:11" ht="15" customHeight="1">
      <c r="K1792" s="24"/>
    </row>
    <row r="1793" spans="11:11" ht="15" customHeight="1">
      <c r="K1793" s="24"/>
    </row>
    <row r="1794" spans="11:11" ht="15" customHeight="1">
      <c r="K1794" s="24"/>
    </row>
    <row r="1795" spans="11:11" ht="15" customHeight="1">
      <c r="K1795" s="24"/>
    </row>
    <row r="1796" spans="11:11" ht="15" customHeight="1">
      <c r="K1796" s="24"/>
    </row>
    <row r="1797" spans="11:11" ht="15" customHeight="1">
      <c r="K1797" s="24"/>
    </row>
    <row r="1798" spans="11:11" ht="15" customHeight="1">
      <c r="K1798" s="24"/>
    </row>
    <row r="1799" spans="11:11" ht="15" customHeight="1">
      <c r="K1799" s="24"/>
    </row>
    <row r="1800" spans="11:11" ht="15" customHeight="1">
      <c r="K1800" s="24"/>
    </row>
    <row r="1801" spans="11:11" ht="15" customHeight="1">
      <c r="K1801" s="24"/>
    </row>
    <row r="1802" spans="11:11" ht="15" customHeight="1">
      <c r="K1802" s="24"/>
    </row>
    <row r="1803" spans="11:11" ht="15" customHeight="1">
      <c r="K1803" s="24"/>
    </row>
    <row r="1804" spans="11:11" ht="15" customHeight="1">
      <c r="K1804" s="24"/>
    </row>
    <row r="1805" spans="11:11" ht="15" customHeight="1">
      <c r="K1805" s="24"/>
    </row>
    <row r="1806" spans="11:11" ht="15" customHeight="1">
      <c r="K1806" s="24"/>
    </row>
    <row r="1807" spans="11:11" ht="15" customHeight="1">
      <c r="K1807" s="24"/>
    </row>
    <row r="1808" spans="11:11" ht="15" customHeight="1">
      <c r="K1808" s="24"/>
    </row>
    <row r="1809" spans="11:11" ht="15" customHeight="1">
      <c r="K1809" s="24"/>
    </row>
    <row r="1810" spans="11:11" ht="15" customHeight="1">
      <c r="K1810" s="24"/>
    </row>
    <row r="1811" spans="11:11" ht="15" customHeight="1">
      <c r="K1811" s="24"/>
    </row>
    <row r="1812" spans="11:11" ht="15" customHeight="1">
      <c r="K1812" s="24"/>
    </row>
    <row r="1813" spans="11:11" ht="15" customHeight="1">
      <c r="K1813" s="24"/>
    </row>
    <row r="1814" spans="11:11" ht="15" customHeight="1">
      <c r="K1814" s="24"/>
    </row>
    <row r="1815" spans="11:11" ht="15" customHeight="1">
      <c r="K1815" s="24"/>
    </row>
    <row r="1816" spans="11:11" ht="15" customHeight="1">
      <c r="K1816" s="24"/>
    </row>
    <row r="1817" spans="11:11" ht="15" customHeight="1">
      <c r="K1817" s="24"/>
    </row>
    <row r="1818" spans="11:11" ht="15" customHeight="1">
      <c r="K1818" s="24"/>
    </row>
    <row r="1819" spans="11:11" ht="15" customHeight="1">
      <c r="K1819" s="24"/>
    </row>
    <row r="1820" spans="11:11" ht="15" customHeight="1">
      <c r="K1820" s="24"/>
    </row>
    <row r="1821" spans="11:11" ht="15" customHeight="1">
      <c r="K1821" s="24"/>
    </row>
    <row r="1822" spans="11:11" ht="15" customHeight="1">
      <c r="K1822" s="24"/>
    </row>
    <row r="1823" spans="11:11" ht="15" customHeight="1">
      <c r="K1823" s="24"/>
    </row>
    <row r="1824" spans="11:11" ht="15" customHeight="1">
      <c r="K1824" s="24"/>
    </row>
    <row r="1825" spans="11:11" ht="15" customHeight="1">
      <c r="K1825" s="24"/>
    </row>
    <row r="1826" spans="11:11" ht="15" customHeight="1">
      <c r="K1826" s="24"/>
    </row>
    <row r="1827" spans="11:11" ht="15" customHeight="1">
      <c r="K1827" s="24"/>
    </row>
    <row r="1828" spans="11:11" ht="15" customHeight="1">
      <c r="K1828" s="24"/>
    </row>
    <row r="1829" spans="11:11" ht="15" customHeight="1">
      <c r="K1829" s="24"/>
    </row>
    <row r="1830" spans="11:11" ht="15" customHeight="1">
      <c r="K1830" s="24"/>
    </row>
    <row r="1831" spans="11:11" ht="15" customHeight="1">
      <c r="K1831" s="24"/>
    </row>
    <row r="1832" spans="11:11" ht="15" customHeight="1">
      <c r="K1832" s="24"/>
    </row>
    <row r="1833" spans="11:11" ht="15" customHeight="1">
      <c r="K1833" s="24"/>
    </row>
    <row r="1834" spans="11:11" ht="15" customHeight="1">
      <c r="K1834" s="24"/>
    </row>
    <row r="1835" spans="11:11" ht="15" customHeight="1">
      <c r="K1835" s="24"/>
    </row>
    <row r="1836" spans="11:11" ht="15" customHeight="1">
      <c r="K1836" s="24"/>
    </row>
    <row r="1837" spans="11:11" ht="15" customHeight="1">
      <c r="K1837" s="24"/>
    </row>
    <row r="1838" spans="11:11" ht="15" customHeight="1">
      <c r="K1838" s="24"/>
    </row>
    <row r="1839" spans="11:11" ht="15" customHeight="1">
      <c r="K1839" s="24"/>
    </row>
    <row r="1840" spans="11:11" ht="15" customHeight="1">
      <c r="K1840" s="24"/>
    </row>
    <row r="1841" spans="11:11" ht="15" customHeight="1">
      <c r="K1841" s="24"/>
    </row>
    <row r="1842" spans="11:11" ht="15" customHeight="1">
      <c r="K1842" s="24"/>
    </row>
    <row r="1843" spans="11:11" ht="15" customHeight="1">
      <c r="K1843" s="24"/>
    </row>
    <row r="1844" spans="11:11" ht="15" customHeight="1">
      <c r="K1844" s="24"/>
    </row>
    <row r="1845" spans="11:11" ht="15" customHeight="1">
      <c r="K1845" s="24"/>
    </row>
    <row r="1846" spans="11:11" ht="15" customHeight="1">
      <c r="K1846" s="24"/>
    </row>
    <row r="1847" spans="11:11" ht="15" customHeight="1">
      <c r="K1847" s="24"/>
    </row>
    <row r="1848" spans="11:11" ht="15" customHeight="1">
      <c r="K1848" s="24"/>
    </row>
    <row r="1849" spans="11:11" ht="15" customHeight="1">
      <c r="K1849" s="24"/>
    </row>
    <row r="1850" spans="11:11" ht="15" customHeight="1">
      <c r="K1850" s="24"/>
    </row>
    <row r="1851" spans="11:11" ht="15" customHeight="1">
      <c r="K1851" s="24"/>
    </row>
    <row r="1852" spans="11:11" ht="15" customHeight="1">
      <c r="K1852" s="24"/>
    </row>
    <row r="1853" spans="11:11" ht="15" customHeight="1">
      <c r="K1853" s="24"/>
    </row>
    <row r="1854" spans="11:11" ht="15" customHeight="1">
      <c r="K1854" s="24"/>
    </row>
    <row r="1855" spans="11:11" ht="15" customHeight="1">
      <c r="K1855" s="24"/>
    </row>
    <row r="1856" spans="11:11" ht="15" customHeight="1">
      <c r="K1856" s="24"/>
    </row>
    <row r="1857" spans="11:11" ht="15" customHeight="1">
      <c r="K1857" s="24"/>
    </row>
    <row r="1858" spans="11:11" ht="15" customHeight="1">
      <c r="K1858" s="24"/>
    </row>
    <row r="1859" spans="11:11" ht="15" customHeight="1">
      <c r="K1859" s="24"/>
    </row>
    <row r="1860" spans="11:11" ht="15" customHeight="1">
      <c r="K1860" s="24"/>
    </row>
    <row r="1861" spans="11:11" ht="15" customHeight="1">
      <c r="K1861" s="24"/>
    </row>
    <row r="1862" spans="11:11" ht="15" customHeight="1">
      <c r="K1862" s="24"/>
    </row>
    <row r="1863" spans="11:11" ht="15" customHeight="1">
      <c r="K1863" s="24"/>
    </row>
    <row r="1864" spans="11:11" ht="15" customHeight="1">
      <c r="K1864" s="24"/>
    </row>
    <row r="1865" spans="11:11" ht="15" customHeight="1">
      <c r="K1865" s="24"/>
    </row>
    <row r="1866" spans="11:11" ht="15" customHeight="1">
      <c r="K1866" s="24"/>
    </row>
    <row r="1867" spans="11:11" ht="15" customHeight="1">
      <c r="K1867" s="24"/>
    </row>
    <row r="1868" spans="11:11" ht="15" customHeight="1">
      <c r="K1868" s="24"/>
    </row>
    <row r="1869" spans="11:11" ht="15" customHeight="1">
      <c r="K1869" s="24"/>
    </row>
    <row r="1870" spans="11:11" ht="15" customHeight="1">
      <c r="K1870" s="24"/>
    </row>
    <row r="1871" spans="11:11" ht="15" customHeight="1">
      <c r="K1871" s="24"/>
    </row>
    <row r="1872" spans="11:11" ht="15" customHeight="1">
      <c r="K1872" s="24"/>
    </row>
    <row r="1873" spans="11:11" ht="15" customHeight="1">
      <c r="K1873" s="24"/>
    </row>
    <row r="1874" spans="11:11" ht="15" customHeight="1">
      <c r="K1874" s="24"/>
    </row>
    <row r="1875" spans="11:11" ht="15" customHeight="1">
      <c r="K1875" s="24"/>
    </row>
    <row r="1876" spans="11:11" ht="15" customHeight="1">
      <c r="K1876" s="24"/>
    </row>
    <row r="1877" spans="11:11" ht="15" customHeight="1">
      <c r="K1877" s="24"/>
    </row>
    <row r="1878" spans="11:11" ht="15" customHeight="1">
      <c r="K1878" s="24"/>
    </row>
    <row r="1879" spans="11:11" ht="15" customHeight="1">
      <c r="K1879" s="24"/>
    </row>
    <row r="1880" spans="11:11" ht="15" customHeight="1">
      <c r="K1880" s="24"/>
    </row>
    <row r="1881" spans="11:11" ht="15" customHeight="1">
      <c r="K1881" s="24"/>
    </row>
    <row r="1882" spans="11:11" ht="15" customHeight="1">
      <c r="K1882" s="24"/>
    </row>
    <row r="1883" spans="11:11" ht="15" customHeight="1">
      <c r="K1883" s="24"/>
    </row>
    <row r="1884" spans="11:11" ht="15" customHeight="1">
      <c r="K1884" s="24"/>
    </row>
    <row r="1885" spans="11:11" ht="15" customHeight="1">
      <c r="K1885" s="24"/>
    </row>
    <row r="1886" spans="11:11" ht="15" customHeight="1">
      <c r="K1886" s="24"/>
    </row>
    <row r="1887" spans="11:11" ht="15" customHeight="1">
      <c r="K1887" s="24"/>
    </row>
    <row r="1888" spans="11:11" ht="15" customHeight="1">
      <c r="K1888" s="24"/>
    </row>
    <row r="1889" spans="11:11" ht="15" customHeight="1">
      <c r="K1889" s="24"/>
    </row>
    <row r="1890" spans="11:11" ht="15" customHeight="1">
      <c r="K1890" s="24"/>
    </row>
    <row r="1891" spans="11:11" ht="15" customHeight="1">
      <c r="K1891" s="24"/>
    </row>
    <row r="1892" spans="11:11" ht="15" customHeight="1">
      <c r="K1892" s="24"/>
    </row>
    <row r="1893" spans="11:11" ht="15" customHeight="1">
      <c r="K1893" s="24"/>
    </row>
    <row r="1894" spans="11:11" ht="15" customHeight="1">
      <c r="K1894" s="24"/>
    </row>
    <row r="1895" spans="11:11" ht="15" customHeight="1">
      <c r="K1895" s="24"/>
    </row>
    <row r="1896" spans="11:11" ht="15" customHeight="1">
      <c r="K1896" s="24"/>
    </row>
    <row r="1897" spans="11:11" ht="15" customHeight="1">
      <c r="K1897" s="24"/>
    </row>
    <row r="1898" spans="11:11" ht="15" customHeight="1">
      <c r="K1898" s="24"/>
    </row>
    <row r="1899" spans="11:11" ht="15" customHeight="1">
      <c r="K1899" s="24"/>
    </row>
    <row r="1900" spans="11:11" ht="15" customHeight="1">
      <c r="K1900" s="24"/>
    </row>
    <row r="1901" spans="11:11" ht="15" customHeight="1">
      <c r="K1901" s="24"/>
    </row>
    <row r="1902" spans="11:11" ht="15" customHeight="1">
      <c r="K1902" s="24"/>
    </row>
    <row r="1903" spans="11:11" ht="15" customHeight="1">
      <c r="K1903" s="24"/>
    </row>
    <row r="1904" spans="11:11" ht="15" customHeight="1">
      <c r="K1904" s="24"/>
    </row>
    <row r="1905" spans="11:11" ht="15" customHeight="1">
      <c r="K1905" s="24"/>
    </row>
    <row r="1906" spans="11:11" ht="15" customHeight="1">
      <c r="K1906" s="24"/>
    </row>
    <row r="1907" spans="11:11" ht="15" customHeight="1">
      <c r="K1907" s="24"/>
    </row>
    <row r="1908" spans="11:11" ht="15" customHeight="1">
      <c r="K1908" s="24"/>
    </row>
    <row r="1909" spans="11:11" ht="15" customHeight="1">
      <c r="K1909" s="24"/>
    </row>
    <row r="1910" spans="11:11" ht="15" customHeight="1">
      <c r="K1910" s="24"/>
    </row>
    <row r="1911" spans="11:11" ht="15" customHeight="1">
      <c r="K1911" s="24"/>
    </row>
    <row r="1912" spans="11:11" ht="15" customHeight="1">
      <c r="K1912" s="24"/>
    </row>
    <row r="1913" spans="11:11" ht="15" customHeight="1">
      <c r="K1913" s="24"/>
    </row>
    <row r="1914" spans="11:11" ht="15" customHeight="1">
      <c r="K1914" s="24"/>
    </row>
    <row r="1915" spans="11:11" ht="15" customHeight="1">
      <c r="K1915" s="24"/>
    </row>
    <row r="1916" spans="11:11" ht="15" customHeight="1">
      <c r="K1916" s="24"/>
    </row>
    <row r="1917" spans="11:11" ht="15" customHeight="1">
      <c r="K1917" s="24"/>
    </row>
    <row r="1918" spans="11:11" ht="15" customHeight="1">
      <c r="K1918" s="24"/>
    </row>
    <row r="1919" spans="11:11" ht="15" customHeight="1">
      <c r="K1919" s="24"/>
    </row>
    <row r="1920" spans="11:11" ht="15" customHeight="1">
      <c r="K1920" s="24"/>
    </row>
    <row r="1921" spans="11:11" ht="15" customHeight="1">
      <c r="K1921" s="24"/>
    </row>
    <row r="1922" spans="11:11" ht="15" customHeight="1">
      <c r="K1922" s="24"/>
    </row>
    <row r="1923" spans="11:11" ht="15" customHeight="1">
      <c r="K1923" s="24"/>
    </row>
    <row r="1924" spans="11:11" ht="15" customHeight="1">
      <c r="K1924" s="24"/>
    </row>
    <row r="1925" spans="11:11" ht="15" customHeight="1">
      <c r="K1925" s="24"/>
    </row>
    <row r="1926" spans="11:11" ht="15" customHeight="1">
      <c r="K1926" s="24"/>
    </row>
    <row r="1927" spans="11:11" ht="15" customHeight="1">
      <c r="K1927" s="24"/>
    </row>
    <row r="1928" spans="11:11" ht="15" customHeight="1">
      <c r="K1928" s="24"/>
    </row>
    <row r="1929" spans="11:11" ht="15" customHeight="1">
      <c r="K1929" s="24"/>
    </row>
    <row r="1930" spans="11:11" ht="15" customHeight="1">
      <c r="K1930" s="24"/>
    </row>
    <row r="1931" spans="11:11" ht="15" customHeight="1">
      <c r="K1931" s="24"/>
    </row>
    <row r="1932" spans="11:11" ht="15" customHeight="1">
      <c r="K1932" s="24"/>
    </row>
    <row r="1933" spans="11:11" ht="15" customHeight="1">
      <c r="K1933" s="24"/>
    </row>
    <row r="1934" spans="11:11" ht="15" customHeight="1">
      <c r="K1934" s="24"/>
    </row>
    <row r="1935" spans="11:11" ht="15" customHeight="1">
      <c r="K1935" s="24"/>
    </row>
    <row r="1936" spans="11:11" ht="15" customHeight="1">
      <c r="K1936" s="24"/>
    </row>
    <row r="1937" spans="11:11" ht="15" customHeight="1">
      <c r="K1937" s="24"/>
    </row>
    <row r="1938" spans="11:11" ht="15" customHeight="1">
      <c r="K1938" s="24"/>
    </row>
    <row r="1939" spans="11:11" ht="15" customHeight="1">
      <c r="K1939" s="24"/>
    </row>
    <row r="1940" spans="11:11" ht="15" customHeight="1">
      <c r="K1940" s="24"/>
    </row>
    <row r="1941" spans="11:11" ht="15" customHeight="1">
      <c r="K1941" s="24"/>
    </row>
    <row r="1942" spans="11:11" ht="15" customHeight="1">
      <c r="K1942" s="24"/>
    </row>
    <row r="1943" spans="11:11" ht="15" customHeight="1">
      <c r="K1943" s="24"/>
    </row>
    <row r="1944" spans="11:11" ht="15" customHeight="1">
      <c r="K1944" s="24"/>
    </row>
    <row r="1945" spans="11:11" ht="15" customHeight="1">
      <c r="K1945" s="24"/>
    </row>
    <row r="1946" spans="11:11" ht="15" customHeight="1">
      <c r="K1946" s="24"/>
    </row>
    <row r="1947" spans="11:11" ht="15" customHeight="1">
      <c r="K1947" s="24"/>
    </row>
    <row r="1948" spans="11:11" ht="15" customHeight="1">
      <c r="K1948" s="24"/>
    </row>
    <row r="1949" spans="11:11" ht="15" customHeight="1">
      <c r="K1949" s="24"/>
    </row>
    <row r="1950" spans="11:11" ht="15" customHeight="1">
      <c r="K1950" s="24"/>
    </row>
    <row r="1951" spans="11:11" ht="15" customHeight="1">
      <c r="K1951" s="24"/>
    </row>
    <row r="1952" spans="11:11" ht="15" customHeight="1">
      <c r="K1952" s="24"/>
    </row>
    <row r="1953" spans="11:11" ht="15" customHeight="1">
      <c r="K1953" s="24"/>
    </row>
    <row r="1954" spans="11:11" ht="15" customHeight="1">
      <c r="K1954" s="24"/>
    </row>
    <row r="1955" spans="11:11" ht="15" customHeight="1">
      <c r="K1955" s="24"/>
    </row>
    <row r="1956" spans="11:11" ht="15" customHeight="1">
      <c r="K1956" s="24"/>
    </row>
    <row r="1957" spans="11:11" ht="15" customHeight="1">
      <c r="K1957" s="24"/>
    </row>
    <row r="1958" spans="11:11" ht="15" customHeight="1">
      <c r="K1958" s="24"/>
    </row>
    <row r="1959" spans="11:11" ht="15" customHeight="1">
      <c r="K1959" s="24"/>
    </row>
    <row r="1960" spans="11:11" ht="15" customHeight="1">
      <c r="K1960" s="24"/>
    </row>
    <row r="1961" spans="11:11" ht="15" customHeight="1">
      <c r="K1961" s="24"/>
    </row>
    <row r="1962" spans="11:11" ht="15" customHeight="1">
      <c r="K1962" s="24"/>
    </row>
    <row r="1963" spans="11:11" ht="15" customHeight="1">
      <c r="K1963" s="24"/>
    </row>
    <row r="1964" spans="11:11" ht="15" customHeight="1">
      <c r="K1964" s="24"/>
    </row>
    <row r="1965" spans="11:11" ht="15" customHeight="1">
      <c r="K1965" s="24"/>
    </row>
    <row r="1966" spans="11:11" ht="15" customHeight="1">
      <c r="K1966" s="24"/>
    </row>
    <row r="1967" spans="11:11" ht="15" customHeight="1">
      <c r="K1967" s="24"/>
    </row>
    <row r="1968" spans="11:11" ht="15" customHeight="1">
      <c r="K1968" s="24"/>
    </row>
    <row r="1969" spans="11:11" ht="15" customHeight="1">
      <c r="K1969" s="24"/>
    </row>
    <row r="1970" spans="11:11" ht="15" customHeight="1">
      <c r="K1970" s="24"/>
    </row>
    <row r="1971" spans="11:11" ht="15" customHeight="1">
      <c r="K1971" s="24"/>
    </row>
    <row r="1972" spans="11:11" ht="15" customHeight="1">
      <c r="K1972" s="24"/>
    </row>
    <row r="1973" spans="11:11" ht="15" customHeight="1">
      <c r="K1973" s="24"/>
    </row>
    <row r="1974" spans="11:11" ht="15" customHeight="1">
      <c r="K1974" s="24"/>
    </row>
    <row r="1975" spans="11:11" ht="15" customHeight="1">
      <c r="K1975" s="24"/>
    </row>
    <row r="1976" spans="11:11" ht="15" customHeight="1">
      <c r="K1976" s="24"/>
    </row>
    <row r="1977" spans="11:11" ht="15" customHeight="1">
      <c r="K1977" s="24"/>
    </row>
    <row r="1978" spans="11:11" ht="15" customHeight="1">
      <c r="K1978" s="24"/>
    </row>
    <row r="1979" spans="11:11" ht="15" customHeight="1">
      <c r="K1979" s="24"/>
    </row>
    <row r="1980" spans="11:11" ht="15" customHeight="1">
      <c r="K1980" s="24"/>
    </row>
    <row r="1981" spans="11:11" ht="15" customHeight="1">
      <c r="K1981" s="24"/>
    </row>
    <row r="1982" spans="11:11" ht="15" customHeight="1">
      <c r="K1982" s="24"/>
    </row>
    <row r="1983" spans="11:11" ht="15" customHeight="1">
      <c r="K1983" s="24"/>
    </row>
    <row r="1984" spans="11:11" ht="15" customHeight="1">
      <c r="K1984" s="24"/>
    </row>
    <row r="1985" spans="11:11" ht="15" customHeight="1">
      <c r="K1985" s="24"/>
    </row>
    <row r="1986" spans="11:11" ht="15" customHeight="1">
      <c r="K1986" s="24"/>
    </row>
    <row r="1987" spans="11:11" ht="15" customHeight="1">
      <c r="K1987" s="24"/>
    </row>
    <row r="1988" spans="11:11" ht="15" customHeight="1">
      <c r="K1988" s="24"/>
    </row>
    <row r="1989" spans="11:11" ht="15" customHeight="1">
      <c r="K1989" s="24"/>
    </row>
    <row r="1990" spans="11:11" ht="15" customHeight="1">
      <c r="K1990" s="24"/>
    </row>
    <row r="1991" spans="11:11" ht="15" customHeight="1">
      <c r="K1991" s="24"/>
    </row>
    <row r="1992" spans="11:11" ht="15" customHeight="1">
      <c r="K1992" s="24"/>
    </row>
    <row r="1993" spans="11:11" ht="15" customHeight="1">
      <c r="K1993" s="24"/>
    </row>
    <row r="1994" spans="11:11" ht="15" customHeight="1">
      <c r="K1994" s="24"/>
    </row>
    <row r="1995" spans="11:11" ht="15" customHeight="1">
      <c r="K1995" s="24"/>
    </row>
    <row r="1996" spans="11:11" ht="15" customHeight="1">
      <c r="K1996" s="24"/>
    </row>
    <row r="1997" spans="11:11" ht="15" customHeight="1">
      <c r="K1997" s="24"/>
    </row>
    <row r="1998" spans="11:11" ht="15" customHeight="1">
      <c r="K1998" s="24"/>
    </row>
    <row r="1999" spans="11:11" ht="15" customHeight="1">
      <c r="K1999" s="24"/>
    </row>
    <row r="2000" spans="11:11" ht="15" customHeight="1">
      <c r="K2000" s="24"/>
    </row>
    <row r="2001" spans="11:11" ht="15" customHeight="1">
      <c r="K2001" s="24"/>
    </row>
    <row r="2002" spans="11:11" ht="15" customHeight="1">
      <c r="K2002" s="24"/>
    </row>
    <row r="2003" spans="11:11" ht="15" customHeight="1">
      <c r="K2003" s="24"/>
    </row>
    <row r="2004" spans="11:11" ht="15" customHeight="1">
      <c r="K2004" s="24"/>
    </row>
    <row r="2005" spans="11:11" ht="15" customHeight="1">
      <c r="K2005" s="24"/>
    </row>
    <row r="2006" spans="11:11" ht="15" customHeight="1">
      <c r="K2006" s="24"/>
    </row>
    <row r="2007" spans="11:11" ht="15" customHeight="1">
      <c r="K2007" s="24"/>
    </row>
    <row r="2008" spans="11:11" ht="15" customHeight="1">
      <c r="K2008" s="24"/>
    </row>
    <row r="2009" spans="11:11" ht="15" customHeight="1">
      <c r="K2009" s="24"/>
    </row>
    <row r="2010" spans="11:11" ht="15" customHeight="1">
      <c r="K2010" s="24"/>
    </row>
    <row r="2011" spans="11:11" ht="15" customHeight="1">
      <c r="K2011" s="24"/>
    </row>
    <row r="2012" spans="11:11" ht="15" customHeight="1">
      <c r="K2012" s="24"/>
    </row>
    <row r="2013" spans="11:11" ht="15" customHeight="1">
      <c r="K2013" s="24"/>
    </row>
    <row r="2014" spans="11:11" ht="15" customHeight="1">
      <c r="K2014" s="24"/>
    </row>
    <row r="2015" spans="11:11" ht="15" customHeight="1">
      <c r="K2015" s="24"/>
    </row>
    <row r="2016" spans="11:11" ht="15" customHeight="1">
      <c r="K2016" s="24"/>
    </row>
    <row r="2017" spans="11:11" ht="15" customHeight="1">
      <c r="K2017" s="24"/>
    </row>
    <row r="2018" spans="11:11" ht="15" customHeight="1">
      <c r="K2018" s="24"/>
    </row>
    <row r="2019" spans="11:11" ht="15" customHeight="1">
      <c r="K2019" s="24"/>
    </row>
    <row r="2020" spans="11:11" ht="15" customHeight="1">
      <c r="K2020" s="24"/>
    </row>
    <row r="2021" spans="11:11" ht="15" customHeight="1">
      <c r="K2021" s="24"/>
    </row>
    <row r="2022" spans="11:11" ht="15" customHeight="1">
      <c r="K2022" s="24"/>
    </row>
    <row r="2023" spans="11:11" ht="15" customHeight="1">
      <c r="K2023" s="24"/>
    </row>
    <row r="2024" spans="11:11" ht="15" customHeight="1">
      <c r="K2024" s="24"/>
    </row>
    <row r="2025" spans="11:11" ht="15" customHeight="1">
      <c r="K2025" s="24"/>
    </row>
    <row r="2026" spans="11:11" ht="15" customHeight="1">
      <c r="K2026" s="24"/>
    </row>
    <row r="2027" spans="11:11" ht="15" customHeight="1">
      <c r="K2027" s="24"/>
    </row>
    <row r="2028" spans="11:11" ht="15" customHeight="1">
      <c r="K2028" s="24"/>
    </row>
    <row r="2029" spans="11:11" ht="15" customHeight="1">
      <c r="K2029" s="24"/>
    </row>
    <row r="2030" spans="11:11" ht="15" customHeight="1">
      <c r="K2030" s="24"/>
    </row>
    <row r="2031" spans="11:11" ht="15" customHeight="1">
      <c r="K2031" s="24"/>
    </row>
    <row r="2032" spans="11:11" ht="15" customHeight="1">
      <c r="K2032" s="24"/>
    </row>
    <row r="2033" spans="11:11" ht="15" customHeight="1">
      <c r="K2033" s="24"/>
    </row>
    <row r="2034" spans="11:11" ht="15" customHeight="1">
      <c r="K2034" s="24"/>
    </row>
    <row r="2035" spans="11:11" ht="15" customHeight="1">
      <c r="K2035" s="24"/>
    </row>
    <row r="2036" spans="11:11" ht="15" customHeight="1">
      <c r="K2036" s="24"/>
    </row>
    <row r="2037" spans="11:11" ht="15" customHeight="1">
      <c r="K2037" s="24"/>
    </row>
    <row r="2038" spans="11:11" ht="15" customHeight="1">
      <c r="K2038" s="24"/>
    </row>
    <row r="2039" spans="11:11" ht="15" customHeight="1">
      <c r="K2039" s="24"/>
    </row>
    <row r="2040" spans="11:11" ht="15" customHeight="1">
      <c r="K2040" s="24"/>
    </row>
    <row r="2041" spans="11:11" ht="15" customHeight="1">
      <c r="K2041" s="24"/>
    </row>
    <row r="2042" spans="11:11" ht="15" customHeight="1">
      <c r="K2042" s="24"/>
    </row>
    <row r="2043" spans="11:11" ht="15" customHeight="1">
      <c r="K2043" s="24"/>
    </row>
    <row r="2044" spans="11:11" ht="15" customHeight="1">
      <c r="K2044" s="24"/>
    </row>
    <row r="2045" spans="11:11" ht="15" customHeight="1">
      <c r="K2045" s="24"/>
    </row>
    <row r="2046" spans="11:11" ht="15" customHeight="1">
      <c r="K2046" s="24"/>
    </row>
    <row r="2047" spans="11:11" ht="15" customHeight="1">
      <c r="K2047" s="24"/>
    </row>
    <row r="2048" spans="11:11" ht="15" customHeight="1">
      <c r="K2048" s="24"/>
    </row>
    <row r="2049" spans="11:11" ht="15" customHeight="1">
      <c r="K2049" s="24"/>
    </row>
    <row r="2050" spans="11:11" ht="15" customHeight="1">
      <c r="K2050" s="24"/>
    </row>
    <row r="2051" spans="11:11" ht="15" customHeight="1">
      <c r="K2051" s="24"/>
    </row>
    <row r="2052" spans="11:11" ht="15" customHeight="1">
      <c r="K2052" s="24"/>
    </row>
    <row r="2053" spans="11:11" ht="15" customHeight="1">
      <c r="K2053" s="24"/>
    </row>
    <row r="2054" spans="11:11" ht="15" customHeight="1">
      <c r="K2054" s="24"/>
    </row>
    <row r="2055" spans="11:11" ht="15" customHeight="1">
      <c r="K2055" s="24"/>
    </row>
    <row r="2056" spans="11:11" ht="15" customHeight="1">
      <c r="K2056" s="24"/>
    </row>
    <row r="2057" spans="11:11" ht="15" customHeight="1">
      <c r="K2057" s="24"/>
    </row>
    <row r="2058" spans="11:11" ht="15" customHeight="1">
      <c r="K2058" s="24"/>
    </row>
    <row r="2059" spans="11:11" ht="15" customHeight="1">
      <c r="K2059" s="24"/>
    </row>
    <row r="2060" spans="11:11" ht="15" customHeight="1">
      <c r="K2060" s="24"/>
    </row>
    <row r="2061" spans="11:11" ht="15" customHeight="1">
      <c r="K2061" s="24"/>
    </row>
    <row r="2062" spans="11:11" ht="15" customHeight="1">
      <c r="K2062" s="24"/>
    </row>
    <row r="2063" spans="11:11" ht="15" customHeight="1">
      <c r="K2063" s="24"/>
    </row>
    <row r="2064" spans="11:11" ht="15" customHeight="1">
      <c r="K2064" s="24"/>
    </row>
    <row r="2065" spans="11:11" ht="15" customHeight="1">
      <c r="K2065" s="24"/>
    </row>
    <row r="2066" spans="11:11" ht="15" customHeight="1">
      <c r="K2066" s="24"/>
    </row>
    <row r="2067" spans="11:11" ht="15" customHeight="1">
      <c r="K2067" s="24"/>
    </row>
    <row r="2068" spans="11:11" ht="15" customHeight="1">
      <c r="K2068" s="24"/>
    </row>
    <row r="2069" spans="11:11" ht="15" customHeight="1">
      <c r="K2069" s="24"/>
    </row>
    <row r="2070" spans="11:11" ht="15" customHeight="1">
      <c r="K2070" s="24"/>
    </row>
    <row r="2071" spans="11:11" ht="15" customHeight="1">
      <c r="K2071" s="24"/>
    </row>
    <row r="2072" spans="11:11" ht="15" customHeight="1">
      <c r="K2072" s="24"/>
    </row>
    <row r="2073" spans="11:11" ht="15" customHeight="1">
      <c r="K2073" s="24"/>
    </row>
    <row r="2074" spans="11:11" ht="15" customHeight="1">
      <c r="K2074" s="24"/>
    </row>
    <row r="2075" spans="11:11" ht="15" customHeight="1">
      <c r="K2075" s="24"/>
    </row>
    <row r="2076" spans="11:11" ht="15" customHeight="1">
      <c r="K2076" s="24"/>
    </row>
    <row r="2077" spans="11:11" ht="15" customHeight="1">
      <c r="K2077" s="24"/>
    </row>
    <row r="2078" spans="11:11" ht="15" customHeight="1">
      <c r="K2078" s="24"/>
    </row>
    <row r="2079" spans="11:11" ht="15" customHeight="1">
      <c r="K2079" s="24"/>
    </row>
    <row r="2080" spans="11:11" ht="15" customHeight="1">
      <c r="K2080" s="24"/>
    </row>
    <row r="2081" spans="11:11" ht="15" customHeight="1">
      <c r="K2081" s="24"/>
    </row>
    <row r="2082" spans="11:11" ht="15" customHeight="1">
      <c r="K2082" s="24"/>
    </row>
    <row r="2083" spans="11:11" ht="15" customHeight="1">
      <c r="K2083" s="24"/>
    </row>
    <row r="2084" spans="11:11" ht="15" customHeight="1">
      <c r="K2084" s="24"/>
    </row>
    <row r="2085" spans="11:11" ht="15" customHeight="1">
      <c r="K2085" s="24"/>
    </row>
    <row r="2086" spans="11:11" ht="15" customHeight="1">
      <c r="K2086" s="24"/>
    </row>
    <row r="2087" spans="11:11" ht="15" customHeight="1">
      <c r="K2087" s="24"/>
    </row>
    <row r="2088" spans="11:11" ht="15" customHeight="1">
      <c r="K2088" s="24"/>
    </row>
    <row r="2089" spans="11:11" ht="15" customHeight="1">
      <c r="K2089" s="24"/>
    </row>
    <row r="2090" spans="11:11" ht="15" customHeight="1">
      <c r="K2090" s="24"/>
    </row>
    <row r="2091" spans="11:11" ht="15" customHeight="1">
      <c r="K2091" s="24"/>
    </row>
    <row r="2092" spans="11:11" ht="15" customHeight="1">
      <c r="K2092" s="24"/>
    </row>
    <row r="2093" spans="11:11" ht="15" customHeight="1">
      <c r="K2093" s="24"/>
    </row>
    <row r="2094" spans="11:11" ht="15" customHeight="1">
      <c r="K2094" s="24"/>
    </row>
    <row r="2095" spans="11:11" ht="15" customHeight="1">
      <c r="K2095" s="24"/>
    </row>
    <row r="2096" spans="11:11" ht="15" customHeight="1">
      <c r="K2096" s="24"/>
    </row>
    <row r="2097" spans="11:11" ht="15" customHeight="1">
      <c r="K2097" s="24"/>
    </row>
    <row r="2098" spans="11:11" ht="15" customHeight="1">
      <c r="K2098" s="24"/>
    </row>
    <row r="2099" spans="11:11" ht="15" customHeight="1">
      <c r="K2099" s="24"/>
    </row>
    <row r="2100" spans="11:11" ht="15" customHeight="1">
      <c r="K2100" s="24"/>
    </row>
    <row r="2101" spans="11:11" ht="15" customHeight="1">
      <c r="K2101" s="24"/>
    </row>
    <row r="2102" spans="11:11" ht="15" customHeight="1">
      <c r="K2102" s="24"/>
    </row>
    <row r="2103" spans="11:11" ht="15" customHeight="1">
      <c r="K2103" s="24"/>
    </row>
    <row r="2104" spans="11:11" ht="15" customHeight="1">
      <c r="K2104" s="24"/>
    </row>
    <row r="2105" spans="11:11" ht="15" customHeight="1">
      <c r="K2105" s="24"/>
    </row>
    <row r="2106" spans="11:11" ht="15" customHeight="1">
      <c r="K2106" s="24"/>
    </row>
    <row r="2107" spans="11:11" ht="15" customHeight="1">
      <c r="K2107" s="24"/>
    </row>
    <row r="2108" spans="11:11" ht="15" customHeight="1">
      <c r="K2108" s="24"/>
    </row>
    <row r="2109" spans="11:11" ht="15" customHeight="1">
      <c r="K2109" s="24"/>
    </row>
    <row r="2110" spans="11:11" ht="15" customHeight="1">
      <c r="K2110" s="24"/>
    </row>
    <row r="2111" spans="11:11" ht="15" customHeight="1">
      <c r="K2111" s="24"/>
    </row>
    <row r="2112" spans="11:11" ht="15" customHeight="1">
      <c r="K2112" s="24"/>
    </row>
    <row r="2113" spans="11:11" ht="15" customHeight="1">
      <c r="K2113" s="24"/>
    </row>
    <row r="2114" spans="11:11" ht="15" customHeight="1">
      <c r="K2114" s="24"/>
    </row>
    <row r="2115" spans="11:11" ht="15" customHeight="1">
      <c r="K2115" s="24"/>
    </row>
    <row r="2116" spans="11:11" ht="15" customHeight="1">
      <c r="K2116" s="24"/>
    </row>
    <row r="2117" spans="11:11" ht="15" customHeight="1">
      <c r="K2117" s="24"/>
    </row>
    <row r="2118" spans="11:11" ht="15" customHeight="1">
      <c r="K2118" s="24"/>
    </row>
    <row r="2119" spans="11:11" ht="15" customHeight="1">
      <c r="K2119" s="24"/>
    </row>
    <row r="2120" spans="11:11" ht="15" customHeight="1">
      <c r="K2120" s="24"/>
    </row>
    <row r="2121" spans="11:11" ht="15" customHeight="1">
      <c r="K2121" s="24"/>
    </row>
    <row r="2122" spans="11:11" ht="15" customHeight="1">
      <c r="K2122" s="24"/>
    </row>
    <row r="2123" spans="11:11" ht="15" customHeight="1">
      <c r="K2123" s="24"/>
    </row>
    <row r="2124" spans="11:11" ht="15" customHeight="1">
      <c r="K2124" s="24"/>
    </row>
    <row r="2125" spans="11:11" ht="15" customHeight="1">
      <c r="K2125" s="24"/>
    </row>
    <row r="2126" spans="11:11" ht="15" customHeight="1">
      <c r="K2126" s="24"/>
    </row>
    <row r="2127" spans="11:11" ht="15" customHeight="1">
      <c r="K2127" s="24"/>
    </row>
    <row r="2128" spans="11:11" ht="15" customHeight="1">
      <c r="K2128" s="24"/>
    </row>
    <row r="2129" spans="11:11" ht="15" customHeight="1">
      <c r="K2129" s="24"/>
    </row>
    <row r="2130" spans="11:11" ht="15" customHeight="1">
      <c r="K2130" s="24"/>
    </row>
    <row r="2131" spans="11:11" ht="15" customHeight="1">
      <c r="K2131" s="24"/>
    </row>
    <row r="2132" spans="11:11" ht="15" customHeight="1">
      <c r="K2132" s="24"/>
    </row>
    <row r="2133" spans="11:11" ht="15" customHeight="1">
      <c r="K2133" s="24"/>
    </row>
    <row r="2134" spans="11:11" ht="15" customHeight="1">
      <c r="K2134" s="24"/>
    </row>
    <row r="2135" spans="11:11" ht="15" customHeight="1">
      <c r="K2135" s="24"/>
    </row>
    <row r="2136" spans="11:11" ht="15" customHeight="1">
      <c r="K2136" s="24"/>
    </row>
    <row r="2137" spans="11:11" ht="15" customHeight="1">
      <c r="K2137" s="24"/>
    </row>
    <row r="2138" spans="11:11" ht="15" customHeight="1">
      <c r="K2138" s="24"/>
    </row>
    <row r="2139" spans="11:11" ht="15" customHeight="1">
      <c r="K2139" s="24"/>
    </row>
    <row r="2140" spans="11:11" ht="15" customHeight="1">
      <c r="K2140" s="24"/>
    </row>
    <row r="2141" spans="11:11" ht="15" customHeight="1">
      <c r="K2141" s="24"/>
    </row>
    <row r="2142" spans="11:11" ht="15" customHeight="1">
      <c r="K2142" s="24"/>
    </row>
    <row r="2143" spans="11:11" ht="15" customHeight="1">
      <c r="K2143" s="24"/>
    </row>
    <row r="2144" spans="11:11" ht="15" customHeight="1">
      <c r="K2144" s="24"/>
    </row>
    <row r="2145" spans="11:11" ht="15" customHeight="1">
      <c r="K2145" s="24"/>
    </row>
    <row r="2146" spans="11:11" ht="15" customHeight="1">
      <c r="K2146" s="24"/>
    </row>
    <row r="2147" spans="11:11" ht="15" customHeight="1">
      <c r="K2147" s="24"/>
    </row>
    <row r="2148" spans="11:11" ht="15" customHeight="1">
      <c r="K2148" s="24"/>
    </row>
    <row r="2149" spans="11:11" ht="15" customHeight="1">
      <c r="K2149" s="24"/>
    </row>
    <row r="2150" spans="11:11" ht="15" customHeight="1">
      <c r="K2150" s="24"/>
    </row>
    <row r="2151" spans="11:11" ht="15" customHeight="1">
      <c r="K2151" s="24"/>
    </row>
    <row r="2152" spans="11:11" ht="15" customHeight="1">
      <c r="K2152" s="24"/>
    </row>
    <row r="2153" spans="11:11" ht="15" customHeight="1">
      <c r="K2153" s="24"/>
    </row>
    <row r="2154" spans="11:11" ht="15" customHeight="1">
      <c r="K2154" s="24"/>
    </row>
    <row r="2155" spans="11:11" ht="15" customHeight="1">
      <c r="K2155" s="24"/>
    </row>
    <row r="2156" spans="11:11" ht="15" customHeight="1">
      <c r="K2156" s="24"/>
    </row>
    <row r="2157" spans="11:11" ht="15" customHeight="1">
      <c r="K2157" s="24"/>
    </row>
    <row r="2158" spans="11:11" ht="15" customHeight="1">
      <c r="K2158" s="24"/>
    </row>
    <row r="2159" spans="11:11" ht="15" customHeight="1">
      <c r="K2159" s="24"/>
    </row>
    <row r="2160" spans="11:11" ht="15" customHeight="1">
      <c r="K2160" s="24"/>
    </row>
    <row r="2161" spans="11:11" ht="15" customHeight="1">
      <c r="K2161" s="24"/>
    </row>
    <row r="2162" spans="11:11" ht="15" customHeight="1">
      <c r="K2162" s="24"/>
    </row>
    <row r="2163" spans="11:11" ht="15" customHeight="1">
      <c r="K2163" s="24"/>
    </row>
    <row r="2164" spans="11:11" ht="15" customHeight="1">
      <c r="K2164" s="24"/>
    </row>
    <row r="2165" spans="11:11" ht="15" customHeight="1">
      <c r="K2165" s="24"/>
    </row>
    <row r="2166" spans="11:11" ht="15" customHeight="1">
      <c r="K2166" s="24"/>
    </row>
    <row r="2167" spans="11:11" ht="15" customHeight="1">
      <c r="K2167" s="24"/>
    </row>
    <row r="2168" spans="11:11" ht="15" customHeight="1">
      <c r="K2168" s="24"/>
    </row>
    <row r="2169" spans="11:11" ht="15" customHeight="1">
      <c r="K2169" s="24"/>
    </row>
    <row r="2170" spans="11:11" ht="15" customHeight="1">
      <c r="K2170" s="24"/>
    </row>
    <row r="2171" spans="11:11" ht="15" customHeight="1">
      <c r="K2171" s="24"/>
    </row>
    <row r="2172" spans="11:11" ht="15" customHeight="1">
      <c r="K2172" s="24"/>
    </row>
    <row r="2173" spans="11:11" ht="15" customHeight="1">
      <c r="K2173" s="24"/>
    </row>
    <row r="2174" spans="11:11" ht="15" customHeight="1">
      <c r="K2174" s="24"/>
    </row>
    <row r="2175" spans="11:11" ht="15" customHeight="1">
      <c r="K2175" s="24"/>
    </row>
    <row r="2176" spans="11:11" ht="15" customHeight="1">
      <c r="K2176" s="24"/>
    </row>
    <row r="2177" spans="11:11" ht="15" customHeight="1">
      <c r="K2177" s="24"/>
    </row>
    <row r="2178" spans="11:11" ht="15" customHeight="1">
      <c r="K2178" s="24"/>
    </row>
    <row r="2179" spans="11:11" ht="15" customHeight="1">
      <c r="K2179" s="24"/>
    </row>
    <row r="2180" spans="11:11" ht="15" customHeight="1">
      <c r="K2180" s="24"/>
    </row>
    <row r="2181" spans="11:11" ht="15" customHeight="1">
      <c r="K2181" s="24"/>
    </row>
    <row r="2182" spans="11:11" ht="15" customHeight="1">
      <c r="K2182" s="24"/>
    </row>
    <row r="2183" spans="11:11" ht="15" customHeight="1">
      <c r="K2183" s="24"/>
    </row>
    <row r="2184" spans="11:11" ht="15" customHeight="1">
      <c r="K2184" s="24"/>
    </row>
    <row r="2185" spans="11:11" ht="15" customHeight="1">
      <c r="K2185" s="24"/>
    </row>
    <row r="2186" spans="11:11" ht="15" customHeight="1">
      <c r="K2186" s="24"/>
    </row>
    <row r="2187" spans="11:11" ht="15" customHeight="1">
      <c r="K2187" s="24"/>
    </row>
    <row r="2188" spans="11:11" ht="15" customHeight="1">
      <c r="K2188" s="24"/>
    </row>
    <row r="2189" spans="11:11" ht="15" customHeight="1">
      <c r="K2189" s="24"/>
    </row>
    <row r="2190" spans="11:11" ht="15" customHeight="1">
      <c r="K2190" s="24"/>
    </row>
    <row r="2191" spans="11:11" ht="15" customHeight="1">
      <c r="K2191" s="24"/>
    </row>
    <row r="2192" spans="11:11" ht="15" customHeight="1">
      <c r="K2192" s="24"/>
    </row>
    <row r="2193" spans="11:11" ht="15" customHeight="1">
      <c r="K2193" s="24"/>
    </row>
    <row r="2194" spans="11:11" ht="15" customHeight="1">
      <c r="K2194" s="24"/>
    </row>
    <row r="2195" spans="11:11" ht="15" customHeight="1">
      <c r="K2195" s="24"/>
    </row>
    <row r="2196" spans="11:11" ht="15" customHeight="1">
      <c r="K2196" s="24"/>
    </row>
    <row r="2197" spans="11:11" ht="15" customHeight="1">
      <c r="K2197" s="24"/>
    </row>
    <row r="2198" spans="11:11" ht="15" customHeight="1">
      <c r="K2198" s="24"/>
    </row>
    <row r="2199" spans="11:11" ht="15" customHeight="1">
      <c r="K2199" s="24"/>
    </row>
    <row r="2200" spans="11:11" ht="15" customHeight="1">
      <c r="K2200" s="24"/>
    </row>
    <row r="2201" spans="11:11" ht="15" customHeight="1">
      <c r="K2201" s="24"/>
    </row>
    <row r="2202" spans="11:11" ht="15" customHeight="1">
      <c r="K2202" s="24"/>
    </row>
    <row r="2203" spans="11:11" ht="15" customHeight="1">
      <c r="K2203" s="24"/>
    </row>
    <row r="2204" spans="11:11" ht="15" customHeight="1">
      <c r="K2204" s="24"/>
    </row>
    <row r="2205" spans="11:11" ht="15" customHeight="1">
      <c r="K2205" s="24"/>
    </row>
    <row r="2206" spans="11:11" ht="15" customHeight="1">
      <c r="K2206" s="24"/>
    </row>
    <row r="2207" spans="11:11" ht="15" customHeight="1">
      <c r="K2207" s="24"/>
    </row>
    <row r="2208" spans="11:11" ht="15" customHeight="1">
      <c r="K2208" s="24"/>
    </row>
    <row r="2209" spans="11:11" ht="15" customHeight="1">
      <c r="K2209" s="24"/>
    </row>
    <row r="2210" spans="11:11" ht="15" customHeight="1">
      <c r="K2210" s="24"/>
    </row>
    <row r="2211" spans="11:11" ht="15" customHeight="1">
      <c r="K2211" s="24"/>
    </row>
    <row r="2212" spans="11:11" ht="15" customHeight="1">
      <c r="K2212" s="24"/>
    </row>
    <row r="2213" spans="11:11" ht="15" customHeight="1">
      <c r="K2213" s="24"/>
    </row>
    <row r="2214" spans="11:11" ht="15" customHeight="1">
      <c r="K2214" s="24"/>
    </row>
    <row r="2215" spans="11:11" ht="15" customHeight="1">
      <c r="K2215" s="24"/>
    </row>
    <row r="2216" spans="11:11" ht="15" customHeight="1">
      <c r="K2216" s="24"/>
    </row>
    <row r="2217" spans="11:11" ht="15" customHeight="1">
      <c r="K2217" s="24"/>
    </row>
    <row r="2218" spans="11:11" ht="15" customHeight="1">
      <c r="K2218" s="24"/>
    </row>
    <row r="2219" spans="11:11" ht="15" customHeight="1">
      <c r="K2219" s="24"/>
    </row>
    <row r="2220" spans="11:11" ht="15" customHeight="1">
      <c r="K2220" s="24"/>
    </row>
    <row r="2221" spans="11:11" ht="15" customHeight="1">
      <c r="K2221" s="24"/>
    </row>
    <row r="2222" spans="11:11" ht="15" customHeight="1">
      <c r="K2222" s="24"/>
    </row>
    <row r="2223" spans="11:11" ht="15" customHeight="1">
      <c r="K2223" s="24"/>
    </row>
    <row r="2224" spans="11:11" ht="15" customHeight="1">
      <c r="K2224" s="24"/>
    </row>
    <row r="2225" spans="11:11" ht="15" customHeight="1">
      <c r="K2225" s="24"/>
    </row>
    <row r="2226" spans="11:11" ht="15" customHeight="1">
      <c r="K2226" s="24"/>
    </row>
    <row r="2227" spans="11:11" ht="15" customHeight="1">
      <c r="K2227" s="24"/>
    </row>
    <row r="2228" spans="11:11" ht="15" customHeight="1">
      <c r="K2228" s="24"/>
    </row>
    <row r="2229" spans="11:11" ht="15" customHeight="1">
      <c r="K2229" s="24"/>
    </row>
    <row r="2230" spans="11:11" ht="15" customHeight="1">
      <c r="K2230" s="24"/>
    </row>
    <row r="2231" spans="11:11" ht="15" customHeight="1">
      <c r="K2231" s="24"/>
    </row>
    <row r="2232" spans="11:11" ht="15" customHeight="1">
      <c r="K2232" s="24"/>
    </row>
    <row r="2233" spans="11:11" ht="15" customHeight="1">
      <c r="K2233" s="24"/>
    </row>
    <row r="2234" spans="11:11" ht="15" customHeight="1">
      <c r="K2234" s="24"/>
    </row>
    <row r="2235" spans="11:11" ht="15" customHeight="1">
      <c r="K2235" s="24"/>
    </row>
    <row r="2236" spans="11:11" ht="15" customHeight="1">
      <c r="K2236" s="24"/>
    </row>
    <row r="2237" spans="11:11" ht="15" customHeight="1">
      <c r="K2237" s="24"/>
    </row>
    <row r="2238" spans="11:11" ht="15" customHeight="1">
      <c r="K2238" s="24"/>
    </row>
    <row r="2239" spans="11:11" ht="15" customHeight="1">
      <c r="K2239" s="24"/>
    </row>
    <row r="2240" spans="11:11" ht="15" customHeight="1">
      <c r="K2240" s="24"/>
    </row>
    <row r="2241" spans="11:11" ht="15" customHeight="1">
      <c r="K2241" s="24"/>
    </row>
    <row r="2242" spans="11:11" ht="15" customHeight="1">
      <c r="K2242" s="24"/>
    </row>
    <row r="2243" spans="11:11" ht="15" customHeight="1">
      <c r="K2243" s="24"/>
    </row>
    <row r="2244" spans="11:11" ht="15" customHeight="1">
      <c r="K2244" s="24"/>
    </row>
    <row r="2245" spans="11:11" ht="15" customHeight="1">
      <c r="K2245" s="24"/>
    </row>
    <row r="2246" spans="11:11" ht="15" customHeight="1">
      <c r="K2246" s="24"/>
    </row>
    <row r="2247" spans="11:11" ht="15" customHeight="1">
      <c r="K2247" s="24"/>
    </row>
    <row r="2248" spans="11:11" ht="15" customHeight="1">
      <c r="K2248" s="24"/>
    </row>
    <row r="2249" spans="11:11" ht="15" customHeight="1">
      <c r="K2249" s="24"/>
    </row>
    <row r="2250" spans="11:11" ht="15" customHeight="1">
      <c r="K2250" s="24"/>
    </row>
    <row r="2251" spans="11:11" ht="15" customHeight="1">
      <c r="K2251" s="24"/>
    </row>
    <row r="2252" spans="11:11" ht="15" customHeight="1">
      <c r="K2252" s="24"/>
    </row>
    <row r="2253" spans="11:11" ht="15" customHeight="1">
      <c r="K2253" s="24"/>
    </row>
    <row r="2254" spans="11:11" ht="15" customHeight="1">
      <c r="K2254" s="24"/>
    </row>
    <row r="2255" spans="11:11" ht="15" customHeight="1">
      <c r="K2255" s="24"/>
    </row>
    <row r="2256" spans="11:11" ht="15" customHeight="1">
      <c r="K2256" s="24"/>
    </row>
    <row r="2257" spans="11:11" ht="15" customHeight="1">
      <c r="K2257" s="24"/>
    </row>
    <row r="2258" spans="11:11" ht="15" customHeight="1">
      <c r="K2258" s="24"/>
    </row>
    <row r="2259" spans="11:11" ht="15" customHeight="1">
      <c r="K2259" s="24"/>
    </row>
    <row r="2260" spans="11:11" ht="15" customHeight="1">
      <c r="K2260" s="24"/>
    </row>
    <row r="2261" spans="11:11" ht="15" customHeight="1">
      <c r="K2261" s="24"/>
    </row>
    <row r="2262" spans="11:11" ht="15" customHeight="1">
      <c r="K2262" s="24"/>
    </row>
    <row r="2263" spans="11:11" ht="15" customHeight="1">
      <c r="K2263" s="24"/>
    </row>
    <row r="2264" spans="11:11" ht="15" customHeight="1">
      <c r="K2264" s="24"/>
    </row>
    <row r="2265" spans="11:11" ht="15" customHeight="1">
      <c r="K2265" s="24"/>
    </row>
    <row r="2266" spans="11:11" ht="15" customHeight="1">
      <c r="K2266" s="24"/>
    </row>
    <row r="2267" spans="11:11" ht="15" customHeight="1">
      <c r="K2267" s="24"/>
    </row>
    <row r="2268" spans="11:11" ht="15" customHeight="1">
      <c r="K2268" s="24"/>
    </row>
    <row r="2269" spans="11:11" ht="15" customHeight="1">
      <c r="K2269" s="24"/>
    </row>
    <row r="2270" spans="11:11" ht="15" customHeight="1">
      <c r="K2270" s="24"/>
    </row>
    <row r="2271" spans="11:11" ht="15" customHeight="1">
      <c r="K2271" s="24"/>
    </row>
    <row r="2272" spans="11:11" ht="15" customHeight="1">
      <c r="K2272" s="24"/>
    </row>
    <row r="2273" spans="11:11" ht="15" customHeight="1">
      <c r="K2273" s="24"/>
    </row>
    <row r="2274" spans="11:11" ht="15" customHeight="1">
      <c r="K2274" s="24"/>
    </row>
    <row r="2275" spans="11:11" ht="15" customHeight="1">
      <c r="K2275" s="24"/>
    </row>
    <row r="2276" spans="11:11" ht="15" customHeight="1">
      <c r="K2276" s="24"/>
    </row>
    <row r="2277" spans="11:11" ht="15" customHeight="1">
      <c r="K2277" s="24"/>
    </row>
    <row r="2278" spans="11:11" ht="15" customHeight="1">
      <c r="K2278" s="24"/>
    </row>
    <row r="2279" spans="11:11" ht="15" customHeight="1">
      <c r="K2279" s="24"/>
    </row>
    <row r="2280" spans="11:11" ht="15" customHeight="1">
      <c r="K2280" s="24"/>
    </row>
    <row r="2281" spans="11:11" ht="15" customHeight="1">
      <c r="K2281" s="24"/>
    </row>
    <row r="2282" spans="11:11" ht="15" customHeight="1">
      <c r="K2282" s="24"/>
    </row>
    <row r="2283" spans="11:11" ht="15" customHeight="1">
      <c r="K2283" s="24"/>
    </row>
    <row r="2284" spans="11:11" ht="15" customHeight="1">
      <c r="K2284" s="24"/>
    </row>
    <row r="2285" spans="11:11" ht="15" customHeight="1">
      <c r="K2285" s="24"/>
    </row>
    <row r="2286" spans="11:11" ht="15" customHeight="1">
      <c r="K2286" s="24"/>
    </row>
    <row r="2287" spans="11:11" ht="15" customHeight="1">
      <c r="K2287" s="24"/>
    </row>
    <row r="2288" spans="11:11" ht="15" customHeight="1">
      <c r="K2288" s="24"/>
    </row>
    <row r="2289" spans="11:11" ht="15" customHeight="1">
      <c r="K2289" s="24"/>
    </row>
    <row r="2290" spans="11:11" ht="15" customHeight="1">
      <c r="K2290" s="24"/>
    </row>
    <row r="2291" spans="11:11" ht="15" customHeight="1">
      <c r="K2291" s="24"/>
    </row>
    <row r="2292" spans="11:11" ht="15" customHeight="1">
      <c r="K2292" s="24"/>
    </row>
    <row r="2293" spans="11:11" ht="15" customHeight="1">
      <c r="K2293" s="24"/>
    </row>
    <row r="2294" spans="11:11" ht="15" customHeight="1">
      <c r="K2294" s="24"/>
    </row>
    <row r="2295" spans="11:11" ht="15" customHeight="1">
      <c r="K2295" s="24"/>
    </row>
    <row r="2296" spans="11:11" ht="15" customHeight="1">
      <c r="K2296" s="24"/>
    </row>
    <row r="2297" spans="11:11" ht="15" customHeight="1">
      <c r="K2297" s="24"/>
    </row>
    <row r="2298" spans="11:11" ht="15" customHeight="1">
      <c r="K2298" s="24"/>
    </row>
    <row r="2299" spans="11:11" ht="15" customHeight="1">
      <c r="K2299" s="24"/>
    </row>
    <row r="2300" spans="11:11" ht="15" customHeight="1">
      <c r="K2300" s="24"/>
    </row>
    <row r="2301" spans="11:11" ht="15" customHeight="1">
      <c r="K2301" s="24"/>
    </row>
    <row r="2302" spans="11:11" ht="15" customHeight="1">
      <c r="K2302" s="24"/>
    </row>
    <row r="2303" spans="11:11" ht="15" customHeight="1">
      <c r="K2303" s="24"/>
    </row>
    <row r="2304" spans="11:11" ht="15" customHeight="1">
      <c r="K2304" s="24"/>
    </row>
    <row r="2305" spans="11:11" ht="15" customHeight="1">
      <c r="K2305" s="24"/>
    </row>
    <row r="2306" spans="11:11" ht="15" customHeight="1">
      <c r="K2306" s="24"/>
    </row>
    <row r="2307" spans="11:11" ht="15" customHeight="1">
      <c r="K2307" s="24"/>
    </row>
    <row r="2308" spans="11:11" ht="15" customHeight="1">
      <c r="K2308" s="24"/>
    </row>
    <row r="2309" spans="11:11" ht="15" customHeight="1">
      <c r="K2309" s="24"/>
    </row>
    <row r="2310" spans="11:11" ht="15" customHeight="1">
      <c r="K2310" s="24"/>
    </row>
    <row r="2311" spans="11:11" ht="15" customHeight="1">
      <c r="K2311" s="24"/>
    </row>
    <row r="2312" spans="11:11" ht="15" customHeight="1">
      <c r="K2312" s="24"/>
    </row>
    <row r="2313" spans="11:11" ht="15" customHeight="1">
      <c r="K2313" s="24"/>
    </row>
    <row r="2314" spans="11:11" ht="15" customHeight="1">
      <c r="K2314" s="24"/>
    </row>
    <row r="2315" spans="11:11" ht="15" customHeight="1">
      <c r="K2315" s="24"/>
    </row>
    <row r="2316" spans="11:11" ht="15" customHeight="1">
      <c r="K2316" s="24"/>
    </row>
    <row r="2317" spans="11:11" ht="15" customHeight="1">
      <c r="K2317" s="24"/>
    </row>
    <row r="2318" spans="11:11" ht="15" customHeight="1">
      <c r="K2318" s="24"/>
    </row>
    <row r="2319" spans="11:11" ht="15" customHeight="1">
      <c r="K2319" s="24"/>
    </row>
    <row r="2320" spans="11:11" ht="15" customHeight="1">
      <c r="K2320" s="24"/>
    </row>
    <row r="2321" spans="11:11" ht="15" customHeight="1">
      <c r="K2321" s="24"/>
    </row>
    <row r="2322" spans="11:11" ht="15" customHeight="1">
      <c r="K2322" s="24"/>
    </row>
    <row r="2323" spans="11:11" ht="15" customHeight="1">
      <c r="K2323" s="24"/>
    </row>
    <row r="2324" spans="11:11" ht="15" customHeight="1">
      <c r="K2324" s="24"/>
    </row>
    <row r="2325" spans="11:11" ht="15" customHeight="1">
      <c r="K2325" s="24"/>
    </row>
    <row r="2326" spans="11:11" ht="15" customHeight="1">
      <c r="K2326" s="24"/>
    </row>
    <row r="2327" spans="11:11" ht="15" customHeight="1">
      <c r="K2327" s="24"/>
    </row>
    <row r="2328" spans="11:11" ht="15" customHeight="1">
      <c r="K2328" s="24"/>
    </row>
    <row r="2329" spans="11:11" ht="15" customHeight="1">
      <c r="K2329" s="24"/>
    </row>
    <row r="2330" spans="11:11" ht="15" customHeight="1">
      <c r="K2330" s="24"/>
    </row>
    <row r="2331" spans="11:11" ht="15" customHeight="1">
      <c r="K2331" s="24"/>
    </row>
    <row r="2332" spans="11:11" ht="15" customHeight="1">
      <c r="K2332" s="24"/>
    </row>
    <row r="2333" spans="11:11" ht="15" customHeight="1">
      <c r="K2333" s="24"/>
    </row>
    <row r="2334" spans="11:11" ht="15" customHeight="1">
      <c r="K2334" s="24"/>
    </row>
    <row r="2335" spans="11:11" ht="15" customHeight="1">
      <c r="K2335" s="24"/>
    </row>
    <row r="2336" spans="11:11" ht="15" customHeight="1">
      <c r="K2336" s="24"/>
    </row>
    <row r="2337" spans="11:11" ht="15" customHeight="1">
      <c r="K2337" s="24"/>
    </row>
    <row r="2338" spans="11:11" ht="15" customHeight="1">
      <c r="K2338" s="24"/>
    </row>
    <row r="2339" spans="11:11" ht="15" customHeight="1">
      <c r="K2339" s="24"/>
    </row>
    <row r="2340" spans="11:11" ht="15" customHeight="1">
      <c r="K2340" s="24"/>
    </row>
    <row r="2341" spans="11:11" ht="15" customHeight="1">
      <c r="K2341" s="24"/>
    </row>
    <row r="2342" spans="11:11" ht="15" customHeight="1">
      <c r="K2342" s="24"/>
    </row>
    <row r="2343" spans="11:11" ht="15" customHeight="1">
      <c r="K2343" s="24"/>
    </row>
    <row r="2344" spans="11:11" ht="15" customHeight="1">
      <c r="K2344" s="24"/>
    </row>
    <row r="2345" spans="11:11" ht="15" customHeight="1">
      <c r="K2345" s="24"/>
    </row>
    <row r="2346" spans="11:11" ht="15" customHeight="1">
      <c r="K2346" s="24"/>
    </row>
    <row r="2347" spans="11:11" ht="15" customHeight="1">
      <c r="K2347" s="24"/>
    </row>
    <row r="2348" spans="11:11" ht="15" customHeight="1">
      <c r="K2348" s="24"/>
    </row>
    <row r="2349" spans="11:11" ht="15" customHeight="1">
      <c r="K2349" s="24"/>
    </row>
    <row r="2350" spans="11:11" ht="15" customHeight="1">
      <c r="K2350" s="24"/>
    </row>
    <row r="2351" spans="11:11" ht="15" customHeight="1">
      <c r="K2351" s="24"/>
    </row>
    <row r="2352" spans="11:11" ht="15" customHeight="1">
      <c r="K2352" s="24"/>
    </row>
    <row r="2353" spans="11:11" ht="15" customHeight="1">
      <c r="K2353" s="24"/>
    </row>
    <row r="2354" spans="11:11" ht="15" customHeight="1">
      <c r="K2354" s="24"/>
    </row>
    <row r="2355" spans="11:11" ht="15" customHeight="1">
      <c r="K2355" s="24"/>
    </row>
    <row r="2356" spans="11:11" ht="15" customHeight="1">
      <c r="K2356" s="24"/>
    </row>
    <row r="2357" spans="11:11" ht="15" customHeight="1">
      <c r="K2357" s="24"/>
    </row>
    <row r="2358" spans="11:11" ht="15" customHeight="1">
      <c r="K2358" s="24"/>
    </row>
    <row r="2359" spans="11:11" ht="15" customHeight="1">
      <c r="K2359" s="24"/>
    </row>
    <row r="2360" spans="11:11" ht="15" customHeight="1">
      <c r="K2360" s="24"/>
    </row>
    <row r="2361" spans="11:11" ht="15" customHeight="1">
      <c r="K2361" s="24"/>
    </row>
    <row r="2362" spans="11:11" ht="15" customHeight="1">
      <c r="K2362" s="24"/>
    </row>
    <row r="2363" spans="11:11" ht="15" customHeight="1">
      <c r="K2363" s="24"/>
    </row>
    <row r="2364" spans="11:11" ht="15" customHeight="1">
      <c r="K2364" s="24"/>
    </row>
    <row r="2365" spans="11:11" ht="15" customHeight="1">
      <c r="K2365" s="24"/>
    </row>
    <row r="2366" spans="11:11" ht="15" customHeight="1">
      <c r="K2366" s="24"/>
    </row>
    <row r="2367" spans="11:11" ht="15" customHeight="1">
      <c r="K2367" s="24"/>
    </row>
    <row r="2368" spans="11:11" ht="15" customHeight="1">
      <c r="K2368" s="24"/>
    </row>
    <row r="2369" spans="11:11" ht="15" customHeight="1">
      <c r="K2369" s="24"/>
    </row>
    <row r="2370" spans="11:11" ht="15" customHeight="1">
      <c r="K2370" s="24"/>
    </row>
    <row r="2371" spans="11:11" ht="15" customHeight="1">
      <c r="K2371" s="24"/>
    </row>
    <row r="2372" spans="11:11" ht="15" customHeight="1">
      <c r="K2372" s="24"/>
    </row>
    <row r="2373" spans="11:11" ht="15" customHeight="1">
      <c r="K2373" s="24"/>
    </row>
    <row r="2374" spans="11:11" ht="15" customHeight="1">
      <c r="K2374" s="24"/>
    </row>
    <row r="2375" spans="11:11" ht="15" customHeight="1">
      <c r="K2375" s="24"/>
    </row>
    <row r="2376" spans="11:11" ht="15" customHeight="1">
      <c r="K2376" s="24"/>
    </row>
    <row r="2377" spans="11:11" ht="15" customHeight="1">
      <c r="K2377" s="24"/>
    </row>
    <row r="2378" spans="11:11" ht="15" customHeight="1">
      <c r="K2378" s="24"/>
    </row>
    <row r="2379" spans="11:11" ht="15" customHeight="1">
      <c r="K2379" s="24"/>
    </row>
    <row r="2380" spans="11:11" ht="15" customHeight="1">
      <c r="K2380" s="24"/>
    </row>
    <row r="2381" spans="11:11" ht="15" customHeight="1">
      <c r="K2381" s="24"/>
    </row>
    <row r="2382" spans="11:11" ht="15" customHeight="1">
      <c r="K2382" s="24"/>
    </row>
    <row r="2383" spans="11:11" ht="15" customHeight="1">
      <c r="K2383" s="24"/>
    </row>
    <row r="2384" spans="11:11" ht="15" customHeight="1">
      <c r="K2384" s="24"/>
    </row>
    <row r="2385" spans="11:11" ht="15" customHeight="1">
      <c r="K2385" s="24"/>
    </row>
    <row r="2386" spans="11:11" ht="15" customHeight="1">
      <c r="K2386" s="24"/>
    </row>
    <row r="2387" spans="11:11" ht="15" customHeight="1">
      <c r="K2387" s="24"/>
    </row>
    <row r="2388" spans="11:11" ht="15" customHeight="1">
      <c r="K2388" s="24"/>
    </row>
    <row r="2389" spans="11:11" ht="15" customHeight="1">
      <c r="K2389" s="24"/>
    </row>
    <row r="2390" spans="11:11" ht="15" customHeight="1">
      <c r="K2390" s="24"/>
    </row>
    <row r="2391" spans="11:11" ht="15" customHeight="1">
      <c r="K2391" s="24"/>
    </row>
    <row r="2392" spans="11:11" ht="15" customHeight="1">
      <c r="K2392" s="24"/>
    </row>
    <row r="2393" spans="11:11" ht="15" customHeight="1">
      <c r="K2393" s="24"/>
    </row>
    <row r="2394" spans="11:11" ht="15" customHeight="1">
      <c r="K2394" s="24"/>
    </row>
    <row r="2395" spans="11:11" ht="15" customHeight="1">
      <c r="K2395" s="24"/>
    </row>
    <row r="2396" spans="11:11" ht="15" customHeight="1">
      <c r="K2396" s="24"/>
    </row>
    <row r="2397" spans="11:11" ht="15" customHeight="1">
      <c r="K2397" s="24"/>
    </row>
    <row r="2398" spans="11:11" ht="15" customHeight="1">
      <c r="K2398" s="24"/>
    </row>
    <row r="2399" spans="11:11" ht="15" customHeight="1">
      <c r="K2399" s="24"/>
    </row>
    <row r="2400" spans="11:11" ht="15" customHeight="1">
      <c r="K2400" s="24"/>
    </row>
    <row r="2401" spans="11:11" ht="15" customHeight="1">
      <c r="K2401" s="24"/>
    </row>
    <row r="2402" spans="11:11" ht="15" customHeight="1">
      <c r="K2402" s="24"/>
    </row>
    <row r="2403" spans="11:11" ht="15" customHeight="1">
      <c r="K2403" s="24"/>
    </row>
    <row r="2404" spans="11:11" ht="15" customHeight="1">
      <c r="K2404" s="24"/>
    </row>
    <row r="2405" spans="11:11" ht="15" customHeight="1">
      <c r="K2405" s="24"/>
    </row>
    <row r="2406" spans="11:11" ht="15" customHeight="1">
      <c r="K2406" s="24"/>
    </row>
    <row r="2407" spans="11:11" ht="15" customHeight="1">
      <c r="K2407" s="24"/>
    </row>
    <row r="2408" spans="11:11" ht="15" customHeight="1">
      <c r="K2408" s="24"/>
    </row>
    <row r="2409" spans="11:11" ht="15" customHeight="1">
      <c r="K2409" s="24"/>
    </row>
    <row r="2410" spans="11:11" ht="15" customHeight="1">
      <c r="K2410" s="24"/>
    </row>
    <row r="2411" spans="11:11" ht="15" customHeight="1">
      <c r="K2411" s="24"/>
    </row>
    <row r="2412" spans="11:11" ht="15" customHeight="1">
      <c r="K2412" s="24"/>
    </row>
    <row r="2413" spans="11:11" ht="15" customHeight="1">
      <c r="K2413" s="24"/>
    </row>
    <row r="2414" spans="11:11" ht="15" customHeight="1">
      <c r="K2414" s="24"/>
    </row>
    <row r="2415" spans="11:11" ht="15" customHeight="1">
      <c r="K2415" s="24"/>
    </row>
    <row r="2416" spans="11:11" ht="15" customHeight="1">
      <c r="K2416" s="24"/>
    </row>
    <row r="2417" spans="11:11" ht="15" customHeight="1">
      <c r="K2417" s="24"/>
    </row>
    <row r="2418" spans="11:11" ht="15" customHeight="1">
      <c r="K2418" s="24"/>
    </row>
    <row r="2419" spans="11:11" ht="15" customHeight="1">
      <c r="K2419" s="24"/>
    </row>
    <row r="2420" spans="11:11" ht="15" customHeight="1">
      <c r="K2420" s="24"/>
    </row>
    <row r="2421" spans="11:11" ht="15" customHeight="1">
      <c r="K2421" s="24"/>
    </row>
    <row r="2422" spans="11:11" ht="15" customHeight="1">
      <c r="K2422" s="24"/>
    </row>
    <row r="2423" spans="11:11" ht="15" customHeight="1">
      <c r="K2423" s="24"/>
    </row>
    <row r="2424" spans="11:11" ht="15" customHeight="1">
      <c r="K2424" s="24"/>
    </row>
    <row r="2425" spans="11:11" ht="15" customHeight="1">
      <c r="K2425" s="24"/>
    </row>
    <row r="2426" spans="11:11" ht="15" customHeight="1">
      <c r="K2426" s="24"/>
    </row>
    <row r="2427" spans="11:11" ht="15" customHeight="1">
      <c r="K2427" s="24"/>
    </row>
    <row r="2428" spans="11:11" ht="15" customHeight="1">
      <c r="K2428" s="24"/>
    </row>
    <row r="2429" spans="11:11" ht="15" customHeight="1">
      <c r="K2429" s="24"/>
    </row>
    <row r="2430" spans="11:11" ht="15" customHeight="1">
      <c r="K2430" s="24"/>
    </row>
    <row r="2431" spans="11:11" ht="15" customHeight="1">
      <c r="K2431" s="24"/>
    </row>
    <row r="2432" spans="11:11" ht="15" customHeight="1">
      <c r="K2432" s="24"/>
    </row>
    <row r="2433" spans="11:11" ht="15" customHeight="1">
      <c r="K2433" s="24"/>
    </row>
    <row r="2434" spans="11:11" ht="15" customHeight="1">
      <c r="K2434" s="24"/>
    </row>
    <row r="2435" spans="11:11" ht="15" customHeight="1">
      <c r="K2435" s="24"/>
    </row>
    <row r="2436" spans="11:11" ht="15" customHeight="1">
      <c r="K2436" s="24"/>
    </row>
    <row r="2437" spans="11:11" ht="15" customHeight="1">
      <c r="K2437" s="24"/>
    </row>
    <row r="2438" spans="11:11" ht="15" customHeight="1">
      <c r="K2438" s="24"/>
    </row>
    <row r="2439" spans="11:11" ht="15" customHeight="1">
      <c r="K2439" s="24"/>
    </row>
    <row r="2440" spans="11:11" ht="15" customHeight="1">
      <c r="K2440" s="24"/>
    </row>
    <row r="2441" spans="11:11" ht="15" customHeight="1">
      <c r="K2441" s="24"/>
    </row>
    <row r="2442" spans="11:11" ht="15" customHeight="1">
      <c r="K2442" s="24"/>
    </row>
    <row r="2443" spans="11:11" ht="15" customHeight="1">
      <c r="K2443" s="24"/>
    </row>
    <row r="2444" spans="11:11" ht="15" customHeight="1">
      <c r="K2444" s="24"/>
    </row>
    <row r="2445" spans="11:11" ht="15" customHeight="1">
      <c r="K2445" s="24"/>
    </row>
    <row r="2446" spans="11:11" ht="15" customHeight="1">
      <c r="K2446" s="24"/>
    </row>
    <row r="2447" spans="11:11" ht="15" customHeight="1">
      <c r="K2447" s="24"/>
    </row>
    <row r="2448" spans="11:11" ht="15" customHeight="1">
      <c r="K2448" s="24"/>
    </row>
    <row r="2449" spans="11:11" ht="15" customHeight="1">
      <c r="K2449" s="24"/>
    </row>
    <row r="2450" spans="11:11" ht="15" customHeight="1">
      <c r="K2450" s="24"/>
    </row>
    <row r="2451" spans="11:11" ht="15" customHeight="1">
      <c r="K2451" s="24"/>
    </row>
    <row r="2452" spans="11:11" ht="15" customHeight="1">
      <c r="K2452" s="24"/>
    </row>
    <row r="2453" spans="11:11" ht="15" customHeight="1">
      <c r="K2453" s="24"/>
    </row>
    <row r="2454" spans="11:11" ht="15" customHeight="1">
      <c r="K2454" s="24"/>
    </row>
    <row r="2455" spans="11:11" ht="15" customHeight="1">
      <c r="K2455" s="24"/>
    </row>
    <row r="2456" spans="11:11" ht="15" customHeight="1">
      <c r="K2456" s="24"/>
    </row>
    <row r="2457" spans="11:11" ht="15" customHeight="1">
      <c r="K2457" s="24"/>
    </row>
    <row r="2458" spans="11:11" ht="15" customHeight="1">
      <c r="K2458" s="24"/>
    </row>
    <row r="2459" spans="11:11" ht="15" customHeight="1">
      <c r="K2459" s="24"/>
    </row>
    <row r="2460" spans="11:11" ht="15" customHeight="1">
      <c r="K2460" s="24"/>
    </row>
    <row r="2461" spans="11:11" ht="15" customHeight="1">
      <c r="K2461" s="24"/>
    </row>
    <row r="2462" spans="11:11" ht="15" customHeight="1">
      <c r="K2462" s="24"/>
    </row>
    <row r="2463" spans="11:11" ht="15" customHeight="1">
      <c r="K2463" s="24"/>
    </row>
    <row r="2464" spans="11:11" ht="15" customHeight="1">
      <c r="K2464" s="24"/>
    </row>
    <row r="2465" spans="11:11" ht="15" customHeight="1">
      <c r="K2465" s="24"/>
    </row>
    <row r="2466" spans="11:11" ht="15" customHeight="1">
      <c r="K2466" s="24"/>
    </row>
    <row r="2467" spans="11:11" ht="15" customHeight="1">
      <c r="K2467" s="24"/>
    </row>
    <row r="2468" spans="11:11" ht="15" customHeight="1">
      <c r="K2468" s="24"/>
    </row>
    <row r="2469" spans="11:11" ht="15" customHeight="1">
      <c r="K2469" s="24"/>
    </row>
    <row r="2470" spans="11:11" ht="15" customHeight="1">
      <c r="K2470" s="24"/>
    </row>
    <row r="2471" spans="11:11" ht="15" customHeight="1">
      <c r="K2471" s="24"/>
    </row>
    <row r="2472" spans="11:11" ht="15" customHeight="1">
      <c r="K2472" s="24"/>
    </row>
    <row r="2473" spans="11:11" ht="15" customHeight="1">
      <c r="K2473" s="24"/>
    </row>
    <row r="2474" spans="11:11" ht="15" customHeight="1">
      <c r="K2474" s="24"/>
    </row>
    <row r="2475" spans="11:11" ht="15" customHeight="1">
      <c r="K2475" s="24"/>
    </row>
    <row r="2476" spans="11:11" ht="15" customHeight="1">
      <c r="K2476" s="24"/>
    </row>
    <row r="2477" spans="11:11" ht="15" customHeight="1">
      <c r="K2477" s="24"/>
    </row>
    <row r="2478" spans="11:11" ht="15" customHeight="1">
      <c r="K2478" s="24"/>
    </row>
    <row r="2479" spans="11:11" ht="15" customHeight="1">
      <c r="K2479" s="24"/>
    </row>
    <row r="2480" spans="11:11" ht="15" customHeight="1">
      <c r="K2480" s="24"/>
    </row>
    <row r="2481" spans="11:11" ht="15" customHeight="1">
      <c r="K2481" s="24"/>
    </row>
    <row r="2482" spans="11:11" ht="15" customHeight="1">
      <c r="K2482" s="24"/>
    </row>
    <row r="2483" spans="11:11" ht="15" customHeight="1">
      <c r="K2483" s="24"/>
    </row>
    <row r="2484" spans="11:11" ht="15" customHeight="1">
      <c r="K2484" s="24"/>
    </row>
    <row r="2485" spans="11:11" ht="15" customHeight="1">
      <c r="K2485" s="24"/>
    </row>
    <row r="2486" spans="11:11" ht="15" customHeight="1">
      <c r="K2486" s="24"/>
    </row>
    <row r="2487" spans="11:11" ht="15" customHeight="1">
      <c r="K2487" s="24"/>
    </row>
    <row r="2488" spans="11:11" ht="15" customHeight="1">
      <c r="K2488" s="24"/>
    </row>
    <row r="2489" spans="11:11" ht="15" customHeight="1">
      <c r="K2489" s="24"/>
    </row>
    <row r="2490" spans="11:11" ht="15" customHeight="1">
      <c r="K2490" s="24"/>
    </row>
    <row r="2491" spans="11:11" ht="15" customHeight="1">
      <c r="K2491" s="24"/>
    </row>
    <row r="2492" spans="11:11" ht="15" customHeight="1">
      <c r="K2492" s="24"/>
    </row>
    <row r="2493" spans="11:11" ht="15" customHeight="1">
      <c r="K2493" s="24"/>
    </row>
    <row r="2494" spans="11:11" ht="15" customHeight="1">
      <c r="K2494" s="24"/>
    </row>
    <row r="2495" spans="11:11" ht="15" customHeight="1">
      <c r="K2495" s="24"/>
    </row>
    <row r="2496" spans="11:11" ht="15" customHeight="1">
      <c r="K2496" s="24"/>
    </row>
    <row r="2497" spans="11:11" ht="15" customHeight="1">
      <c r="K2497" s="24"/>
    </row>
    <row r="2498" spans="11:11" ht="15" customHeight="1">
      <c r="K2498" s="24"/>
    </row>
    <row r="2499" spans="11:11" ht="15" customHeight="1">
      <c r="K2499" s="24"/>
    </row>
    <row r="2500" spans="11:11" ht="15" customHeight="1">
      <c r="K2500" s="24"/>
    </row>
    <row r="2501" spans="11:11" ht="15" customHeight="1">
      <c r="K2501" s="24"/>
    </row>
    <row r="2502" spans="11:11" ht="15" customHeight="1">
      <c r="K2502" s="24"/>
    </row>
    <row r="2503" spans="11:11" ht="15" customHeight="1">
      <c r="K2503" s="24"/>
    </row>
    <row r="2504" spans="11:11" ht="15" customHeight="1">
      <c r="K2504" s="24"/>
    </row>
    <row r="2505" spans="11:11" ht="15" customHeight="1">
      <c r="K2505" s="24"/>
    </row>
    <row r="2506" spans="11:11" ht="15" customHeight="1">
      <c r="K2506" s="24"/>
    </row>
    <row r="2507" spans="11:11" ht="15" customHeight="1">
      <c r="K2507" s="24"/>
    </row>
    <row r="2508" spans="11:11" ht="15" customHeight="1">
      <c r="K2508" s="24"/>
    </row>
    <row r="2509" spans="11:11" ht="15" customHeight="1">
      <c r="K2509" s="24"/>
    </row>
    <row r="2510" spans="11:11" ht="15" customHeight="1">
      <c r="K2510" s="24"/>
    </row>
    <row r="2511" spans="11:11" ht="15" customHeight="1">
      <c r="K2511" s="24"/>
    </row>
    <row r="2512" spans="11:11" ht="15" customHeight="1">
      <c r="K2512" s="24"/>
    </row>
    <row r="2513" spans="11:11" ht="15" customHeight="1">
      <c r="K2513" s="24"/>
    </row>
    <row r="2514" spans="11:11" ht="15" customHeight="1">
      <c r="K2514" s="24"/>
    </row>
    <row r="2515" spans="11:11" ht="15" customHeight="1">
      <c r="K2515" s="24"/>
    </row>
    <row r="2516" spans="11:11" ht="15" customHeight="1">
      <c r="K2516" s="24"/>
    </row>
    <row r="2517" spans="11:11" ht="15" customHeight="1">
      <c r="K2517" s="24"/>
    </row>
    <row r="2518" spans="11:11" ht="15" customHeight="1">
      <c r="K2518" s="24"/>
    </row>
    <row r="2519" spans="11:11" ht="15" customHeight="1">
      <c r="K2519" s="24"/>
    </row>
    <row r="2520" spans="11:11" ht="15" customHeight="1">
      <c r="K2520" s="24"/>
    </row>
    <row r="2521" spans="11:11" ht="15" customHeight="1">
      <c r="K2521" s="24"/>
    </row>
    <row r="2522" spans="11:11" ht="15" customHeight="1">
      <c r="K2522" s="24"/>
    </row>
    <row r="2523" spans="11:11" ht="15" customHeight="1">
      <c r="K2523" s="24"/>
    </row>
    <row r="2524" spans="11:11" ht="15" customHeight="1">
      <c r="K2524" s="24"/>
    </row>
    <row r="2525" spans="11:11" ht="15" customHeight="1">
      <c r="K2525" s="24"/>
    </row>
    <row r="2526" spans="11:11" ht="15" customHeight="1">
      <c r="K2526" s="24"/>
    </row>
    <row r="2527" spans="11:11" ht="15" customHeight="1">
      <c r="K2527" s="24"/>
    </row>
    <row r="2528" spans="11:11" ht="15" customHeight="1">
      <c r="K2528" s="24"/>
    </row>
    <row r="2529" spans="11:11" ht="15" customHeight="1">
      <c r="K2529" s="24"/>
    </row>
    <row r="2530" spans="11:11" ht="15" customHeight="1">
      <c r="K2530" s="24"/>
    </row>
    <row r="2531" spans="11:11" ht="15" customHeight="1">
      <c r="K2531" s="24"/>
    </row>
    <row r="2532" spans="11:11" ht="15" customHeight="1">
      <c r="K2532" s="24"/>
    </row>
    <row r="2533" spans="11:11" ht="15" customHeight="1">
      <c r="K2533" s="24"/>
    </row>
    <row r="2534" spans="11:11" ht="15" customHeight="1">
      <c r="K2534" s="24"/>
    </row>
    <row r="2535" spans="11:11" ht="15" customHeight="1">
      <c r="K2535" s="24"/>
    </row>
    <row r="2536" spans="11:11" ht="15" customHeight="1">
      <c r="K2536" s="24"/>
    </row>
    <row r="2537" spans="11:11" ht="15" customHeight="1">
      <c r="K2537" s="24"/>
    </row>
    <row r="2538" spans="11:11" ht="15" customHeight="1">
      <c r="K2538" s="24"/>
    </row>
    <row r="2539" spans="11:11" ht="15" customHeight="1">
      <c r="K2539" s="24"/>
    </row>
    <row r="2540" spans="11:11" ht="15" customHeight="1">
      <c r="K2540" s="24"/>
    </row>
    <row r="2541" spans="11:11" ht="15" customHeight="1">
      <c r="K2541" s="24"/>
    </row>
    <row r="2542" spans="11:11" ht="15" customHeight="1">
      <c r="K2542" s="24"/>
    </row>
    <row r="2543" spans="11:11" ht="15" customHeight="1">
      <c r="K2543" s="24"/>
    </row>
    <row r="2544" spans="11:11" ht="15" customHeight="1">
      <c r="K2544" s="24"/>
    </row>
    <row r="2545" spans="11:11" ht="15" customHeight="1">
      <c r="K2545" s="24"/>
    </row>
    <row r="2546" spans="11:11" ht="15" customHeight="1">
      <c r="K2546" s="24"/>
    </row>
    <row r="2547" spans="11:11" ht="15" customHeight="1">
      <c r="K2547" s="24"/>
    </row>
    <row r="2548" spans="11:11" ht="15" customHeight="1">
      <c r="K2548" s="24"/>
    </row>
    <row r="2549" spans="11:11" ht="15" customHeight="1">
      <c r="K2549" s="24"/>
    </row>
    <row r="2550" spans="11:11" ht="15" customHeight="1">
      <c r="K2550" s="24"/>
    </row>
    <row r="2551" spans="11:11" ht="15" customHeight="1">
      <c r="K2551" s="24"/>
    </row>
    <row r="2552" spans="11:11" ht="15" customHeight="1">
      <c r="K2552" s="24"/>
    </row>
    <row r="2553" spans="11:11" ht="15" customHeight="1">
      <c r="K2553" s="24"/>
    </row>
    <row r="2554" spans="11:11" ht="15" customHeight="1">
      <c r="K2554" s="24"/>
    </row>
    <row r="2555" spans="11:11" ht="15" customHeight="1">
      <c r="K2555" s="24"/>
    </row>
    <row r="2556" spans="11:11" ht="15" customHeight="1">
      <c r="K2556" s="24"/>
    </row>
    <row r="2557" spans="11:11" ht="15" customHeight="1">
      <c r="K2557" s="24"/>
    </row>
    <row r="2558" spans="11:11" ht="15" customHeight="1">
      <c r="K2558" s="24"/>
    </row>
    <row r="2559" spans="11:11" ht="15" customHeight="1">
      <c r="K2559" s="24"/>
    </row>
    <row r="2560" spans="11:11" ht="15" customHeight="1">
      <c r="K2560" s="24"/>
    </row>
    <row r="2561" spans="11:11" ht="15" customHeight="1">
      <c r="K2561" s="24"/>
    </row>
    <row r="2562" spans="11:11" ht="15" customHeight="1">
      <c r="K2562" s="24"/>
    </row>
    <row r="2563" spans="11:11" ht="15" customHeight="1">
      <c r="K2563" s="24"/>
    </row>
    <row r="2564" spans="11:11" ht="15" customHeight="1">
      <c r="K2564" s="24"/>
    </row>
    <row r="2565" spans="11:11" ht="15" customHeight="1">
      <c r="K2565" s="24"/>
    </row>
    <row r="2566" spans="11:11" ht="15" customHeight="1">
      <c r="K2566" s="24"/>
    </row>
    <row r="2567" spans="11:11" ht="15" customHeight="1">
      <c r="K2567" s="24"/>
    </row>
    <row r="2568" spans="11:11" ht="15" customHeight="1">
      <c r="K2568" s="24"/>
    </row>
    <row r="2569" spans="11:11" ht="15" customHeight="1">
      <c r="K2569" s="24"/>
    </row>
    <row r="2570" spans="11:11" ht="15" customHeight="1">
      <c r="K2570" s="24"/>
    </row>
    <row r="2571" spans="11:11" ht="15" customHeight="1">
      <c r="K2571" s="24"/>
    </row>
    <row r="2572" spans="11:11" ht="15" customHeight="1">
      <c r="K2572" s="24"/>
    </row>
    <row r="2573" spans="11:11" ht="15" customHeight="1">
      <c r="K2573" s="24"/>
    </row>
    <row r="2574" spans="11:11" ht="15" customHeight="1">
      <c r="K2574" s="24"/>
    </row>
    <row r="2575" spans="11:11" ht="15" customHeight="1">
      <c r="K2575" s="24"/>
    </row>
    <row r="2576" spans="11:11" ht="15" customHeight="1">
      <c r="K2576" s="24"/>
    </row>
    <row r="2577" spans="11:11" ht="15" customHeight="1">
      <c r="K2577" s="24"/>
    </row>
    <row r="2578" spans="11:11" ht="15" customHeight="1">
      <c r="K2578" s="24"/>
    </row>
    <row r="2579" spans="11:11" ht="15" customHeight="1">
      <c r="K2579" s="24"/>
    </row>
    <row r="2580" spans="11:11" ht="15" customHeight="1">
      <c r="K2580" s="24"/>
    </row>
    <row r="2581" spans="11:11" ht="15" customHeight="1">
      <c r="K2581" s="24"/>
    </row>
    <row r="2582" spans="11:11" ht="15" customHeight="1">
      <c r="K2582" s="24"/>
    </row>
    <row r="2583" spans="11:11" ht="15" customHeight="1">
      <c r="K2583" s="24"/>
    </row>
    <row r="2584" spans="11:11" ht="15" customHeight="1">
      <c r="K2584" s="24"/>
    </row>
    <row r="2585" spans="11:11" ht="15" customHeight="1">
      <c r="K2585" s="24"/>
    </row>
    <row r="2586" spans="11:11" ht="15" customHeight="1">
      <c r="K2586" s="24"/>
    </row>
  </sheetData>
  <autoFilter ref="C5:K689" xr:uid="{32698E5B-D38D-4A9A-ADFE-0BB4BCD35581}">
    <filterColumn colId="1">
      <filters>
        <filter val="Maio"/>
      </filters>
    </filterColumn>
    <sortState xmlns:xlrd2="http://schemas.microsoft.com/office/spreadsheetml/2017/richdata2" ref="C6:K689">
      <sortCondition ref="C5:C689"/>
    </sortState>
  </autoFilter>
  <mergeCells count="2">
    <mergeCell ref="C3:K3"/>
    <mergeCell ref="M553:M555"/>
  </mergeCells>
  <conditionalFormatting sqref="K6:K2586">
    <cfRule type="containsText" dxfId="45" priority="1" operator="containsText" text="A pagar">
      <formula>NOT(ISERROR(SEARCH("A pagar",K6)))</formula>
    </cfRule>
    <cfRule type="containsText" dxfId="44" priority="2" operator="containsText" text="Provisionado">
      <formula>NOT(ISERROR(SEARCH("Provisionado",K6)))</formula>
    </cfRule>
    <cfRule type="containsText" dxfId="43" priority="3" operator="containsText" text="Realizado">
      <formula>NOT(ISERROR(SEARCH("Realizado",K6)))</formula>
    </cfRule>
  </conditionalFormatting>
  <conditionalFormatting sqref="K275">
    <cfRule type="cellIs" dxfId="42" priority="32" operator="equal">
      <formula>"A descontar"</formula>
    </cfRule>
  </conditionalFormatting>
  <dataValidations count="3">
    <dataValidation type="list" allowBlank="1" showInputMessage="1" showErrorMessage="1" sqref="M7:N10 M28:N29 M31:N37 E6:E689" xr:uid="{11F83869-121A-4620-A544-23D49AD854A6}">
      <formula1>$M$7:$M$10</formula1>
    </dataValidation>
    <dataValidation type="list" allowBlank="1" showInputMessage="1" showErrorMessage="1" sqref="F555:F688 O31:O37 O28:O29 O7:O12" xr:uid="{F5807FF7-864F-4503-A058-B34DC467C036}">
      <formula1>$O$7:$O$40</formula1>
    </dataValidation>
    <dataValidation type="list" allowBlank="1" showInputMessage="1" showErrorMessage="1" sqref="F689 F6:F554" xr:uid="{E1F4A1F2-2D75-4D3F-A166-16CB225E5C03}">
      <formula1>$O$7:$O$12</formula1>
    </dataValidation>
  </dataValidations>
  <pageMargins left="0.11811023622047245" right="3.937007874015748E-2" top="0.1" bottom="0.13" header="0.11" footer="0.1"/>
  <pageSetup paperSize="9" scale="40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BDC0-7E64-4744-B94A-347FC5ED3D3B}">
  <sheetPr codeName="Planilha4">
    <tabColor theme="4" tint="-0.249977111117893"/>
    <pageSetUpPr fitToPage="1"/>
  </sheetPr>
  <dimension ref="C3:N30"/>
  <sheetViews>
    <sheetView showGridLines="0" zoomScaleNormal="100" workbookViewId="0">
      <pane xSplit="1" ySplit="15" topLeftCell="B16" activePane="bottomRight" state="frozen"/>
      <selection activeCell="H33" sqref="H33"/>
      <selection pane="topRight" activeCell="H33" sqref="H33"/>
      <selection pane="bottomLeft" activeCell="H33" sqref="H33"/>
      <selection pane="bottomRight" activeCell="E18" sqref="E18"/>
    </sheetView>
  </sheetViews>
  <sheetFormatPr defaultRowHeight="12.75" customHeight="1"/>
  <cols>
    <col min="1" max="2" width="2.7109375" style="28" customWidth="1"/>
    <col min="3" max="3" width="61" style="28" bestFit="1" customWidth="1"/>
    <col min="4" max="4" width="25.42578125" style="28" bestFit="1" customWidth="1"/>
    <col min="5" max="5" width="14" style="28" bestFit="1" customWidth="1"/>
    <col min="6" max="6" width="11.85546875" style="28" bestFit="1" customWidth="1"/>
    <col min="7" max="11" width="14" style="28" bestFit="1" customWidth="1"/>
    <col min="12" max="13" width="11.85546875" style="28" bestFit="1" customWidth="1"/>
    <col min="14" max="14" width="14" style="28" bestFit="1" customWidth="1"/>
    <col min="15" max="16384" width="9.140625" style="28"/>
  </cols>
  <sheetData>
    <row r="3" spans="3:14" ht="12.75" customHeight="1">
      <c r="K3" s="551" t="s">
        <v>55</v>
      </c>
      <c r="L3" s="551"/>
      <c r="M3" s="551"/>
      <c r="N3" s="551"/>
    </row>
    <row r="4" spans="3:14" ht="12.75" customHeight="1">
      <c r="K4" s="551"/>
      <c r="L4" s="551"/>
      <c r="M4" s="551"/>
      <c r="N4" s="551"/>
    </row>
    <row r="5" spans="3:14" ht="12.75" customHeight="1">
      <c r="K5" s="551"/>
      <c r="L5" s="551"/>
      <c r="M5" s="551"/>
      <c r="N5" s="551"/>
    </row>
    <row r="6" spans="3:14" ht="12.75" customHeight="1">
      <c r="K6" s="551"/>
      <c r="L6" s="551"/>
      <c r="M6" s="551"/>
      <c r="N6" s="551"/>
    </row>
    <row r="7" spans="3:14" ht="12.75" customHeight="1">
      <c r="K7" s="551"/>
      <c r="L7" s="551"/>
      <c r="M7" s="551"/>
      <c r="N7" s="551"/>
    </row>
    <row r="11" spans="3:14" ht="13.5">
      <c r="C11" s="29" t="s">
        <v>7</v>
      </c>
      <c r="D11" s="30" t="s">
        <v>12</v>
      </c>
    </row>
    <row r="12" spans="3:14" ht="13.5">
      <c r="C12" s="29" t="s">
        <v>11</v>
      </c>
      <c r="D12" s="28" t="s">
        <v>156</v>
      </c>
    </row>
    <row r="14" spans="3:14" ht="13.5">
      <c r="C14" s="31" t="s">
        <v>25</v>
      </c>
      <c r="D14" s="31" t="s">
        <v>3</v>
      </c>
      <c r="E14" s="32"/>
      <c r="F14"/>
      <c r="G14"/>
      <c r="H14"/>
      <c r="I14"/>
      <c r="J14"/>
      <c r="K14"/>
      <c r="L14"/>
      <c r="M14"/>
      <c r="N14"/>
    </row>
    <row r="15" spans="3:14" ht="13.5">
      <c r="C15" s="31" t="s">
        <v>4</v>
      </c>
      <c r="D15" s="33" t="s">
        <v>902</v>
      </c>
      <c r="E15" s="33" t="s">
        <v>5</v>
      </c>
      <c r="F15"/>
      <c r="G15"/>
      <c r="H15"/>
      <c r="I15"/>
      <c r="J15"/>
      <c r="K15"/>
      <c r="L15"/>
      <c r="M15"/>
      <c r="N15"/>
    </row>
    <row r="16" spans="3:14" ht="13.5">
      <c r="C16" s="474" t="s">
        <v>227</v>
      </c>
      <c r="D16" s="473">
        <v>600</v>
      </c>
      <c r="E16" s="473">
        <v>600</v>
      </c>
      <c r="F16"/>
      <c r="G16"/>
      <c r="H16"/>
      <c r="I16"/>
      <c r="J16"/>
      <c r="K16"/>
      <c r="L16"/>
      <c r="M16"/>
      <c r="N16"/>
    </row>
    <row r="17" spans="3:14" ht="13.5">
      <c r="C17" s="34" t="s">
        <v>1390</v>
      </c>
      <c r="D17" s="35">
        <v>600</v>
      </c>
      <c r="E17" s="35">
        <v>600</v>
      </c>
      <c r="F17"/>
      <c r="G17"/>
      <c r="H17"/>
      <c r="I17"/>
      <c r="J17"/>
      <c r="K17"/>
      <c r="L17"/>
      <c r="M17"/>
      <c r="N17"/>
    </row>
    <row r="18" spans="3:14" ht="13.5">
      <c r="C18" s="474" t="s">
        <v>228</v>
      </c>
      <c r="D18" s="473">
        <v>278995.53000000003</v>
      </c>
      <c r="E18" s="473">
        <v>278995.53000000003</v>
      </c>
      <c r="F18"/>
      <c r="G18"/>
      <c r="H18"/>
      <c r="I18"/>
      <c r="J18"/>
      <c r="K18"/>
      <c r="L18"/>
      <c r="M18"/>
      <c r="N18"/>
    </row>
    <row r="19" spans="3:14" ht="13.5">
      <c r="C19" s="34" t="s">
        <v>114</v>
      </c>
      <c r="D19" s="35">
        <v>278995.53000000003</v>
      </c>
      <c r="E19" s="35">
        <v>278995.53000000003</v>
      </c>
      <c r="F19"/>
      <c r="G19"/>
      <c r="H19"/>
      <c r="I19"/>
      <c r="J19"/>
      <c r="K19"/>
      <c r="L19"/>
      <c r="M19"/>
      <c r="N19"/>
    </row>
    <row r="20" spans="3:14" ht="13.5">
      <c r="C20" s="36" t="s">
        <v>5</v>
      </c>
      <c r="D20" s="37">
        <v>279595.53000000003</v>
      </c>
      <c r="E20" s="37">
        <v>279595.53000000003</v>
      </c>
      <c r="F20"/>
      <c r="G20"/>
      <c r="H20"/>
      <c r="I20"/>
      <c r="J20"/>
      <c r="K20"/>
      <c r="L20"/>
      <c r="M20"/>
      <c r="N20"/>
    </row>
    <row r="21" spans="3:14" ht="13.5">
      <c r="C21"/>
      <c r="D21"/>
      <c r="E21"/>
      <c r="F21"/>
      <c r="G21"/>
      <c r="H21"/>
      <c r="I21"/>
      <c r="J21"/>
      <c r="K21"/>
      <c r="L21"/>
      <c r="M21"/>
      <c r="N21"/>
    </row>
    <row r="22" spans="3:14" ht="13.5">
      <c r="C22"/>
      <c r="D22"/>
      <c r="E22"/>
      <c r="F22"/>
      <c r="G22"/>
      <c r="H22"/>
      <c r="I22"/>
      <c r="J22"/>
      <c r="K22"/>
      <c r="L22"/>
      <c r="M22"/>
      <c r="N22"/>
    </row>
    <row r="23" spans="3:14" ht="13.5">
      <c r="C23"/>
      <c r="D23"/>
      <c r="E23"/>
      <c r="F23"/>
      <c r="G23"/>
      <c r="H23"/>
      <c r="I23"/>
      <c r="J23"/>
      <c r="K23"/>
      <c r="L23"/>
      <c r="M23"/>
      <c r="N23"/>
    </row>
    <row r="24" spans="3:14" ht="13.5">
      <c r="C24"/>
      <c r="D24"/>
      <c r="E24"/>
      <c r="F24"/>
      <c r="G24"/>
      <c r="H24"/>
      <c r="I24"/>
      <c r="J24"/>
      <c r="K24"/>
      <c r="L24"/>
      <c r="M24"/>
      <c r="N24"/>
    </row>
    <row r="25" spans="3:14" ht="13.5">
      <c r="C25"/>
      <c r="D25"/>
      <c r="E25"/>
      <c r="F25"/>
      <c r="G25"/>
      <c r="H25"/>
      <c r="I25"/>
      <c r="J25"/>
      <c r="K25"/>
      <c r="L25"/>
      <c r="M25"/>
      <c r="N25"/>
    </row>
    <row r="26" spans="3:14" ht="13.5">
      <c r="C26"/>
      <c r="D26"/>
      <c r="E26"/>
      <c r="F26"/>
      <c r="G26"/>
      <c r="H26"/>
      <c r="I26"/>
      <c r="J26"/>
      <c r="K26"/>
      <c r="L26"/>
      <c r="M26"/>
      <c r="N26"/>
    </row>
    <row r="27" spans="3:14" ht="13.5">
      <c r="C27"/>
      <c r="D27"/>
      <c r="E27"/>
      <c r="F27"/>
      <c r="G27"/>
      <c r="H27"/>
      <c r="I27"/>
      <c r="J27"/>
      <c r="K27"/>
      <c r="L27"/>
      <c r="M27"/>
      <c r="N27"/>
    </row>
    <row r="28" spans="3:14" ht="13.5">
      <c r="C28"/>
      <c r="D28"/>
      <c r="E28"/>
      <c r="F28"/>
      <c r="G28"/>
      <c r="H28"/>
      <c r="I28"/>
      <c r="J28"/>
      <c r="K28"/>
      <c r="L28"/>
      <c r="M28"/>
      <c r="N28"/>
    </row>
    <row r="29" spans="3:14" ht="13.5">
      <c r="C29"/>
      <c r="D29"/>
      <c r="E29"/>
      <c r="F29"/>
      <c r="G29"/>
      <c r="H29"/>
      <c r="I29"/>
      <c r="J29"/>
      <c r="K29"/>
      <c r="L29"/>
      <c r="M29"/>
      <c r="N29"/>
    </row>
    <row r="30" spans="3:14" ht="13.5">
      <c r="C30"/>
      <c r="D30"/>
      <c r="E30"/>
      <c r="F30"/>
      <c r="G30"/>
      <c r="H30"/>
      <c r="I30"/>
      <c r="J30"/>
      <c r="K30"/>
      <c r="L30"/>
      <c r="M30"/>
      <c r="N30"/>
    </row>
  </sheetData>
  <mergeCells count="1">
    <mergeCell ref="K3:N7"/>
  </mergeCells>
  <pageMargins left="0.511811024" right="0.511811024" top="0.78740157499999996" bottom="0.78740157499999996" header="0.31496062000000002" footer="0.31496062000000002"/>
  <pageSetup paperSize="9" scale="65" orientation="landscape" r:id="rId2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3303F-F10B-4CC0-9EE3-C1DC466CDC19}">
  <sheetPr codeName="Planilha5">
    <tabColor theme="4" tint="-0.249977111117893"/>
    <pageSetUpPr fitToPage="1"/>
  </sheetPr>
  <dimension ref="A3:P113"/>
  <sheetViews>
    <sheetView showGridLines="0" zoomScaleNormal="100" workbookViewId="0">
      <pane xSplit="1" ySplit="15" topLeftCell="B16" activePane="bottomRight" state="frozen"/>
      <selection activeCell="H33" sqref="H33"/>
      <selection pane="topRight" activeCell="H33" sqref="H33"/>
      <selection pane="bottomLeft" activeCell="H33" sqref="H33"/>
      <selection pane="bottomRight" activeCell="C30" sqref="C30"/>
    </sheetView>
  </sheetViews>
  <sheetFormatPr defaultRowHeight="12.75" customHeight="1"/>
  <cols>
    <col min="1" max="2" width="2.7109375" style="28" customWidth="1"/>
    <col min="3" max="3" width="62.5703125" style="28" bestFit="1" customWidth="1"/>
    <col min="4" max="4" width="26.140625" style="28" bestFit="1" customWidth="1"/>
    <col min="5" max="15" width="12.85546875" style="28" bestFit="1" customWidth="1"/>
    <col min="16" max="16" width="14" style="28" bestFit="1" customWidth="1"/>
    <col min="17" max="16384" width="9.140625" style="28"/>
  </cols>
  <sheetData>
    <row r="3" spans="3:16" ht="12.75" customHeight="1">
      <c r="M3" s="552" t="s">
        <v>56</v>
      </c>
      <c r="N3" s="552"/>
      <c r="O3" s="552"/>
      <c r="P3" s="552"/>
    </row>
    <row r="4" spans="3:16" ht="12.75" customHeight="1">
      <c r="M4" s="552"/>
      <c r="N4" s="552"/>
      <c r="O4" s="552"/>
      <c r="P4" s="552"/>
    </row>
    <row r="5" spans="3:16" ht="12.75" customHeight="1">
      <c r="M5" s="552"/>
      <c r="N5" s="552"/>
      <c r="O5" s="552"/>
      <c r="P5" s="552"/>
    </row>
    <row r="6" spans="3:16" ht="12.75" customHeight="1">
      <c r="M6" s="552"/>
      <c r="N6" s="552"/>
      <c r="O6" s="552"/>
      <c r="P6" s="552"/>
    </row>
    <row r="7" spans="3:16" ht="12.75" customHeight="1">
      <c r="M7" s="552"/>
      <c r="N7" s="552"/>
      <c r="O7" s="552"/>
      <c r="P7" s="552"/>
    </row>
    <row r="10" spans="3:16" ht="13.5">
      <c r="C10" s="29" t="s">
        <v>7</v>
      </c>
      <c r="D10" s="30" t="s">
        <v>14</v>
      </c>
    </row>
    <row r="11" spans="3:16" ht="13.5">
      <c r="C11" s="29" t="s">
        <v>11</v>
      </c>
      <c r="D11" s="28" t="s">
        <v>156</v>
      </c>
    </row>
    <row r="12" spans="3:16" ht="13.5">
      <c r="C12" s="29" t="s">
        <v>10</v>
      </c>
      <c r="D12" s="28" t="s">
        <v>156</v>
      </c>
    </row>
    <row r="14" spans="3:16" ht="13.5">
      <c r="C14" s="31" t="s">
        <v>25</v>
      </c>
      <c r="D14" s="31" t="s">
        <v>3</v>
      </c>
      <c r="E14" s="32"/>
      <c r="F14"/>
      <c r="G14"/>
      <c r="H14"/>
      <c r="I14"/>
      <c r="J14"/>
      <c r="K14"/>
      <c r="L14"/>
      <c r="M14"/>
      <c r="N14"/>
      <c r="O14"/>
      <c r="P14"/>
    </row>
    <row r="15" spans="3:16" ht="13.5">
      <c r="C15" s="31" t="s">
        <v>4</v>
      </c>
      <c r="D15" s="33" t="s">
        <v>1325</v>
      </c>
      <c r="E15" s="33" t="s">
        <v>5</v>
      </c>
      <c r="F15"/>
      <c r="G15"/>
      <c r="H15"/>
      <c r="I15"/>
      <c r="J15"/>
      <c r="K15"/>
      <c r="L15"/>
      <c r="M15"/>
      <c r="N15"/>
      <c r="O15"/>
      <c r="P15"/>
    </row>
    <row r="16" spans="3:16" ht="13.5">
      <c r="C16" s="396" t="s">
        <v>226</v>
      </c>
      <c r="D16" s="38">
        <v>7400.5</v>
      </c>
      <c r="E16" s="395">
        <v>7400.5</v>
      </c>
      <c r="F16"/>
      <c r="G16"/>
      <c r="H16"/>
      <c r="I16"/>
      <c r="J16"/>
      <c r="K16"/>
      <c r="L16"/>
      <c r="M16"/>
      <c r="N16"/>
      <c r="O16"/>
      <c r="P16"/>
    </row>
    <row r="17" spans="1:16" ht="13.5">
      <c r="A17" s="400" t="s">
        <v>213</v>
      </c>
      <c r="C17" s="34" t="s">
        <v>829</v>
      </c>
      <c r="D17" s="35">
        <v>6847.64</v>
      </c>
      <c r="E17" s="166">
        <v>6847.64</v>
      </c>
      <c r="F17"/>
      <c r="G17"/>
      <c r="H17"/>
      <c r="I17"/>
      <c r="J17"/>
      <c r="K17"/>
      <c r="L17"/>
      <c r="M17"/>
      <c r="N17"/>
      <c r="O17"/>
      <c r="P17"/>
    </row>
    <row r="18" spans="1:16" ht="13.5">
      <c r="C18" s="34" t="s">
        <v>32</v>
      </c>
      <c r="D18" s="35">
        <v>552.86</v>
      </c>
      <c r="E18" s="166">
        <v>552.86</v>
      </c>
      <c r="F18"/>
      <c r="G18"/>
      <c r="H18"/>
      <c r="I18"/>
      <c r="J18"/>
      <c r="K18"/>
      <c r="L18"/>
      <c r="M18"/>
      <c r="N18"/>
      <c r="O18"/>
      <c r="P18"/>
    </row>
    <row r="19" spans="1:16" ht="13.5">
      <c r="C19" s="396" t="s">
        <v>227</v>
      </c>
      <c r="D19" s="38">
        <v>4610.91</v>
      </c>
      <c r="E19" s="395">
        <v>4610.91</v>
      </c>
      <c r="F19"/>
      <c r="G19"/>
      <c r="H19"/>
      <c r="I19"/>
      <c r="J19"/>
      <c r="K19"/>
      <c r="L19"/>
      <c r="M19"/>
      <c r="N19"/>
      <c r="O19"/>
      <c r="P19"/>
    </row>
    <row r="20" spans="1:16" ht="13.5">
      <c r="C20" s="34" t="s">
        <v>48</v>
      </c>
      <c r="D20" s="35">
        <v>860.91</v>
      </c>
      <c r="E20" s="166">
        <v>860.91</v>
      </c>
      <c r="F20"/>
      <c r="G20"/>
      <c r="H20"/>
      <c r="I20"/>
      <c r="J20"/>
      <c r="K20"/>
      <c r="L20"/>
      <c r="M20"/>
      <c r="N20"/>
      <c r="O20"/>
      <c r="P20"/>
    </row>
    <row r="21" spans="1:16" ht="13.5">
      <c r="C21" s="34" t="s">
        <v>828</v>
      </c>
      <c r="D21" s="35">
        <v>3750</v>
      </c>
      <c r="E21" s="166">
        <v>3750</v>
      </c>
      <c r="F21"/>
      <c r="G21"/>
      <c r="H21"/>
      <c r="I21"/>
      <c r="J21"/>
      <c r="K21"/>
      <c r="L21"/>
      <c r="M21"/>
      <c r="N21"/>
      <c r="O21"/>
      <c r="P21"/>
    </row>
    <row r="22" spans="1:16" ht="13.5">
      <c r="C22" s="36" t="s">
        <v>5</v>
      </c>
      <c r="D22" s="37">
        <v>12011.41</v>
      </c>
      <c r="E22" s="39">
        <v>12011.41</v>
      </c>
      <c r="F22"/>
      <c r="G22"/>
      <c r="H22"/>
      <c r="I22"/>
      <c r="J22"/>
      <c r="K22"/>
      <c r="L22"/>
      <c r="M22"/>
      <c r="N22"/>
      <c r="O22"/>
      <c r="P22"/>
    </row>
    <row r="23" spans="1:16" ht="13.5"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ht="13.5"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ht="13.5"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ht="13.5"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ht="13.5"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ht="13.5"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ht="13.5"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ht="13.5"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ht="13.5"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ht="13.5"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3:16" ht="13.5"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3:16" ht="13.5"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3:16" ht="13.5"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3:16" ht="13.5"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3:16" ht="13.5"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3:16" ht="13.5"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3:16" ht="13.5"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3:16" ht="13.5"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3:16" ht="13.5"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3:16" ht="13.5"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3:16" ht="13.5"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3:16" ht="13.5"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3:16" ht="13.5"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3:16" ht="13.5"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3:16" ht="13.5"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3:16" ht="13.5"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3:16" ht="13.5"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3:16" ht="13.5"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3:16" ht="13.5"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3:16" ht="13.5"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3:16" ht="13.5"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3:16" ht="13.5"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3:16" ht="13.5"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3:16" ht="13.5"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3:16" ht="13.5"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3:16" ht="13.5"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3:16" ht="13.5"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3:16" ht="13.5"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3:16" ht="13.5"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3:16" ht="13.5"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3:16" ht="13.5"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3:16" ht="13.5"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3:16" ht="13.5"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3:16" ht="13.5"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3:16" ht="13.5"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3:16" ht="13.5"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3:16" ht="13.5"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3:16" ht="13.5"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3:16" ht="13.5"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3:16" ht="13.5"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3:16" ht="13.5"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3:16" ht="13.5"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3:16" ht="13.5"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3:16" ht="13.5"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3:16" ht="13.5"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3:16" ht="13.5"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3:16" ht="13.5"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3:16" ht="13.5"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3:16" ht="13.5"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3:16" ht="13.5"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3:16" ht="13.5"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3:16" ht="13.5"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3:16" ht="13.5"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3:16" ht="13.5"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3:16" ht="13.5"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3:16" ht="13.5"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3:16" ht="13.5"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3:16" ht="13.5"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3:16" ht="13.5"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3:16" ht="13.5"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3:16" ht="13.5"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3:16" ht="13.5"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3:16" ht="13.5"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3:16" ht="13.5"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3:16" ht="13.5"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3:16" ht="13.5"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3:16" ht="13.5"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3:16" ht="13.5"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3:16" ht="13.5"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3:16" ht="13.5"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3:16" ht="13.5"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3:16" ht="13.5"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3:16" ht="13.5"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3:16" ht="13.5"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3:16" ht="13.5"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3:16" ht="13.5"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3:16" ht="13.5"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3:16" ht="13.5"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3:16" ht="13.5"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3:16" ht="13.5"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3:16" ht="13.5"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</sheetData>
  <mergeCells count="1">
    <mergeCell ref="M3:P7"/>
  </mergeCells>
  <pageMargins left="0.65" right="0.03" top="0.48" bottom="0.21" header="0.31496062000000002" footer="0.05"/>
  <pageSetup paperSize="9" scale="38" orientation="portrait" r:id="rId2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D395-14A3-46B9-B015-5D4F7F4A8675}">
  <sheetPr codeName="Planilha6">
    <tabColor theme="4" tint="-0.249977111117893"/>
    <pageSetUpPr fitToPage="1"/>
  </sheetPr>
  <dimension ref="C3:P60"/>
  <sheetViews>
    <sheetView showGridLines="0" zoomScaleNormal="100" workbookViewId="0">
      <pane xSplit="1" ySplit="15" topLeftCell="B16" activePane="bottomRight" state="frozen"/>
      <selection activeCell="H33" sqref="H33"/>
      <selection pane="topRight" activeCell="H33" sqref="H33"/>
      <selection pane="bottomLeft" activeCell="H33" sqref="H33"/>
      <selection pane="bottomRight" activeCell="D32" sqref="D32"/>
    </sheetView>
  </sheetViews>
  <sheetFormatPr defaultRowHeight="12.75" customHeight="1"/>
  <cols>
    <col min="1" max="2" width="2.7109375" style="28" customWidth="1"/>
    <col min="3" max="3" width="43.28515625" style="28" bestFit="1" customWidth="1"/>
    <col min="4" max="4" width="23" style="28" bestFit="1" customWidth="1"/>
    <col min="5" max="5" width="12.85546875" style="28" bestFit="1" customWidth="1"/>
    <col min="6" max="6" width="11.85546875" style="28" bestFit="1" customWidth="1"/>
    <col min="7" max="15" width="12.85546875" style="28" bestFit="1" customWidth="1"/>
    <col min="16" max="16" width="14" style="28" bestFit="1" customWidth="1"/>
    <col min="17" max="16384" width="9.140625" style="28"/>
  </cols>
  <sheetData>
    <row r="3" spans="3:16" ht="12.75" customHeight="1">
      <c r="L3" s="553" t="s">
        <v>57</v>
      </c>
      <c r="M3" s="553"/>
      <c r="N3" s="553"/>
      <c r="O3" s="553"/>
      <c r="P3" s="553"/>
    </row>
    <row r="4" spans="3:16" ht="12.75" customHeight="1">
      <c r="L4" s="553"/>
      <c r="M4" s="553"/>
      <c r="N4" s="553"/>
      <c r="O4" s="553"/>
      <c r="P4" s="553"/>
    </row>
    <row r="5" spans="3:16" ht="12.75" customHeight="1">
      <c r="L5" s="553"/>
      <c r="M5" s="553"/>
      <c r="N5" s="553"/>
      <c r="O5" s="553"/>
      <c r="P5" s="553"/>
    </row>
    <row r="6" spans="3:16" ht="12.75" customHeight="1">
      <c r="L6" s="553"/>
      <c r="M6" s="553"/>
      <c r="N6" s="553"/>
      <c r="O6" s="553"/>
      <c r="P6" s="553"/>
    </row>
    <row r="7" spans="3:16" ht="12.75" customHeight="1">
      <c r="L7" s="553"/>
      <c r="M7" s="553"/>
      <c r="N7" s="553"/>
      <c r="O7" s="553"/>
      <c r="P7" s="553"/>
    </row>
    <row r="10" spans="3:16" ht="13.5">
      <c r="C10" s="29" t="s">
        <v>7</v>
      </c>
      <c r="D10" s="30" t="s">
        <v>15</v>
      </c>
    </row>
    <row r="11" spans="3:16" ht="13.5">
      <c r="C11" s="29" t="s">
        <v>11</v>
      </c>
      <c r="D11" s="28" t="s">
        <v>913</v>
      </c>
    </row>
    <row r="12" spans="3:16" ht="13.5">
      <c r="C12" s="29" t="s">
        <v>10</v>
      </c>
      <c r="D12" s="28" t="s">
        <v>156</v>
      </c>
    </row>
    <row r="14" spans="3:16" ht="13.5">
      <c r="C14" s="31" t="s">
        <v>25</v>
      </c>
      <c r="D14" s="31" t="s">
        <v>3</v>
      </c>
      <c r="E14" s="32"/>
      <c r="F14"/>
      <c r="G14"/>
      <c r="H14"/>
      <c r="I14"/>
      <c r="J14"/>
      <c r="K14"/>
      <c r="L14"/>
      <c r="M14"/>
      <c r="N14"/>
      <c r="O14"/>
      <c r="P14"/>
    </row>
    <row r="15" spans="3:16" ht="13.5">
      <c r="C15" s="31" t="s">
        <v>4</v>
      </c>
      <c r="D15" s="33" t="s">
        <v>902</v>
      </c>
      <c r="E15" s="33" t="s">
        <v>5</v>
      </c>
      <c r="F15"/>
      <c r="G15"/>
      <c r="H15"/>
      <c r="I15"/>
      <c r="J15"/>
      <c r="K15"/>
      <c r="L15"/>
      <c r="M15"/>
      <c r="N15"/>
      <c r="O15"/>
      <c r="P15"/>
    </row>
    <row r="16" spans="3:16" ht="13.5">
      <c r="C16" s="397" t="s">
        <v>223</v>
      </c>
      <c r="D16" s="398">
        <v>2232.2000000000003</v>
      </c>
      <c r="E16" s="399">
        <v>2232.2000000000003</v>
      </c>
      <c r="F16"/>
      <c r="G16"/>
      <c r="H16"/>
      <c r="I16"/>
      <c r="J16"/>
      <c r="K16"/>
      <c r="L16"/>
      <c r="M16"/>
      <c r="N16"/>
      <c r="O16"/>
      <c r="P16"/>
    </row>
    <row r="17" spans="3:16" ht="13.5">
      <c r="C17" s="34" t="s">
        <v>88</v>
      </c>
      <c r="D17" s="35">
        <v>220</v>
      </c>
      <c r="E17" s="166">
        <v>220</v>
      </c>
      <c r="F17"/>
      <c r="G17"/>
      <c r="H17"/>
      <c r="I17"/>
      <c r="J17"/>
      <c r="K17"/>
      <c r="L17"/>
      <c r="M17"/>
      <c r="N17"/>
      <c r="O17"/>
      <c r="P17"/>
    </row>
    <row r="18" spans="3:16" ht="13.5">
      <c r="C18" s="34" t="s">
        <v>90</v>
      </c>
      <c r="D18" s="35">
        <v>400</v>
      </c>
      <c r="E18" s="166">
        <v>400</v>
      </c>
      <c r="F18"/>
      <c r="G18"/>
      <c r="H18"/>
      <c r="I18"/>
      <c r="J18"/>
      <c r="K18"/>
      <c r="L18"/>
      <c r="M18"/>
      <c r="N18"/>
      <c r="O18"/>
      <c r="P18"/>
    </row>
    <row r="19" spans="3:16" ht="13.5">
      <c r="C19" s="34" t="s">
        <v>87</v>
      </c>
      <c r="D19" s="35">
        <v>579.72</v>
      </c>
      <c r="E19" s="166">
        <v>579.72</v>
      </c>
      <c r="F19"/>
      <c r="G19"/>
      <c r="H19"/>
      <c r="I19"/>
      <c r="J19"/>
      <c r="K19"/>
      <c r="L19"/>
      <c r="M19"/>
      <c r="N19"/>
      <c r="O19"/>
      <c r="P19"/>
    </row>
    <row r="20" spans="3:16" ht="13.5">
      <c r="C20" s="34" t="s">
        <v>86</v>
      </c>
      <c r="D20" s="35">
        <v>900</v>
      </c>
      <c r="E20" s="166">
        <v>900</v>
      </c>
      <c r="F20"/>
      <c r="G20"/>
      <c r="H20"/>
      <c r="I20"/>
      <c r="J20"/>
      <c r="K20"/>
      <c r="L20"/>
      <c r="M20"/>
      <c r="N20"/>
      <c r="O20"/>
      <c r="P20"/>
    </row>
    <row r="21" spans="3:16" ht="13.5">
      <c r="C21" s="34" t="s">
        <v>85</v>
      </c>
      <c r="D21" s="35">
        <v>132.47999999999999</v>
      </c>
      <c r="E21" s="166">
        <v>132.47999999999999</v>
      </c>
      <c r="F21"/>
      <c r="G21"/>
      <c r="H21"/>
      <c r="I21"/>
      <c r="J21"/>
      <c r="K21"/>
      <c r="L21"/>
      <c r="M21"/>
      <c r="N21"/>
      <c r="O21"/>
      <c r="P21"/>
    </row>
    <row r="22" spans="3:16" ht="13.5">
      <c r="C22" s="397" t="s">
        <v>224</v>
      </c>
      <c r="D22" s="398">
        <v>2905.32</v>
      </c>
      <c r="E22" s="399">
        <v>2905.32</v>
      </c>
      <c r="F22"/>
      <c r="G22"/>
      <c r="H22"/>
      <c r="I22"/>
      <c r="J22"/>
      <c r="K22"/>
      <c r="L22"/>
      <c r="M22"/>
      <c r="N22"/>
      <c r="O22"/>
      <c r="P22"/>
    </row>
    <row r="23" spans="3:16" ht="13.5">
      <c r="C23" s="34" t="s">
        <v>1191</v>
      </c>
      <c r="D23" s="35">
        <v>2200</v>
      </c>
      <c r="E23" s="166">
        <v>2200</v>
      </c>
      <c r="F23"/>
      <c r="G23"/>
      <c r="H23"/>
      <c r="I23"/>
      <c r="J23"/>
      <c r="K23"/>
      <c r="L23"/>
      <c r="M23"/>
      <c r="N23"/>
      <c r="O23"/>
      <c r="P23"/>
    </row>
    <row r="24" spans="3:16" ht="13.5">
      <c r="C24" s="34" t="s">
        <v>1190</v>
      </c>
      <c r="D24" s="35">
        <v>507.32</v>
      </c>
      <c r="E24" s="166">
        <v>507.32</v>
      </c>
      <c r="F24"/>
      <c r="G24"/>
      <c r="H24"/>
      <c r="I24"/>
      <c r="J24"/>
      <c r="K24"/>
      <c r="L24"/>
      <c r="M24"/>
      <c r="N24"/>
      <c r="O24"/>
      <c r="P24"/>
    </row>
    <row r="25" spans="3:16" ht="13.5">
      <c r="C25" s="34" t="s">
        <v>1215</v>
      </c>
      <c r="D25" s="35">
        <v>198</v>
      </c>
      <c r="E25" s="166">
        <v>198</v>
      </c>
      <c r="F25"/>
      <c r="G25"/>
      <c r="H25"/>
      <c r="I25"/>
      <c r="J25"/>
      <c r="K25"/>
      <c r="L25"/>
      <c r="M25"/>
      <c r="N25"/>
      <c r="O25"/>
      <c r="P25"/>
    </row>
    <row r="26" spans="3:16" ht="13.5">
      <c r="C26" s="397" t="s">
        <v>225</v>
      </c>
      <c r="D26" s="398">
        <v>11550</v>
      </c>
      <c r="E26" s="399">
        <v>11550</v>
      </c>
      <c r="F26"/>
      <c r="G26"/>
      <c r="H26"/>
      <c r="I26"/>
      <c r="J26"/>
      <c r="K26"/>
      <c r="L26"/>
      <c r="M26"/>
      <c r="N26"/>
      <c r="O26"/>
      <c r="P26"/>
    </row>
    <row r="27" spans="3:16" ht="13.5">
      <c r="C27" s="34" t="s">
        <v>33</v>
      </c>
      <c r="D27" s="35">
        <v>220</v>
      </c>
      <c r="E27" s="166">
        <v>220</v>
      </c>
      <c r="F27"/>
      <c r="G27"/>
      <c r="H27"/>
      <c r="I27"/>
      <c r="J27"/>
      <c r="K27"/>
      <c r="L27"/>
      <c r="M27"/>
      <c r="N27"/>
      <c r="O27"/>
      <c r="P27"/>
    </row>
    <row r="28" spans="3:16" ht="13.5">
      <c r="C28" s="34" t="s">
        <v>20</v>
      </c>
      <c r="D28" s="35">
        <v>11000</v>
      </c>
      <c r="E28" s="166">
        <v>11000</v>
      </c>
      <c r="F28"/>
      <c r="G28"/>
      <c r="H28"/>
      <c r="I28"/>
      <c r="J28"/>
      <c r="K28"/>
      <c r="L28"/>
      <c r="M28"/>
      <c r="N28"/>
      <c r="O28"/>
      <c r="P28"/>
    </row>
    <row r="29" spans="3:16" ht="13.5">
      <c r="C29" s="34" t="s">
        <v>27</v>
      </c>
      <c r="D29" s="35">
        <v>330</v>
      </c>
      <c r="E29" s="166">
        <v>330</v>
      </c>
      <c r="F29"/>
      <c r="G29"/>
      <c r="H29"/>
      <c r="I29"/>
      <c r="J29"/>
      <c r="K29"/>
      <c r="L29"/>
      <c r="M29"/>
      <c r="N29"/>
      <c r="O29"/>
      <c r="P29"/>
    </row>
    <row r="30" spans="3:16" ht="13.5">
      <c r="C30" s="397" t="s">
        <v>226</v>
      </c>
      <c r="D30" s="398">
        <v>488.31</v>
      </c>
      <c r="E30" s="399">
        <v>488.31</v>
      </c>
      <c r="F30"/>
      <c r="G30"/>
      <c r="H30"/>
      <c r="I30"/>
      <c r="J30"/>
      <c r="K30"/>
      <c r="L30"/>
      <c r="M30"/>
      <c r="N30"/>
      <c r="O30"/>
      <c r="P30"/>
    </row>
    <row r="31" spans="3:16" ht="13.5">
      <c r="C31" s="34" t="s">
        <v>34</v>
      </c>
      <c r="D31" s="35">
        <v>488.31</v>
      </c>
      <c r="E31" s="166">
        <v>488.31</v>
      </c>
      <c r="F31"/>
      <c r="G31"/>
      <c r="H31"/>
      <c r="I31"/>
      <c r="J31"/>
      <c r="K31"/>
      <c r="L31"/>
      <c r="M31"/>
      <c r="N31"/>
      <c r="O31"/>
      <c r="P31"/>
    </row>
    <row r="32" spans="3:16" ht="13.5">
      <c r="C32" s="36" t="s">
        <v>5</v>
      </c>
      <c r="D32" s="37">
        <v>17175.830000000002</v>
      </c>
      <c r="E32" s="39">
        <v>17175.830000000002</v>
      </c>
      <c r="F32"/>
      <c r="G32"/>
      <c r="H32"/>
      <c r="I32"/>
      <c r="J32"/>
      <c r="K32"/>
      <c r="L32"/>
      <c r="M32"/>
      <c r="N32"/>
      <c r="O32"/>
      <c r="P32"/>
    </row>
    <row r="33" spans="3:16" ht="13.5"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3:16" ht="13.5"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3:16" ht="13.5"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3:16" ht="13.5"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3:16" ht="13.5"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3:16" ht="13.5"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3:16" ht="13.5"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3:16" ht="13.5"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3:16" ht="13.5"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3:16" ht="13.5"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3:16" ht="13.5"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3:16" ht="13.5"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3:16" ht="13.5"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3:16" ht="13.5"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3:16" ht="13.5"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3:16" ht="13.5"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3:16" ht="13.5"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3:16" ht="13.5"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3:16" ht="13.5"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3:16" ht="13.5"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3:16" ht="12.75" customHeight="1"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3:16" ht="12.75" customHeight="1"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</row>
    <row r="55" spans="3:16" ht="12.75" customHeight="1"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</row>
    <row r="56" spans="3:16" ht="12.75" customHeight="1"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</row>
    <row r="57" spans="3:16" ht="12.75" customHeight="1"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</row>
    <row r="58" spans="3:16" ht="12.75" customHeight="1"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</row>
    <row r="59" spans="3:16" ht="12.75" customHeight="1"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</row>
    <row r="60" spans="3:16" ht="12.75" customHeight="1"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</row>
  </sheetData>
  <mergeCells count="1">
    <mergeCell ref="L3:P7"/>
  </mergeCells>
  <pageMargins left="0.91" right="0.11" top="0.63" bottom="0.35" header="0.31496062000000002" footer="0.31496062000000002"/>
  <pageSetup paperSize="9" scale="39" orientation="portrait" r:id="rId2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3E66-9FE5-4724-B58E-7AA410ACC764}">
  <sheetPr codeName="Planilha7">
    <tabColor theme="4" tint="-0.249977111117893"/>
    <pageSetUpPr fitToPage="1"/>
  </sheetPr>
  <dimension ref="C3:P60"/>
  <sheetViews>
    <sheetView showGridLines="0" zoomScaleNormal="100" workbookViewId="0">
      <pane xSplit="1" ySplit="15" topLeftCell="B16" activePane="bottomRight" state="frozen"/>
      <selection activeCell="H33" sqref="H33"/>
      <selection pane="topRight" activeCell="H33" sqref="H33"/>
      <selection pane="bottomLeft" activeCell="H33" sqref="H33"/>
      <selection pane="bottomRight" activeCell="E24" sqref="E24"/>
    </sheetView>
  </sheetViews>
  <sheetFormatPr defaultRowHeight="12.75" customHeight="1"/>
  <cols>
    <col min="1" max="2" width="2.7109375" style="28" customWidth="1"/>
    <col min="3" max="3" width="36.28515625" style="28" bestFit="1" customWidth="1"/>
    <col min="4" max="4" width="29.28515625" style="28" bestFit="1" customWidth="1"/>
    <col min="5" max="15" width="12.85546875" style="28" bestFit="1" customWidth="1"/>
    <col min="16" max="16" width="14" style="28" bestFit="1" customWidth="1"/>
    <col min="17" max="16384" width="9.140625" style="28"/>
  </cols>
  <sheetData>
    <row r="3" spans="3:16" ht="12.75" customHeight="1">
      <c r="L3" s="554" t="s">
        <v>58</v>
      </c>
      <c r="M3" s="554"/>
      <c r="N3" s="554"/>
      <c r="O3" s="554"/>
      <c r="P3" s="554"/>
    </row>
    <row r="4" spans="3:16" ht="12.75" customHeight="1">
      <c r="L4" s="554"/>
      <c r="M4" s="554"/>
      <c r="N4" s="554"/>
      <c r="O4" s="554"/>
      <c r="P4" s="554"/>
    </row>
    <row r="5" spans="3:16" ht="12.75" customHeight="1">
      <c r="L5" s="554"/>
      <c r="M5" s="554"/>
      <c r="N5" s="554"/>
      <c r="O5" s="554"/>
      <c r="P5" s="554"/>
    </row>
    <row r="6" spans="3:16" ht="12.75" customHeight="1">
      <c r="L6" s="554"/>
      <c r="M6" s="554"/>
      <c r="N6" s="554"/>
      <c r="O6" s="554"/>
      <c r="P6" s="554"/>
    </row>
    <row r="7" spans="3:16" ht="12.75" customHeight="1">
      <c r="L7" s="554"/>
      <c r="M7" s="554"/>
      <c r="N7" s="554"/>
      <c r="O7" s="554"/>
      <c r="P7" s="554"/>
    </row>
    <row r="11" spans="3:16" ht="13.5">
      <c r="C11" s="29" t="s">
        <v>7</v>
      </c>
      <c r="D11" s="30" t="s">
        <v>16</v>
      </c>
    </row>
    <row r="12" spans="3:16" ht="13.5">
      <c r="C12" s="29" t="s">
        <v>11</v>
      </c>
      <c r="D12" s="28" t="s">
        <v>913</v>
      </c>
    </row>
    <row r="14" spans="3:16" ht="13.5">
      <c r="C14" s="31" t="s">
        <v>25</v>
      </c>
      <c r="D14" s="31" t="s">
        <v>3</v>
      </c>
      <c r="E14" s="32"/>
      <c r="F14"/>
      <c r="G14"/>
      <c r="H14"/>
      <c r="I14"/>
      <c r="J14"/>
      <c r="K14"/>
      <c r="L14"/>
      <c r="M14"/>
      <c r="N14"/>
      <c r="O14"/>
      <c r="P14"/>
    </row>
    <row r="15" spans="3:16" ht="13.5">
      <c r="C15" s="31" t="s">
        <v>4</v>
      </c>
      <c r="D15" s="33" t="s">
        <v>902</v>
      </c>
      <c r="E15" s="33" t="s">
        <v>5</v>
      </c>
      <c r="F15"/>
      <c r="G15"/>
      <c r="H15"/>
      <c r="I15"/>
      <c r="J15"/>
      <c r="K15"/>
      <c r="L15"/>
      <c r="M15"/>
      <c r="N15"/>
      <c r="O15"/>
      <c r="P15"/>
    </row>
    <row r="16" spans="3:16" ht="13.5">
      <c r="C16" s="41" t="s">
        <v>223</v>
      </c>
      <c r="D16" s="42">
        <v>7031</v>
      </c>
      <c r="E16" s="43">
        <v>7031</v>
      </c>
      <c r="F16"/>
      <c r="G16"/>
      <c r="H16"/>
      <c r="I16"/>
      <c r="J16"/>
      <c r="K16"/>
      <c r="L16"/>
      <c r="M16"/>
      <c r="N16"/>
      <c r="O16"/>
      <c r="P16"/>
    </row>
    <row r="17" spans="3:16" ht="13.5">
      <c r="C17" s="34" t="s">
        <v>118</v>
      </c>
      <c r="D17" s="35">
        <v>4900</v>
      </c>
      <c r="E17" s="166">
        <v>4900</v>
      </c>
      <c r="F17"/>
      <c r="G17"/>
      <c r="H17"/>
      <c r="I17"/>
      <c r="J17"/>
      <c r="K17"/>
      <c r="L17"/>
      <c r="M17"/>
      <c r="N17"/>
      <c r="O17"/>
      <c r="P17"/>
    </row>
    <row r="18" spans="3:16" ht="13.5">
      <c r="C18" s="34" t="s">
        <v>157</v>
      </c>
      <c r="D18" s="35">
        <v>2131</v>
      </c>
      <c r="E18" s="166">
        <v>2131</v>
      </c>
      <c r="F18"/>
      <c r="G18"/>
      <c r="H18"/>
      <c r="I18"/>
      <c r="J18"/>
      <c r="K18"/>
      <c r="L18"/>
      <c r="M18"/>
      <c r="N18"/>
      <c r="O18"/>
      <c r="P18"/>
    </row>
    <row r="19" spans="3:16" ht="13.5">
      <c r="C19" s="41" t="s">
        <v>225</v>
      </c>
      <c r="D19" s="42">
        <v>16300</v>
      </c>
      <c r="E19" s="43">
        <v>16300</v>
      </c>
      <c r="F19"/>
      <c r="G19"/>
      <c r="H19"/>
      <c r="I19"/>
      <c r="J19"/>
      <c r="K19"/>
      <c r="L19"/>
      <c r="M19"/>
      <c r="N19"/>
      <c r="O19"/>
      <c r="P19"/>
    </row>
    <row r="20" spans="3:16" ht="13.5">
      <c r="C20" s="34" t="s">
        <v>20</v>
      </c>
      <c r="D20" s="35">
        <v>5000</v>
      </c>
      <c r="E20" s="166">
        <v>5000</v>
      </c>
      <c r="F20"/>
      <c r="G20"/>
      <c r="H20"/>
      <c r="I20"/>
      <c r="J20"/>
      <c r="K20"/>
      <c r="L20"/>
      <c r="M20"/>
      <c r="N20"/>
      <c r="O20"/>
      <c r="P20"/>
    </row>
    <row r="21" spans="3:16" ht="13.5">
      <c r="C21" s="34" t="s">
        <v>27</v>
      </c>
      <c r="D21" s="35">
        <v>200</v>
      </c>
      <c r="E21" s="166">
        <v>200</v>
      </c>
      <c r="F21"/>
      <c r="G21"/>
      <c r="H21"/>
      <c r="I21"/>
      <c r="J21"/>
      <c r="K21"/>
      <c r="L21"/>
      <c r="M21"/>
      <c r="N21"/>
      <c r="O21"/>
      <c r="P21"/>
    </row>
    <row r="22" spans="3:16" ht="13.5">
      <c r="C22" s="34" t="s">
        <v>33</v>
      </c>
      <c r="D22" s="35">
        <v>100</v>
      </c>
      <c r="E22" s="166">
        <v>100</v>
      </c>
      <c r="F22"/>
      <c r="G22"/>
      <c r="H22"/>
      <c r="I22"/>
      <c r="J22"/>
      <c r="K22"/>
      <c r="L22"/>
      <c r="M22"/>
      <c r="N22"/>
      <c r="O22"/>
      <c r="P22"/>
    </row>
    <row r="23" spans="3:16" ht="13.5">
      <c r="C23" s="34" t="s">
        <v>35</v>
      </c>
      <c r="D23" s="35">
        <v>1000</v>
      </c>
      <c r="E23" s="166">
        <v>1000</v>
      </c>
      <c r="F23"/>
      <c r="G23"/>
      <c r="H23"/>
      <c r="I23"/>
      <c r="J23"/>
      <c r="K23"/>
      <c r="L23"/>
      <c r="M23"/>
      <c r="N23"/>
      <c r="O23"/>
      <c r="P23"/>
    </row>
    <row r="24" spans="3:16" ht="13.5">
      <c r="C24" s="34" t="s">
        <v>126</v>
      </c>
      <c r="D24" s="35">
        <v>10000</v>
      </c>
      <c r="E24" s="166">
        <v>10000</v>
      </c>
      <c r="F24"/>
      <c r="G24"/>
      <c r="H24"/>
      <c r="I24"/>
      <c r="J24"/>
      <c r="K24"/>
      <c r="L24"/>
      <c r="M24"/>
      <c r="N24"/>
      <c r="O24"/>
      <c r="P24"/>
    </row>
    <row r="25" spans="3:16" ht="13.5">
      <c r="C25" s="41" t="s">
        <v>226</v>
      </c>
      <c r="D25" s="42">
        <v>1990</v>
      </c>
      <c r="E25" s="43">
        <v>1990</v>
      </c>
      <c r="F25"/>
      <c r="G25"/>
      <c r="H25"/>
      <c r="I25"/>
      <c r="J25"/>
      <c r="K25"/>
      <c r="L25"/>
      <c r="M25"/>
      <c r="N25"/>
      <c r="O25"/>
      <c r="P25"/>
    </row>
    <row r="26" spans="3:16" ht="13.5">
      <c r="C26" s="34" t="s">
        <v>116</v>
      </c>
      <c r="D26" s="35">
        <v>1000</v>
      </c>
      <c r="E26" s="166">
        <v>1000</v>
      </c>
      <c r="F26"/>
      <c r="G26"/>
      <c r="H26"/>
      <c r="I26"/>
      <c r="J26"/>
      <c r="K26"/>
      <c r="L26"/>
      <c r="M26"/>
      <c r="N26"/>
      <c r="O26"/>
      <c r="P26"/>
    </row>
    <row r="27" spans="3:16" ht="13.5">
      <c r="C27" s="34" t="s">
        <v>1410</v>
      </c>
      <c r="D27" s="35">
        <v>990</v>
      </c>
      <c r="E27" s="166">
        <v>990</v>
      </c>
      <c r="F27"/>
      <c r="G27"/>
      <c r="H27"/>
      <c r="I27"/>
      <c r="J27"/>
      <c r="K27"/>
      <c r="L27"/>
      <c r="M27"/>
      <c r="N27"/>
      <c r="O27"/>
      <c r="P27"/>
    </row>
    <row r="28" spans="3:16" ht="13.5">
      <c r="C28" s="36" t="s">
        <v>5</v>
      </c>
      <c r="D28" s="37">
        <v>25321</v>
      </c>
      <c r="E28" s="39">
        <v>25321</v>
      </c>
      <c r="F28"/>
      <c r="G28"/>
      <c r="H28"/>
      <c r="I28"/>
      <c r="J28"/>
      <c r="K28"/>
      <c r="L28"/>
      <c r="M28"/>
      <c r="N28"/>
      <c r="O28"/>
      <c r="P28"/>
    </row>
    <row r="29" spans="3:16" ht="13.5"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3:16" ht="13.5"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3:16" ht="13.5"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3:16" ht="13.5"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3:16" ht="13.5"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3:16" ht="13.5"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3:16" ht="13.5"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3:16" ht="13.5"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3:16" ht="13.5"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3:16" ht="13.5"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3:16" ht="13.5"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3:16" ht="13.5"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3:16" ht="12.75" customHeight="1"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</row>
    <row r="42" spans="3:16" ht="12.75" customHeight="1"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</row>
    <row r="43" spans="3:16" ht="12.75" customHeight="1"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</row>
    <row r="44" spans="3:16" ht="12.75" customHeight="1"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</row>
    <row r="45" spans="3:16" ht="12.75" customHeight="1"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</row>
    <row r="46" spans="3:16" ht="12.75" customHeight="1"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</row>
    <row r="47" spans="3:16" ht="12.75" customHeight="1"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</row>
    <row r="48" spans="3:16" ht="12.75" customHeight="1"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</row>
    <row r="49" spans="3:16" ht="12.75" customHeight="1"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</row>
    <row r="50" spans="3:16" ht="12.75" customHeight="1"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</row>
    <row r="51" spans="3:16" ht="12.75" customHeight="1"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</row>
    <row r="52" spans="3:16" ht="12.75" customHeight="1"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</row>
    <row r="53" spans="3:16" ht="12.75" customHeight="1"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3:16" ht="12.75" customHeight="1"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</row>
    <row r="55" spans="3:16" ht="12.75" customHeight="1"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</row>
    <row r="56" spans="3:16" ht="12.75" customHeight="1"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</row>
    <row r="57" spans="3:16" ht="12.75" customHeight="1"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</row>
    <row r="58" spans="3:16" ht="12.75" customHeight="1"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</row>
    <row r="59" spans="3:16" ht="12.75" customHeight="1"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</row>
    <row r="60" spans="3:16" ht="12.75" customHeight="1"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</row>
  </sheetData>
  <mergeCells count="1">
    <mergeCell ref="L3:P7"/>
  </mergeCells>
  <pageMargins left="0.12" right="0.06" top="0.75" bottom="0.75" header="0.3" footer="0.3"/>
  <pageSetup paperSize="9" scale="64" fitToHeight="0" orientation="landscape" r:id="rId2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45177-419C-48BE-928D-CD42AC299520}">
  <sheetPr>
    <tabColor theme="1"/>
    <pageSetUpPr fitToPage="1"/>
  </sheetPr>
  <dimension ref="C1:L89"/>
  <sheetViews>
    <sheetView showGridLines="0" zoomScaleNormal="100" workbookViewId="0">
      <pane xSplit="1" ySplit="6" topLeftCell="B66" activePane="bottomRight" state="frozen"/>
      <selection activeCell="K74" sqref="K74"/>
      <selection pane="topRight" activeCell="K74" sqref="K74"/>
      <selection pane="bottomLeft" activeCell="K74" sqref="K74"/>
      <selection pane="bottomRight" activeCell="J86" sqref="J86"/>
    </sheetView>
  </sheetViews>
  <sheetFormatPr defaultRowHeight="15"/>
  <cols>
    <col min="1" max="1" width="0.7109375" style="298" customWidth="1"/>
    <col min="2" max="2" width="9.140625" style="298"/>
    <col min="3" max="3" width="9.85546875" style="298" bestFit="1" customWidth="1"/>
    <col min="4" max="4" width="28" style="298" bestFit="1" customWidth="1"/>
    <col min="5" max="5" width="19.42578125" style="298" bestFit="1" customWidth="1"/>
    <col min="6" max="6" width="12.42578125" style="298" bestFit="1" customWidth="1"/>
    <col min="7" max="7" width="28.85546875" style="298" bestFit="1" customWidth="1"/>
    <col min="8" max="8" width="14.7109375" style="347" bestFit="1" customWidth="1"/>
    <col min="9" max="9" width="16.85546875" style="298" bestFit="1" customWidth="1"/>
    <col min="10" max="10" width="14.7109375" style="298" customWidth="1"/>
    <col min="11" max="11" width="18.28515625" style="301" customWidth="1"/>
    <col min="12" max="12" width="24.140625" style="305" customWidth="1"/>
    <col min="13" max="14" width="9.140625" style="298"/>
    <col min="15" max="15" width="11.85546875" style="298" bestFit="1" customWidth="1"/>
    <col min="16" max="16384" width="9.140625" style="298"/>
  </cols>
  <sheetData>
    <row r="1" spans="3:12">
      <c r="E1" s="335">
        <f ca="1">TODAY()</f>
        <v>46146</v>
      </c>
      <c r="F1" s="336" t="s">
        <v>650</v>
      </c>
    </row>
    <row r="2" spans="3:12">
      <c r="E2" s="336"/>
      <c r="F2" s="336" t="s">
        <v>649</v>
      </c>
    </row>
    <row r="3" spans="3:12">
      <c r="E3" s="336"/>
      <c r="F3" s="336" t="s">
        <v>570</v>
      </c>
    </row>
    <row r="4" spans="3:12">
      <c r="E4" s="336"/>
      <c r="F4" s="336"/>
    </row>
    <row r="6" spans="3:12" ht="24" customHeight="1">
      <c r="C6" s="263" t="s">
        <v>557</v>
      </c>
      <c r="D6" s="263" t="s">
        <v>558</v>
      </c>
      <c r="E6" s="263" t="s">
        <v>559</v>
      </c>
      <c r="F6" s="263" t="s">
        <v>560</v>
      </c>
      <c r="G6" s="263" t="s">
        <v>561</v>
      </c>
      <c r="H6" s="348" t="s">
        <v>562</v>
      </c>
      <c r="I6" s="263" t="s">
        <v>563</v>
      </c>
      <c r="J6" s="338" t="s">
        <v>564</v>
      </c>
      <c r="K6" s="263" t="s">
        <v>565</v>
      </c>
    </row>
    <row r="7" spans="3:12" ht="12.95" customHeight="1">
      <c r="C7" s="590" t="s">
        <v>604</v>
      </c>
      <c r="D7" s="593">
        <v>45818</v>
      </c>
      <c r="E7" s="592" t="s">
        <v>568</v>
      </c>
      <c r="F7" s="594" t="s">
        <v>651</v>
      </c>
      <c r="G7" s="592" t="s">
        <v>569</v>
      </c>
      <c r="H7" s="349">
        <v>18694.060000000001</v>
      </c>
      <c r="I7" s="312">
        <v>45819</v>
      </c>
      <c r="J7" s="339" t="s">
        <v>588</v>
      </c>
      <c r="K7" s="587">
        <f>SUM(H7:H12)</f>
        <v>186940.56000000003</v>
      </c>
      <c r="L7"/>
    </row>
    <row r="8" spans="3:12" ht="12.95" customHeight="1">
      <c r="C8" s="590"/>
      <c r="D8" s="593"/>
      <c r="E8" s="592"/>
      <c r="F8" s="595"/>
      <c r="G8" s="592"/>
      <c r="H8" s="349">
        <v>74776.22</v>
      </c>
      <c r="I8" s="312">
        <v>45820</v>
      </c>
      <c r="J8" s="339" t="s">
        <v>588</v>
      </c>
      <c r="K8" s="587"/>
      <c r="L8"/>
    </row>
    <row r="9" spans="3:12" ht="12.95" customHeight="1">
      <c r="C9" s="590"/>
      <c r="D9" s="593"/>
      <c r="E9" s="592"/>
      <c r="F9" s="595"/>
      <c r="G9" s="592"/>
      <c r="H9" s="349">
        <v>23367.57</v>
      </c>
      <c r="I9" s="312">
        <v>45846</v>
      </c>
      <c r="J9" s="339" t="s">
        <v>588</v>
      </c>
      <c r="K9" s="587"/>
      <c r="L9"/>
    </row>
    <row r="10" spans="3:12" ht="12.95" customHeight="1">
      <c r="C10" s="590"/>
      <c r="D10" s="593"/>
      <c r="E10" s="592"/>
      <c r="F10" s="595"/>
      <c r="G10" s="592"/>
      <c r="H10" s="349">
        <v>23367.57</v>
      </c>
      <c r="I10" s="312">
        <v>45874</v>
      </c>
      <c r="J10" s="339" t="s">
        <v>588</v>
      </c>
      <c r="K10" s="587"/>
      <c r="L10"/>
    </row>
    <row r="11" spans="3:12" ht="12.95" customHeight="1">
      <c r="C11" s="590"/>
      <c r="D11" s="593"/>
      <c r="E11" s="592"/>
      <c r="F11" s="595"/>
      <c r="G11" s="592"/>
      <c r="H11" s="349">
        <v>23367.57</v>
      </c>
      <c r="I11" s="312">
        <v>45902</v>
      </c>
      <c r="J11" s="339" t="s">
        <v>588</v>
      </c>
      <c r="K11" s="587"/>
      <c r="L11"/>
    </row>
    <row r="12" spans="3:12" ht="12.95" customHeight="1">
      <c r="C12" s="590"/>
      <c r="D12" s="593"/>
      <c r="E12" s="592"/>
      <c r="F12" s="595"/>
      <c r="G12" s="592"/>
      <c r="H12" s="349">
        <v>23367.57</v>
      </c>
      <c r="I12" s="312">
        <v>45930</v>
      </c>
      <c r="J12" s="339" t="s">
        <v>588</v>
      </c>
      <c r="K12" s="587"/>
      <c r="L12"/>
    </row>
    <row r="13" spans="3:12" ht="12.95" customHeight="1">
      <c r="C13" s="309" t="s">
        <v>571</v>
      </c>
      <c r="D13" s="310">
        <v>45799</v>
      </c>
      <c r="E13" s="311" t="s">
        <v>572</v>
      </c>
      <c r="F13" s="337">
        <v>211</v>
      </c>
      <c r="G13" s="311" t="s">
        <v>573</v>
      </c>
      <c r="H13" s="349">
        <v>97734.37</v>
      </c>
      <c r="I13" s="312">
        <v>45800</v>
      </c>
      <c r="J13" s="339" t="s">
        <v>588</v>
      </c>
      <c r="K13" s="314">
        <v>97734.37</v>
      </c>
      <c r="L13"/>
    </row>
    <row r="14" spans="3:12" ht="12.95" customHeight="1">
      <c r="C14" s="315" t="s">
        <v>605</v>
      </c>
      <c r="D14" s="312">
        <v>45884</v>
      </c>
      <c r="E14" s="313" t="s">
        <v>574</v>
      </c>
      <c r="F14" s="313">
        <v>9963</v>
      </c>
      <c r="G14" s="313" t="s">
        <v>575</v>
      </c>
      <c r="H14" s="349">
        <v>1020</v>
      </c>
      <c r="I14" s="312">
        <v>45915</v>
      </c>
      <c r="J14" s="339" t="s">
        <v>588</v>
      </c>
      <c r="K14" s="316">
        <f t="shared" ref="K14:K19" si="0">H14</f>
        <v>1020</v>
      </c>
      <c r="L14"/>
    </row>
    <row r="15" spans="3:12" ht="12.75" customHeight="1">
      <c r="C15" s="315" t="s">
        <v>576</v>
      </c>
      <c r="D15" s="312">
        <v>45902</v>
      </c>
      <c r="E15" s="313" t="s">
        <v>577</v>
      </c>
      <c r="F15" s="313" t="s">
        <v>593</v>
      </c>
      <c r="G15" s="313" t="s">
        <v>575</v>
      </c>
      <c r="H15" s="349">
        <v>1200</v>
      </c>
      <c r="I15" s="312">
        <v>45930</v>
      </c>
      <c r="J15" s="339" t="s">
        <v>588</v>
      </c>
      <c r="K15" s="316">
        <f t="shared" si="0"/>
        <v>1200</v>
      </c>
      <c r="L15"/>
    </row>
    <row r="16" spans="3:12" ht="12.75" customHeight="1">
      <c r="C16" s="354" t="s">
        <v>578</v>
      </c>
      <c r="D16" s="312" t="s">
        <v>647</v>
      </c>
      <c r="E16" s="313" t="s">
        <v>579</v>
      </c>
      <c r="F16" s="313" t="s">
        <v>593</v>
      </c>
      <c r="G16" s="313" t="s">
        <v>575</v>
      </c>
      <c r="H16" s="349">
        <v>1300</v>
      </c>
      <c r="I16" s="312">
        <v>45925</v>
      </c>
      <c r="J16" s="339" t="s">
        <v>588</v>
      </c>
      <c r="K16" s="316">
        <f t="shared" si="0"/>
        <v>1300</v>
      </c>
      <c r="L16"/>
    </row>
    <row r="17" spans="3:12" ht="12.75" customHeight="1">
      <c r="C17" s="315" t="s">
        <v>606</v>
      </c>
      <c r="D17" s="312">
        <v>45888</v>
      </c>
      <c r="E17" s="313" t="s">
        <v>580</v>
      </c>
      <c r="F17" s="313">
        <v>267742</v>
      </c>
      <c r="G17" s="313" t="s">
        <v>575</v>
      </c>
      <c r="H17" s="349">
        <v>470.2</v>
      </c>
      <c r="I17" s="312">
        <v>45918</v>
      </c>
      <c r="J17" s="339" t="s">
        <v>588</v>
      </c>
      <c r="K17" s="316">
        <f t="shared" si="0"/>
        <v>470.2</v>
      </c>
      <c r="L17"/>
    </row>
    <row r="18" spans="3:12" ht="12.75" customHeight="1">
      <c r="C18" s="315" t="s">
        <v>607</v>
      </c>
      <c r="D18" s="312">
        <v>45908</v>
      </c>
      <c r="E18" s="313" t="s">
        <v>581</v>
      </c>
      <c r="F18" s="313">
        <v>1434</v>
      </c>
      <c r="G18" s="313" t="s">
        <v>575</v>
      </c>
      <c r="H18" s="349">
        <v>1150</v>
      </c>
      <c r="I18" s="312">
        <v>45912</v>
      </c>
      <c r="J18" s="339" t="s">
        <v>588</v>
      </c>
      <c r="K18" s="316">
        <f t="shared" si="0"/>
        <v>1150</v>
      </c>
      <c r="L18"/>
    </row>
    <row r="19" spans="3:12" ht="12.75" customHeight="1">
      <c r="C19" s="315" t="s">
        <v>608</v>
      </c>
      <c r="D19" s="312">
        <v>45891</v>
      </c>
      <c r="E19" s="313" t="s">
        <v>574</v>
      </c>
      <c r="F19" s="313">
        <v>9972</v>
      </c>
      <c r="G19" s="313" t="s">
        <v>573</v>
      </c>
      <c r="H19" s="349">
        <v>2351</v>
      </c>
      <c r="I19" s="312">
        <v>45922</v>
      </c>
      <c r="J19" s="339" t="s">
        <v>588</v>
      </c>
      <c r="K19" s="316">
        <f t="shared" si="0"/>
        <v>2351</v>
      </c>
      <c r="L19"/>
    </row>
    <row r="20" spans="3:12" ht="12.75" customHeight="1">
      <c r="C20" s="590" t="s">
        <v>609</v>
      </c>
      <c r="D20" s="591">
        <v>45897</v>
      </c>
      <c r="E20" s="592" t="s">
        <v>582</v>
      </c>
      <c r="F20" s="592">
        <v>349750</v>
      </c>
      <c r="G20" s="592" t="s">
        <v>583</v>
      </c>
      <c r="H20" s="349">
        <v>2562</v>
      </c>
      <c r="I20" s="312">
        <v>45926</v>
      </c>
      <c r="J20" s="339" t="s">
        <v>588</v>
      </c>
      <c r="K20" s="587">
        <f>SUM(H20:H21)</f>
        <v>5124</v>
      </c>
      <c r="L20"/>
    </row>
    <row r="21" spans="3:12" ht="12.75" customHeight="1">
      <c r="C21" s="590"/>
      <c r="D21" s="591"/>
      <c r="E21" s="592"/>
      <c r="F21" s="592"/>
      <c r="G21" s="592"/>
      <c r="H21" s="349">
        <v>2562</v>
      </c>
      <c r="I21" s="312">
        <v>45954</v>
      </c>
      <c r="J21" s="339" t="s">
        <v>588</v>
      </c>
      <c r="K21" s="587"/>
      <c r="L21"/>
    </row>
    <row r="22" spans="3:12" ht="12.75" customHeight="1">
      <c r="C22" s="309" t="s">
        <v>610</v>
      </c>
      <c r="D22" s="317">
        <v>45903</v>
      </c>
      <c r="E22" s="311" t="s">
        <v>589</v>
      </c>
      <c r="F22" s="311">
        <v>108141</v>
      </c>
      <c r="G22" s="311" t="s">
        <v>573</v>
      </c>
      <c r="H22" s="349">
        <v>4200</v>
      </c>
      <c r="I22" s="312">
        <v>45903</v>
      </c>
      <c r="J22" s="339" t="s">
        <v>588</v>
      </c>
      <c r="K22" s="314">
        <f>H22</f>
        <v>4200</v>
      </c>
      <c r="L22"/>
    </row>
    <row r="23" spans="3:12" ht="12.75" customHeight="1">
      <c r="C23" s="309" t="s">
        <v>611</v>
      </c>
      <c r="D23" s="317">
        <v>45904</v>
      </c>
      <c r="E23" s="311" t="s">
        <v>590</v>
      </c>
      <c r="F23" s="311">
        <v>900630</v>
      </c>
      <c r="G23" s="311" t="s">
        <v>575</v>
      </c>
      <c r="H23" s="349">
        <v>1416.39</v>
      </c>
      <c r="I23" s="312">
        <v>45925</v>
      </c>
      <c r="J23" s="339" t="s">
        <v>588</v>
      </c>
      <c r="K23" s="314">
        <f>H23</f>
        <v>1416.39</v>
      </c>
      <c r="L23"/>
    </row>
    <row r="24" spans="3:12" ht="12.75" customHeight="1">
      <c r="C24" s="309" t="s">
        <v>612</v>
      </c>
      <c r="D24" s="317">
        <v>45781</v>
      </c>
      <c r="E24" s="311" t="s">
        <v>591</v>
      </c>
      <c r="F24" s="311">
        <v>428270</v>
      </c>
      <c r="G24" s="311" t="s">
        <v>575</v>
      </c>
      <c r="H24" s="349">
        <v>28654.93</v>
      </c>
      <c r="I24" s="312">
        <v>45936</v>
      </c>
      <c r="J24" s="339" t="s">
        <v>588</v>
      </c>
      <c r="K24" s="314">
        <f>H24</f>
        <v>28654.93</v>
      </c>
      <c r="L24"/>
    </row>
    <row r="25" spans="3:12" ht="12.95" customHeight="1">
      <c r="C25" s="309" t="s">
        <v>613</v>
      </c>
      <c r="D25" s="317">
        <v>45909</v>
      </c>
      <c r="E25" s="311" t="s">
        <v>582</v>
      </c>
      <c r="F25" s="311">
        <v>350907</v>
      </c>
      <c r="G25" s="311" t="s">
        <v>575</v>
      </c>
      <c r="H25" s="349">
        <v>338</v>
      </c>
      <c r="I25" s="312">
        <v>45939</v>
      </c>
      <c r="J25" s="339" t="s">
        <v>588</v>
      </c>
      <c r="K25" s="314">
        <f>H25</f>
        <v>338</v>
      </c>
      <c r="L25"/>
    </row>
    <row r="26" spans="3:12" ht="12.95" customHeight="1">
      <c r="C26" s="309" t="s">
        <v>614</v>
      </c>
      <c r="D26" s="317">
        <v>45909</v>
      </c>
      <c r="E26" s="311" t="s">
        <v>615</v>
      </c>
      <c r="F26" s="311" t="s">
        <v>593</v>
      </c>
      <c r="G26" s="311" t="s">
        <v>575</v>
      </c>
      <c r="H26" s="349">
        <v>120</v>
      </c>
      <c r="I26" s="312">
        <v>45923</v>
      </c>
      <c r="J26" s="339" t="s">
        <v>588</v>
      </c>
      <c r="K26" s="314">
        <f>H26</f>
        <v>120</v>
      </c>
      <c r="L26"/>
    </row>
    <row r="27" spans="3:12" ht="12.95" customHeight="1">
      <c r="C27" s="309" t="s">
        <v>616</v>
      </c>
      <c r="D27" s="317">
        <v>45912</v>
      </c>
      <c r="E27" s="311" t="s">
        <v>591</v>
      </c>
      <c r="F27" s="311">
        <v>428584</v>
      </c>
      <c r="G27" s="311" t="s">
        <v>575</v>
      </c>
      <c r="H27" s="349">
        <v>180</v>
      </c>
      <c r="I27" s="312">
        <v>45933</v>
      </c>
      <c r="J27" s="339" t="s">
        <v>588</v>
      </c>
      <c r="K27" s="314">
        <f t="shared" ref="K27:K35" si="1">H27</f>
        <v>180</v>
      </c>
      <c r="L27"/>
    </row>
    <row r="28" spans="3:12" ht="12.95" customHeight="1">
      <c r="C28" s="309" t="s">
        <v>617</v>
      </c>
      <c r="D28" s="317">
        <v>45911</v>
      </c>
      <c r="E28" s="311" t="s">
        <v>568</v>
      </c>
      <c r="F28" s="311">
        <v>3636</v>
      </c>
      <c r="G28" s="311" t="s">
        <v>575</v>
      </c>
      <c r="H28" s="349">
        <v>997.5</v>
      </c>
      <c r="I28" s="312">
        <v>45939</v>
      </c>
      <c r="J28" s="339" t="s">
        <v>588</v>
      </c>
      <c r="K28" s="314">
        <f t="shared" si="1"/>
        <v>997.5</v>
      </c>
      <c r="L28"/>
    </row>
    <row r="29" spans="3:12" ht="12.95" customHeight="1">
      <c r="C29" s="309" t="s">
        <v>618</v>
      </c>
      <c r="D29" s="317">
        <v>45915</v>
      </c>
      <c r="E29" s="311" t="s">
        <v>574</v>
      </c>
      <c r="F29" s="311">
        <v>9992</v>
      </c>
      <c r="G29" s="311" t="s">
        <v>575</v>
      </c>
      <c r="H29" s="349">
        <v>305</v>
      </c>
      <c r="I29" s="312">
        <v>45933</v>
      </c>
      <c r="J29" s="339" t="s">
        <v>588</v>
      </c>
      <c r="K29" s="314">
        <f t="shared" si="1"/>
        <v>305</v>
      </c>
      <c r="L29"/>
    </row>
    <row r="30" spans="3:12" ht="12.95" customHeight="1">
      <c r="C30" s="309" t="s">
        <v>601</v>
      </c>
      <c r="D30" s="317">
        <v>45917</v>
      </c>
      <c r="E30" s="311" t="s">
        <v>572</v>
      </c>
      <c r="F30" s="311">
        <v>238</v>
      </c>
      <c r="G30" s="311" t="s">
        <v>573</v>
      </c>
      <c r="H30" s="349">
        <v>138885.56</v>
      </c>
      <c r="I30" s="312">
        <v>45923</v>
      </c>
      <c r="J30" s="339" t="s">
        <v>588</v>
      </c>
      <c r="K30" s="314">
        <f>H30</f>
        <v>138885.56</v>
      </c>
      <c r="L30"/>
    </row>
    <row r="31" spans="3:12" ht="12.95" customHeight="1">
      <c r="C31" s="596" t="s">
        <v>619</v>
      </c>
      <c r="D31" s="571">
        <v>45918</v>
      </c>
      <c r="E31" s="588" t="s">
        <v>602</v>
      </c>
      <c r="F31" s="588">
        <v>2590</v>
      </c>
      <c r="G31" s="588" t="s">
        <v>583</v>
      </c>
      <c r="H31" s="349">
        <v>15230</v>
      </c>
      <c r="I31" s="312">
        <v>45932</v>
      </c>
      <c r="J31" s="339" t="s">
        <v>588</v>
      </c>
      <c r="K31" s="577">
        <f>SUM(H31:H32)</f>
        <v>30460</v>
      </c>
      <c r="L31"/>
    </row>
    <row r="32" spans="3:12" ht="12.95" customHeight="1">
      <c r="C32" s="597"/>
      <c r="D32" s="602"/>
      <c r="E32" s="589"/>
      <c r="F32" s="589"/>
      <c r="G32" s="589"/>
      <c r="H32" s="349">
        <v>15230</v>
      </c>
      <c r="I32" s="312">
        <v>45947</v>
      </c>
      <c r="J32" s="339" t="s">
        <v>588</v>
      </c>
      <c r="K32" s="579"/>
      <c r="L32"/>
    </row>
    <row r="33" spans="3:12" ht="12.95" customHeight="1">
      <c r="C33" s="309" t="s">
        <v>620</v>
      </c>
      <c r="D33" s="317">
        <v>45916</v>
      </c>
      <c r="E33" s="311" t="s">
        <v>615</v>
      </c>
      <c r="F33" s="311" t="s">
        <v>593</v>
      </c>
      <c r="G33" s="311" t="s">
        <v>575</v>
      </c>
      <c r="H33" s="350">
        <v>80</v>
      </c>
      <c r="I33" s="312">
        <v>45930</v>
      </c>
      <c r="J33" s="339" t="s">
        <v>588</v>
      </c>
      <c r="K33" s="314">
        <f t="shared" si="1"/>
        <v>80</v>
      </c>
      <c r="L33"/>
    </row>
    <row r="34" spans="3:12" ht="12.95" customHeight="1">
      <c r="C34" s="309" t="s">
        <v>621</v>
      </c>
      <c r="D34" s="317">
        <v>45922</v>
      </c>
      <c r="E34" s="311" t="s">
        <v>582</v>
      </c>
      <c r="F34" s="311">
        <v>352099</v>
      </c>
      <c r="G34" s="311" t="s">
        <v>575</v>
      </c>
      <c r="H34" s="349">
        <v>561.5</v>
      </c>
      <c r="I34" s="318">
        <v>45952</v>
      </c>
      <c r="J34" s="339" t="s">
        <v>588</v>
      </c>
      <c r="K34" s="314">
        <f>H34</f>
        <v>561.5</v>
      </c>
      <c r="L34"/>
    </row>
    <row r="35" spans="3:12" ht="12.95" customHeight="1">
      <c r="C35" s="309" t="s">
        <v>622</v>
      </c>
      <c r="D35" s="317">
        <v>45930</v>
      </c>
      <c r="E35" s="311" t="s">
        <v>623</v>
      </c>
      <c r="F35" s="311">
        <v>14585</v>
      </c>
      <c r="G35" s="311" t="s">
        <v>575</v>
      </c>
      <c r="H35" s="350">
        <v>310.92</v>
      </c>
      <c r="I35" s="318">
        <v>45960</v>
      </c>
      <c r="J35" s="339" t="s">
        <v>588</v>
      </c>
      <c r="K35" s="314">
        <f t="shared" si="1"/>
        <v>310.92</v>
      </c>
      <c r="L35"/>
    </row>
    <row r="36" spans="3:12" ht="12.95" customHeight="1">
      <c r="C36" s="568" t="s">
        <v>635</v>
      </c>
      <c r="D36" s="555">
        <v>45929</v>
      </c>
      <c r="E36" s="575" t="s">
        <v>602</v>
      </c>
      <c r="F36" s="575">
        <v>2606</v>
      </c>
      <c r="G36" s="575" t="s">
        <v>583</v>
      </c>
      <c r="H36" s="351">
        <v>7677.5</v>
      </c>
      <c r="I36" s="330">
        <v>45946</v>
      </c>
      <c r="J36" s="339" t="s">
        <v>588</v>
      </c>
      <c r="K36" s="584">
        <f>SUM(H36:H37)</f>
        <v>15355</v>
      </c>
      <c r="L36"/>
    </row>
    <row r="37" spans="3:12" ht="12.95" customHeight="1">
      <c r="C37" s="574"/>
      <c r="D37" s="556"/>
      <c r="E37" s="576"/>
      <c r="F37" s="576"/>
      <c r="G37" s="576"/>
      <c r="H37" s="351">
        <v>7677.5</v>
      </c>
      <c r="I37" s="330">
        <v>45964</v>
      </c>
      <c r="J37" s="339" t="s">
        <v>588</v>
      </c>
      <c r="K37" s="586"/>
      <c r="L37"/>
    </row>
    <row r="38" spans="3:12" ht="12.95" customHeight="1">
      <c r="C38" s="331" t="s">
        <v>636</v>
      </c>
      <c r="D38" s="332">
        <v>45929</v>
      </c>
      <c r="E38" s="333" t="s">
        <v>615</v>
      </c>
      <c r="F38" s="333" t="s">
        <v>645</v>
      </c>
      <c r="G38" s="333" t="s">
        <v>575</v>
      </c>
      <c r="H38" s="351">
        <v>80</v>
      </c>
      <c r="I38" s="330">
        <v>45945</v>
      </c>
      <c r="J38" s="340" t="s">
        <v>588</v>
      </c>
      <c r="K38" s="334">
        <v>80</v>
      </c>
      <c r="L38"/>
    </row>
    <row r="39" spans="3:12" ht="12.95" customHeight="1">
      <c r="C39" s="331" t="s">
        <v>680</v>
      </c>
      <c r="D39" s="332">
        <v>45929</v>
      </c>
      <c r="E39" s="333" t="s">
        <v>615</v>
      </c>
      <c r="F39" s="333" t="s">
        <v>646</v>
      </c>
      <c r="G39" s="333" t="s">
        <v>575</v>
      </c>
      <c r="H39" s="351">
        <v>1098.4000000000001</v>
      </c>
      <c r="I39" s="330">
        <v>45943</v>
      </c>
      <c r="J39" s="340" t="s">
        <v>588</v>
      </c>
      <c r="K39" s="334">
        <v>1098.4000000000001</v>
      </c>
      <c r="L39" s="88"/>
    </row>
    <row r="40" spans="3:12" ht="12.95" customHeight="1">
      <c r="C40" s="568" t="s">
        <v>639</v>
      </c>
      <c r="D40" s="555">
        <v>45931</v>
      </c>
      <c r="E40" s="575" t="s">
        <v>640</v>
      </c>
      <c r="F40" s="575">
        <v>73519</v>
      </c>
      <c r="G40" s="333" t="s">
        <v>641</v>
      </c>
      <c r="H40" s="351">
        <v>19749.12</v>
      </c>
      <c r="I40" s="330">
        <v>45932</v>
      </c>
      <c r="J40" s="339" t="s">
        <v>588</v>
      </c>
      <c r="K40" s="584">
        <f>SUM(H40:H44)</f>
        <v>112894.06</v>
      </c>
      <c r="L40" s="88"/>
    </row>
    <row r="41" spans="3:12" ht="12.95" customHeight="1">
      <c r="C41" s="569"/>
      <c r="D41" s="580"/>
      <c r="E41" s="582"/>
      <c r="F41" s="582"/>
      <c r="G41" s="575" t="s">
        <v>642</v>
      </c>
      <c r="H41" s="351">
        <v>26335.45</v>
      </c>
      <c r="I41" s="330">
        <v>45986</v>
      </c>
      <c r="J41" s="339" t="s">
        <v>588</v>
      </c>
      <c r="K41" s="585"/>
      <c r="L41"/>
    </row>
    <row r="42" spans="3:12" ht="12.95" customHeight="1">
      <c r="C42" s="569"/>
      <c r="D42" s="580"/>
      <c r="E42" s="582"/>
      <c r="F42" s="582"/>
      <c r="G42" s="582"/>
      <c r="H42" s="351">
        <v>26335.45</v>
      </c>
      <c r="I42" s="330">
        <v>46014</v>
      </c>
      <c r="J42" s="313" t="s">
        <v>588</v>
      </c>
      <c r="K42" s="585"/>
      <c r="L42"/>
    </row>
    <row r="43" spans="3:12" ht="12.95" customHeight="1">
      <c r="C43" s="569"/>
      <c r="D43" s="580"/>
      <c r="E43" s="582"/>
      <c r="F43" s="582"/>
      <c r="G43" s="576"/>
      <c r="H43" s="351">
        <v>26325.57</v>
      </c>
      <c r="I43" s="330">
        <v>46042</v>
      </c>
      <c r="J43" s="313" t="s">
        <v>588</v>
      </c>
      <c r="K43" s="585"/>
      <c r="L43"/>
    </row>
    <row r="44" spans="3:12" ht="12.75" customHeight="1">
      <c r="C44" s="574"/>
      <c r="D44" s="556"/>
      <c r="E44" s="576"/>
      <c r="F44" s="576"/>
      <c r="G44" s="313" t="s">
        <v>689</v>
      </c>
      <c r="H44" s="350">
        <v>14148.47</v>
      </c>
      <c r="I44" s="312">
        <v>45986</v>
      </c>
      <c r="J44" s="339" t="s">
        <v>588</v>
      </c>
      <c r="K44" s="586"/>
      <c r="L44"/>
    </row>
    <row r="45" spans="3:12" ht="12.75" customHeight="1">
      <c r="C45" s="354" t="s">
        <v>677</v>
      </c>
      <c r="D45" s="312">
        <v>45933</v>
      </c>
      <c r="E45" s="313" t="s">
        <v>579</v>
      </c>
      <c r="F45" s="313" t="s">
        <v>648</v>
      </c>
      <c r="G45" s="313" t="s">
        <v>575</v>
      </c>
      <c r="H45" s="349">
        <v>400</v>
      </c>
      <c r="I45" s="312">
        <v>45955</v>
      </c>
      <c r="J45" s="339" t="s">
        <v>588</v>
      </c>
      <c r="K45" s="316">
        <f>H45</f>
        <v>400</v>
      </c>
      <c r="L45"/>
    </row>
    <row r="46" spans="3:12" ht="12.75" customHeight="1">
      <c r="C46" s="331" t="s">
        <v>652</v>
      </c>
      <c r="D46" s="312">
        <v>45939</v>
      </c>
      <c r="E46" s="313" t="s">
        <v>568</v>
      </c>
      <c r="F46" s="313" t="s">
        <v>653</v>
      </c>
      <c r="G46" s="313" t="s">
        <v>575</v>
      </c>
      <c r="H46" s="349">
        <v>14443.86</v>
      </c>
      <c r="I46" s="312">
        <v>45967</v>
      </c>
      <c r="J46" s="313" t="s">
        <v>588</v>
      </c>
      <c r="K46" s="316">
        <v>14443.86</v>
      </c>
      <c r="L46"/>
    </row>
    <row r="47" spans="3:12" ht="12.95" customHeight="1">
      <c r="C47" s="344" t="s">
        <v>654</v>
      </c>
      <c r="D47" s="317">
        <v>45917</v>
      </c>
      <c r="E47" s="311" t="s">
        <v>572</v>
      </c>
      <c r="F47" s="311">
        <v>250</v>
      </c>
      <c r="G47" s="311" t="s">
        <v>573</v>
      </c>
      <c r="H47" s="349">
        <v>175442.63</v>
      </c>
      <c r="I47" s="312">
        <v>45923</v>
      </c>
      <c r="J47" s="339" t="s">
        <v>588</v>
      </c>
      <c r="K47" s="314">
        <f>H47</f>
        <v>175442.63</v>
      </c>
      <c r="L47"/>
    </row>
    <row r="48" spans="3:12" ht="12.95" customHeight="1">
      <c r="C48" s="596" t="s">
        <v>664</v>
      </c>
      <c r="D48" s="571">
        <v>45954</v>
      </c>
      <c r="E48" s="588" t="s">
        <v>568</v>
      </c>
      <c r="F48" s="588">
        <v>4386</v>
      </c>
      <c r="G48" s="588" t="s">
        <v>583</v>
      </c>
      <c r="H48" s="598">
        <v>8353.9599999999991</v>
      </c>
      <c r="I48" s="312">
        <v>45982</v>
      </c>
      <c r="J48" s="313" t="s">
        <v>588</v>
      </c>
      <c r="K48" s="314">
        <v>4176.9799999999996</v>
      </c>
      <c r="L48"/>
    </row>
    <row r="49" spans="3:12" ht="12.95" customHeight="1">
      <c r="C49" s="600"/>
      <c r="D49" s="573"/>
      <c r="E49" s="601"/>
      <c r="F49" s="601"/>
      <c r="G49" s="601"/>
      <c r="H49" s="599"/>
      <c r="I49" s="312">
        <v>46010</v>
      </c>
      <c r="J49" s="313" t="s">
        <v>588</v>
      </c>
      <c r="K49" s="314">
        <v>4176.9799999999996</v>
      </c>
      <c r="L49"/>
    </row>
    <row r="50" spans="3:12" ht="12.75" customHeight="1">
      <c r="C50" s="331" t="s">
        <v>675</v>
      </c>
      <c r="D50" s="312">
        <v>45961</v>
      </c>
      <c r="E50" s="313" t="s">
        <v>688</v>
      </c>
      <c r="F50" s="313">
        <v>10964</v>
      </c>
      <c r="G50" s="313" t="s">
        <v>575</v>
      </c>
      <c r="H50" s="349">
        <v>190</v>
      </c>
      <c r="I50" s="312">
        <v>45992</v>
      </c>
      <c r="J50" s="313" t="s">
        <v>588</v>
      </c>
      <c r="K50" s="316">
        <v>190</v>
      </c>
      <c r="L50"/>
    </row>
    <row r="51" spans="3:12" ht="12.75" customHeight="1">
      <c r="C51" s="331" t="s">
        <v>676</v>
      </c>
      <c r="D51" s="312">
        <v>45964</v>
      </c>
      <c r="E51" s="311" t="s">
        <v>582</v>
      </c>
      <c r="F51" s="339"/>
      <c r="G51" s="339" t="s">
        <v>575</v>
      </c>
      <c r="H51" s="349">
        <v>127</v>
      </c>
      <c r="I51" s="312">
        <v>45994</v>
      </c>
      <c r="J51" s="313" t="s">
        <v>588</v>
      </c>
      <c r="K51" s="316">
        <f>H51</f>
        <v>127</v>
      </c>
      <c r="L51"/>
    </row>
    <row r="52" spans="3:12" ht="12.75" customHeight="1">
      <c r="C52" s="354" t="s">
        <v>678</v>
      </c>
      <c r="D52" s="312">
        <v>45961</v>
      </c>
      <c r="E52" s="313" t="s">
        <v>579</v>
      </c>
      <c r="F52" s="339" t="s">
        <v>679</v>
      </c>
      <c r="G52" s="313" t="s">
        <v>575</v>
      </c>
      <c r="H52" s="349">
        <v>400</v>
      </c>
      <c r="I52" s="312">
        <v>45986</v>
      </c>
      <c r="J52" s="313" t="s">
        <v>588</v>
      </c>
      <c r="K52" s="316">
        <f>H52</f>
        <v>400</v>
      </c>
      <c r="L52"/>
    </row>
    <row r="53" spans="3:12" ht="12.95" customHeight="1">
      <c r="C53" s="331" t="s">
        <v>681</v>
      </c>
      <c r="D53" s="332">
        <v>45961</v>
      </c>
      <c r="E53" s="333" t="s">
        <v>615</v>
      </c>
      <c r="F53" s="333" t="s">
        <v>682</v>
      </c>
      <c r="G53" s="333" t="s">
        <v>575</v>
      </c>
      <c r="H53" s="351">
        <v>804</v>
      </c>
      <c r="I53" s="330">
        <v>45974</v>
      </c>
      <c r="J53" s="339" t="s">
        <v>588</v>
      </c>
      <c r="K53" s="334">
        <f>H53</f>
        <v>804</v>
      </c>
      <c r="L53" s="88"/>
    </row>
    <row r="54" spans="3:12" ht="12.95" customHeight="1">
      <c r="C54" s="344" t="s">
        <v>707</v>
      </c>
      <c r="D54" s="317">
        <v>45979</v>
      </c>
      <c r="E54" s="311" t="s">
        <v>572</v>
      </c>
      <c r="F54" s="311">
        <v>256</v>
      </c>
      <c r="G54" s="311" t="s">
        <v>573</v>
      </c>
      <c r="H54" s="349">
        <v>84116.67</v>
      </c>
      <c r="I54" s="312">
        <v>45980</v>
      </c>
      <c r="J54" s="339" t="s">
        <v>588</v>
      </c>
      <c r="K54" s="314">
        <f>H54</f>
        <v>84116.67</v>
      </c>
      <c r="L54"/>
    </row>
    <row r="55" spans="3:12" ht="12.95" customHeight="1">
      <c r="C55" s="568" t="s">
        <v>711</v>
      </c>
      <c r="D55" s="571">
        <v>45982</v>
      </c>
      <c r="E55" s="565" t="s">
        <v>712</v>
      </c>
      <c r="F55" s="344" t="s">
        <v>713</v>
      </c>
      <c r="G55" s="364" t="s">
        <v>642</v>
      </c>
      <c r="H55" s="349">
        <v>2583.19</v>
      </c>
      <c r="I55" s="312">
        <v>46011</v>
      </c>
      <c r="J55" s="313" t="s">
        <v>588</v>
      </c>
      <c r="K55" s="577">
        <f>SUM(H55:H57)</f>
        <v>7749.58</v>
      </c>
      <c r="L55"/>
    </row>
    <row r="56" spans="3:12" ht="12.95" customHeight="1">
      <c r="C56" s="569"/>
      <c r="D56" s="572"/>
      <c r="E56" s="566"/>
      <c r="F56" s="344" t="s">
        <v>713</v>
      </c>
      <c r="G56" s="364" t="s">
        <v>642</v>
      </c>
      <c r="H56" s="349">
        <v>2583.19</v>
      </c>
      <c r="I56" s="312">
        <v>46039</v>
      </c>
      <c r="J56" s="339" t="s">
        <v>588</v>
      </c>
      <c r="K56" s="578"/>
      <c r="L56"/>
    </row>
    <row r="57" spans="3:12" ht="12.95" customHeight="1">
      <c r="C57" s="569"/>
      <c r="D57" s="572"/>
      <c r="E57" s="566"/>
      <c r="F57" s="344" t="s">
        <v>713</v>
      </c>
      <c r="G57" s="364" t="s">
        <v>642</v>
      </c>
      <c r="H57" s="349">
        <v>2583.1999999999998</v>
      </c>
      <c r="I57" s="312">
        <v>46067</v>
      </c>
      <c r="J57" s="339" t="s">
        <v>588</v>
      </c>
      <c r="K57" s="579"/>
      <c r="L57"/>
    </row>
    <row r="58" spans="3:12" ht="12.95" customHeight="1">
      <c r="C58" s="569"/>
      <c r="D58" s="572"/>
      <c r="E58" s="566"/>
      <c r="F58" s="344" t="s">
        <v>714</v>
      </c>
      <c r="G58" s="364" t="s">
        <v>642</v>
      </c>
      <c r="H58" s="349">
        <v>6027.45</v>
      </c>
      <c r="I58" s="312">
        <v>46011</v>
      </c>
      <c r="J58" s="313" t="s">
        <v>588</v>
      </c>
      <c r="K58" s="577">
        <f>SUM(H58:H60)</f>
        <v>18082.34</v>
      </c>
      <c r="L58"/>
    </row>
    <row r="59" spans="3:12" ht="12.95" customHeight="1">
      <c r="C59" s="569"/>
      <c r="D59" s="572"/>
      <c r="E59" s="566"/>
      <c r="F59" s="344" t="s">
        <v>714</v>
      </c>
      <c r="G59" s="364" t="s">
        <v>642</v>
      </c>
      <c r="H59" s="349">
        <v>6027.45</v>
      </c>
      <c r="I59" s="312">
        <v>46039</v>
      </c>
      <c r="J59" s="339" t="s">
        <v>588</v>
      </c>
      <c r="K59" s="578"/>
      <c r="L59"/>
    </row>
    <row r="60" spans="3:12" ht="12.95" customHeight="1">
      <c r="C60" s="570"/>
      <c r="D60" s="573"/>
      <c r="E60" s="567"/>
      <c r="F60" s="344" t="s">
        <v>714</v>
      </c>
      <c r="G60" s="364" t="s">
        <v>642</v>
      </c>
      <c r="H60" s="349">
        <v>6027.44</v>
      </c>
      <c r="I60" s="312">
        <v>46067</v>
      </c>
      <c r="J60" s="339" t="s">
        <v>588</v>
      </c>
      <c r="K60" s="579"/>
      <c r="L60"/>
    </row>
    <row r="61" spans="3:12" ht="12.95" customHeight="1">
      <c r="C61" s="331" t="s">
        <v>718</v>
      </c>
      <c r="D61" s="332">
        <v>45988</v>
      </c>
      <c r="E61" s="333" t="s">
        <v>719</v>
      </c>
      <c r="F61" s="333" t="s">
        <v>131</v>
      </c>
      <c r="G61" s="333" t="s">
        <v>575</v>
      </c>
      <c r="H61" s="351">
        <v>117.5</v>
      </c>
      <c r="I61" s="330">
        <v>46017</v>
      </c>
      <c r="J61" s="313" t="s">
        <v>588</v>
      </c>
      <c r="K61" s="334">
        <f>H61</f>
        <v>117.5</v>
      </c>
      <c r="L61" s="88"/>
    </row>
    <row r="62" spans="3:12" ht="12.95" customHeight="1">
      <c r="C62" s="331" t="s">
        <v>725</v>
      </c>
      <c r="D62" s="332">
        <v>45988</v>
      </c>
      <c r="E62" s="333" t="s">
        <v>712</v>
      </c>
      <c r="F62" s="333" t="s">
        <v>131</v>
      </c>
      <c r="G62" s="333" t="s">
        <v>575</v>
      </c>
      <c r="H62" s="351">
        <v>8797.94</v>
      </c>
      <c r="I62" s="330">
        <v>46027</v>
      </c>
      <c r="J62" s="313" t="s">
        <v>588</v>
      </c>
      <c r="K62" s="334">
        <f>H62</f>
        <v>8797.94</v>
      </c>
      <c r="L62" s="88"/>
    </row>
    <row r="63" spans="3:12" ht="12.95" customHeight="1">
      <c r="C63" s="344" t="s">
        <v>987</v>
      </c>
      <c r="D63" s="332">
        <v>45996</v>
      </c>
      <c r="E63" s="311" t="s">
        <v>572</v>
      </c>
      <c r="F63" s="333">
        <v>258</v>
      </c>
      <c r="G63" s="311" t="s">
        <v>573</v>
      </c>
      <c r="H63" s="351">
        <v>100000.02</v>
      </c>
      <c r="I63" s="330">
        <v>46000</v>
      </c>
      <c r="J63" s="313" t="s">
        <v>588</v>
      </c>
      <c r="K63" s="334">
        <v>119047.64</v>
      </c>
      <c r="L63" s="88"/>
    </row>
    <row r="64" spans="3:12" ht="12.95" customHeight="1">
      <c r="C64" s="331" t="s">
        <v>871</v>
      </c>
      <c r="D64" s="332">
        <v>45999</v>
      </c>
      <c r="E64" s="333" t="s">
        <v>615</v>
      </c>
      <c r="F64" s="333" t="s">
        <v>872</v>
      </c>
      <c r="G64" s="333" t="s">
        <v>575</v>
      </c>
      <c r="H64" s="351">
        <v>804</v>
      </c>
      <c r="I64" s="330">
        <v>46006</v>
      </c>
      <c r="J64" s="313" t="s">
        <v>588</v>
      </c>
      <c r="K64" s="334">
        <f>H64</f>
        <v>804</v>
      </c>
      <c r="L64" s="88"/>
    </row>
    <row r="65" spans="3:12" ht="12.95" customHeight="1">
      <c r="C65" s="354" t="s">
        <v>873</v>
      </c>
      <c r="D65" s="312">
        <v>45999</v>
      </c>
      <c r="E65" s="313" t="s">
        <v>579</v>
      </c>
      <c r="F65" s="339" t="s">
        <v>874</v>
      </c>
      <c r="G65" s="313" t="s">
        <v>575</v>
      </c>
      <c r="H65" s="349">
        <v>400</v>
      </c>
      <c r="I65" s="312">
        <v>46017</v>
      </c>
      <c r="J65" s="313" t="s">
        <v>588</v>
      </c>
      <c r="K65" s="316">
        <f>H65</f>
        <v>400</v>
      </c>
      <c r="L65"/>
    </row>
    <row r="66" spans="3:12" ht="12.95" customHeight="1">
      <c r="C66" s="344" t="s">
        <v>988</v>
      </c>
      <c r="D66" s="332">
        <v>46008</v>
      </c>
      <c r="E66" s="311" t="s">
        <v>572</v>
      </c>
      <c r="F66" s="333">
        <v>262</v>
      </c>
      <c r="G66" s="311" t="s">
        <v>573</v>
      </c>
      <c r="H66" s="351">
        <v>31106.38</v>
      </c>
      <c r="I66" s="330">
        <v>46008</v>
      </c>
      <c r="J66" s="313" t="s">
        <v>588</v>
      </c>
      <c r="K66" s="334">
        <v>31106.39</v>
      </c>
      <c r="L66" s="88"/>
    </row>
    <row r="67" spans="3:12" ht="12.95" customHeight="1">
      <c r="C67" s="354" t="s">
        <v>873</v>
      </c>
      <c r="D67" s="312">
        <v>45999</v>
      </c>
      <c r="E67" s="313" t="s">
        <v>579</v>
      </c>
      <c r="F67" s="339" t="s">
        <v>982</v>
      </c>
      <c r="G67" s="313" t="s">
        <v>575</v>
      </c>
      <c r="H67" s="349">
        <v>400</v>
      </c>
      <c r="I67" s="312">
        <v>46048</v>
      </c>
      <c r="J67" s="339" t="s">
        <v>588</v>
      </c>
      <c r="K67" s="316">
        <f>H67</f>
        <v>400</v>
      </c>
      <c r="L67"/>
    </row>
    <row r="68" spans="3:12" ht="12.95" customHeight="1">
      <c r="C68" s="331" t="s">
        <v>986</v>
      </c>
      <c r="D68" s="332">
        <v>45999</v>
      </c>
      <c r="E68" s="333" t="s">
        <v>615</v>
      </c>
      <c r="F68" s="333" t="s">
        <v>985</v>
      </c>
      <c r="G68" s="333" t="s">
        <v>575</v>
      </c>
      <c r="H68" s="351">
        <v>804</v>
      </c>
      <c r="I68" s="330">
        <v>46041</v>
      </c>
      <c r="J68" s="339" t="s">
        <v>588</v>
      </c>
      <c r="K68" s="334">
        <f>H68</f>
        <v>804</v>
      </c>
      <c r="L68" s="88"/>
    </row>
    <row r="69" spans="3:12" ht="12.95" customHeight="1">
      <c r="C69" s="568" t="s">
        <v>849</v>
      </c>
      <c r="D69" s="555">
        <v>46031</v>
      </c>
      <c r="E69" s="565" t="s">
        <v>712</v>
      </c>
      <c r="F69" s="575">
        <v>5841</v>
      </c>
      <c r="G69" s="565" t="s">
        <v>642</v>
      </c>
      <c r="H69" s="351">
        <v>5194.1000000000004</v>
      </c>
      <c r="I69" s="330">
        <v>46065</v>
      </c>
      <c r="J69" s="339" t="s">
        <v>588</v>
      </c>
      <c r="K69" s="584">
        <f>SUM(H69:H71)</f>
        <v>15582.300000000001</v>
      </c>
      <c r="L69" s="88"/>
    </row>
    <row r="70" spans="3:12" ht="12.95" customHeight="1">
      <c r="C70" s="569"/>
      <c r="D70" s="580"/>
      <c r="E70" s="566"/>
      <c r="F70" s="582"/>
      <c r="G70" s="566"/>
      <c r="H70" s="351">
        <v>5194.1000000000004</v>
      </c>
      <c r="I70" s="318">
        <v>46093</v>
      </c>
      <c r="J70" s="313" t="str">
        <f t="shared" ref="J70:J71" ca="1" si="2">_xlfn.IFS(I70&lt;$E$1,$F$1,I70&gt;$E$1,$F$3,I70=$E$1,$F$2)</f>
        <v>VENCIDO</v>
      </c>
      <c r="K70" s="585"/>
      <c r="L70"/>
    </row>
    <row r="71" spans="3:12" ht="12.95" customHeight="1">
      <c r="C71" s="570"/>
      <c r="D71" s="581"/>
      <c r="E71" s="567"/>
      <c r="F71" s="583"/>
      <c r="G71" s="567"/>
      <c r="H71" s="351">
        <v>5194.1000000000004</v>
      </c>
      <c r="I71" s="312">
        <v>46124</v>
      </c>
      <c r="J71" s="313" t="str">
        <f t="shared" ca="1" si="2"/>
        <v>VENCIDO</v>
      </c>
      <c r="K71" s="586"/>
      <c r="L71"/>
    </row>
    <row r="72" spans="3:12" ht="12.95" customHeight="1">
      <c r="C72" s="331" t="s">
        <v>1059</v>
      </c>
      <c r="D72" s="332">
        <v>46050</v>
      </c>
      <c r="E72" s="333" t="s">
        <v>615</v>
      </c>
      <c r="F72" s="333" t="s">
        <v>1058</v>
      </c>
      <c r="G72" s="333" t="s">
        <v>575</v>
      </c>
      <c r="H72" s="351">
        <v>804</v>
      </c>
      <c r="I72" s="330">
        <v>46065</v>
      </c>
      <c r="J72" s="339" t="s">
        <v>588</v>
      </c>
      <c r="K72" s="334">
        <f t="shared" ref="K72:K77" si="3">H72</f>
        <v>804</v>
      </c>
      <c r="L72" s="88"/>
    </row>
    <row r="73" spans="3:12" ht="12.95" customHeight="1">
      <c r="C73" s="568" t="s">
        <v>1063</v>
      </c>
      <c r="D73" s="555">
        <v>46052</v>
      </c>
      <c r="E73" s="575" t="s">
        <v>1065</v>
      </c>
      <c r="F73" s="568" t="s">
        <v>1066</v>
      </c>
      <c r="G73" s="575" t="s">
        <v>1067</v>
      </c>
      <c r="H73" s="351">
        <v>1400</v>
      </c>
      <c r="I73" s="330">
        <v>46056</v>
      </c>
      <c r="J73" s="339" t="s">
        <v>588</v>
      </c>
      <c r="K73" s="334">
        <f t="shared" si="3"/>
        <v>1400</v>
      </c>
      <c r="L73" s="88"/>
    </row>
    <row r="74" spans="3:12" ht="12.95" customHeight="1">
      <c r="C74" s="574"/>
      <c r="D74" s="556"/>
      <c r="E74" s="576"/>
      <c r="F74" s="574"/>
      <c r="G74" s="576"/>
      <c r="H74" s="351">
        <v>1400</v>
      </c>
      <c r="I74" s="330">
        <v>46078</v>
      </c>
      <c r="J74" s="313" t="str">
        <f t="shared" ref="J74:J78" ca="1" si="4">_xlfn.IFS(I74&lt;$E$1,$F$1,I74&gt;$E$1,$F$3,I74=$E$1,$F$2)</f>
        <v>VENCIDO</v>
      </c>
      <c r="K74" s="334">
        <f t="shared" si="3"/>
        <v>1400</v>
      </c>
      <c r="L74" s="88"/>
    </row>
    <row r="75" spans="3:12" ht="12.95" customHeight="1">
      <c r="C75" s="331" t="s">
        <v>1064</v>
      </c>
      <c r="D75" s="332">
        <v>46052</v>
      </c>
      <c r="E75" s="333" t="s">
        <v>1068</v>
      </c>
      <c r="F75" s="333" t="s">
        <v>131</v>
      </c>
      <c r="G75" s="333" t="s">
        <v>1069</v>
      </c>
      <c r="H75" s="351">
        <v>500</v>
      </c>
      <c r="I75" s="330">
        <v>46072</v>
      </c>
      <c r="J75" s="313" t="str">
        <f t="shared" ca="1" si="4"/>
        <v>VENCIDO</v>
      </c>
      <c r="K75" s="334">
        <f t="shared" si="3"/>
        <v>500</v>
      </c>
      <c r="L75" s="88"/>
    </row>
    <row r="76" spans="3:12" ht="12.95" customHeight="1">
      <c r="C76" s="354" t="s">
        <v>1076</v>
      </c>
      <c r="D76" s="312">
        <v>46056</v>
      </c>
      <c r="E76" s="313" t="s">
        <v>579</v>
      </c>
      <c r="F76" s="339" t="s">
        <v>1077</v>
      </c>
      <c r="G76" s="313" t="s">
        <v>575</v>
      </c>
      <c r="H76" s="349">
        <v>400</v>
      </c>
      <c r="I76" s="312">
        <v>46078</v>
      </c>
      <c r="J76" s="313" t="str">
        <f t="shared" ca="1" si="4"/>
        <v>VENCIDO</v>
      </c>
      <c r="K76" s="316">
        <f t="shared" si="3"/>
        <v>400</v>
      </c>
      <c r="L76"/>
    </row>
    <row r="77" spans="3:12" ht="12.95" customHeight="1">
      <c r="C77" s="331" t="s">
        <v>1081</v>
      </c>
      <c r="D77" s="332">
        <v>46058</v>
      </c>
      <c r="E77" s="333" t="s">
        <v>1068</v>
      </c>
      <c r="F77" s="333" t="s">
        <v>131</v>
      </c>
      <c r="G77" s="333" t="s">
        <v>1069</v>
      </c>
      <c r="H77" s="351">
        <v>500</v>
      </c>
      <c r="I77" s="330">
        <v>46072</v>
      </c>
      <c r="J77" s="313" t="str">
        <f t="shared" ca="1" si="4"/>
        <v>VENCIDO</v>
      </c>
      <c r="K77" s="334">
        <f t="shared" si="3"/>
        <v>500</v>
      </c>
      <c r="L77" s="88"/>
    </row>
    <row r="78" spans="3:12" ht="12.95" customHeight="1">
      <c r="C78" s="331" t="s">
        <v>1198</v>
      </c>
      <c r="D78" s="332">
        <v>46083</v>
      </c>
      <c r="E78" s="333" t="s">
        <v>615</v>
      </c>
      <c r="F78" s="333" t="s">
        <v>1182</v>
      </c>
      <c r="G78" s="333" t="s">
        <v>575</v>
      </c>
      <c r="H78" s="351">
        <v>804</v>
      </c>
      <c r="I78" s="330">
        <v>46094</v>
      </c>
      <c r="J78" s="313" t="str">
        <f t="shared" ca="1" si="4"/>
        <v>VENCIDO</v>
      </c>
      <c r="K78" s="334">
        <f t="shared" ref="K78:K79" si="5">H78</f>
        <v>804</v>
      </c>
      <c r="L78" s="88"/>
    </row>
    <row r="79" spans="3:12" ht="12.95" customHeight="1">
      <c r="C79" s="354" t="s">
        <v>1199</v>
      </c>
      <c r="D79" s="312">
        <v>46084</v>
      </c>
      <c r="E79" s="313" t="s">
        <v>579</v>
      </c>
      <c r="F79" s="339" t="s">
        <v>1183</v>
      </c>
      <c r="G79" s="313" t="s">
        <v>575</v>
      </c>
      <c r="H79" s="349">
        <v>900</v>
      </c>
      <c r="I79" s="312">
        <v>46106</v>
      </c>
      <c r="J79" s="313" t="str">
        <f t="shared" ref="J79" ca="1" si="6">_xlfn.IFS(I79&lt;$E$1,$F$1,I79&gt;$E$1,$F$3,I79=$E$1,$F$2)</f>
        <v>VENCIDO</v>
      </c>
      <c r="K79" s="316">
        <f t="shared" si="5"/>
        <v>900</v>
      </c>
      <c r="L79"/>
    </row>
    <row r="80" spans="3:12" ht="13.5" customHeight="1">
      <c r="C80" s="557" t="s">
        <v>584</v>
      </c>
      <c r="D80" s="558"/>
      <c r="E80" s="558"/>
      <c r="F80" s="558"/>
      <c r="G80" s="558"/>
      <c r="H80" s="558"/>
      <c r="I80" s="558"/>
      <c r="J80" s="559"/>
      <c r="K80" s="355">
        <f>SUM(K7:K79)</f>
        <v>1127105.2</v>
      </c>
      <c r="L80" s="299" t="s">
        <v>195</v>
      </c>
    </row>
    <row r="81" spans="3:12">
      <c r="C81" s="560"/>
      <c r="D81" s="561"/>
      <c r="E81" s="561"/>
      <c r="F81" s="561"/>
      <c r="G81" s="561"/>
      <c r="H81" s="561"/>
      <c r="I81" s="561"/>
      <c r="J81" s="559"/>
      <c r="K81" s="303">
        <v>977343.79</v>
      </c>
      <c r="L81" s="300" t="s">
        <v>665</v>
      </c>
    </row>
    <row r="82" spans="3:12">
      <c r="C82" s="560"/>
      <c r="D82" s="561"/>
      <c r="E82" s="561"/>
      <c r="F82" s="561"/>
      <c r="G82" s="561"/>
      <c r="H82" s="561"/>
      <c r="I82" s="561"/>
      <c r="J82" s="559"/>
      <c r="K82" s="303">
        <v>59833.34</v>
      </c>
      <c r="L82" s="300" t="s">
        <v>666</v>
      </c>
    </row>
    <row r="83" spans="3:12">
      <c r="C83" s="560"/>
      <c r="D83" s="561"/>
      <c r="E83" s="561"/>
      <c r="F83" s="561"/>
      <c r="G83" s="561"/>
      <c r="H83" s="561"/>
      <c r="I83" s="561"/>
      <c r="J83" s="559"/>
      <c r="K83" s="365">
        <v>92400</v>
      </c>
      <c r="L83" s="300" t="s">
        <v>715</v>
      </c>
    </row>
    <row r="84" spans="3:12">
      <c r="C84" s="560"/>
      <c r="D84" s="561"/>
      <c r="E84" s="561"/>
      <c r="F84" s="561"/>
      <c r="G84" s="561"/>
      <c r="H84" s="561"/>
      <c r="I84" s="561"/>
      <c r="J84" s="559"/>
      <c r="K84" s="365">
        <v>6150.5</v>
      </c>
      <c r="L84" s="300" t="s">
        <v>875</v>
      </c>
    </row>
    <row r="85" spans="3:12">
      <c r="C85" s="562"/>
      <c r="D85" s="563"/>
      <c r="E85" s="563"/>
      <c r="F85" s="563"/>
      <c r="G85" s="563"/>
      <c r="H85" s="563"/>
      <c r="I85" s="563"/>
      <c r="J85" s="564"/>
      <c r="K85" s="304">
        <f>(K81+K82+K83+K84)-K80</f>
        <v>8622.4299999999348</v>
      </c>
      <c r="L85" s="300" t="s">
        <v>566</v>
      </c>
    </row>
    <row r="87" spans="3:12">
      <c r="K87" s="307"/>
    </row>
    <row r="88" spans="3:12">
      <c r="K88" s="302"/>
      <c r="L88" s="306"/>
    </row>
    <row r="89" spans="3:12">
      <c r="I89" s="401"/>
    </row>
  </sheetData>
  <autoFilter ref="C6:K85" xr:uid="{2FA47D6D-A297-4B18-B3C8-4ACA7C7C3315}"/>
  <mergeCells count="53">
    <mergeCell ref="C31:C32"/>
    <mergeCell ref="H48:H49"/>
    <mergeCell ref="C48:C49"/>
    <mergeCell ref="C40:C44"/>
    <mergeCell ref="D40:D44"/>
    <mergeCell ref="C36:C37"/>
    <mergeCell ref="D36:D37"/>
    <mergeCell ref="E36:E37"/>
    <mergeCell ref="F36:F37"/>
    <mergeCell ref="G36:G37"/>
    <mergeCell ref="D48:D49"/>
    <mergeCell ref="E48:E49"/>
    <mergeCell ref="F48:F49"/>
    <mergeCell ref="G48:G49"/>
    <mergeCell ref="D31:D32"/>
    <mergeCell ref="C7:C12"/>
    <mergeCell ref="D7:D12"/>
    <mergeCell ref="E7:E12"/>
    <mergeCell ref="F7:F12"/>
    <mergeCell ref="G7:G12"/>
    <mergeCell ref="C20:C21"/>
    <mergeCell ref="D20:D21"/>
    <mergeCell ref="E20:E21"/>
    <mergeCell ref="F20:F21"/>
    <mergeCell ref="G20:G21"/>
    <mergeCell ref="K7:K12"/>
    <mergeCell ref="K20:K21"/>
    <mergeCell ref="K36:K37"/>
    <mergeCell ref="K31:K32"/>
    <mergeCell ref="E40:E44"/>
    <mergeCell ref="F40:F44"/>
    <mergeCell ref="K40:K44"/>
    <mergeCell ref="E31:E32"/>
    <mergeCell ref="G41:G43"/>
    <mergeCell ref="F31:F32"/>
    <mergeCell ref="G31:G32"/>
    <mergeCell ref="K55:K57"/>
    <mergeCell ref="K58:K60"/>
    <mergeCell ref="C69:C71"/>
    <mergeCell ref="D69:D71"/>
    <mergeCell ref="E69:E71"/>
    <mergeCell ref="F69:F71"/>
    <mergeCell ref="G69:G71"/>
    <mergeCell ref="K69:K71"/>
    <mergeCell ref="D73:D74"/>
    <mergeCell ref="C80:J85"/>
    <mergeCell ref="E55:E60"/>
    <mergeCell ref="C55:C60"/>
    <mergeCell ref="D55:D60"/>
    <mergeCell ref="C73:C74"/>
    <mergeCell ref="G73:G74"/>
    <mergeCell ref="F73:F74"/>
    <mergeCell ref="E73:E74"/>
  </mergeCells>
  <conditionalFormatting sqref="J7:J538">
    <cfRule type="containsText" dxfId="41" priority="1" operator="containsText" text="VENCIDO">
      <formula>NOT(ISERROR(SEARCH("VENCIDO",J7)))</formula>
    </cfRule>
    <cfRule type="containsText" dxfId="40" priority="2" operator="containsText" text="VENCE HOJE">
      <formula>NOT(ISERROR(SEARCH("VENCE HOJE",J7)))</formula>
    </cfRule>
    <cfRule type="containsText" dxfId="39" priority="3" operator="containsText" text="EM ABERTO">
      <formula>NOT(ISERROR(SEARCH("EM ABERTO",J7)))</formula>
    </cfRule>
    <cfRule type="containsText" dxfId="38" priority="4" operator="containsText" text="PAGO">
      <formula>NOT(ISERROR(SEARCH("PAGO",J7)))</formula>
    </cfRule>
  </conditionalFormatting>
  <pageMargins left="1.42" right="0.01" top="0.46" bottom="0" header="0.12" footer="0.05"/>
  <pageSetup paperSize="9" scale="47" orientation="landscape" horizontalDpi="360" verticalDpi="360" r:id="rId1"/>
  <ignoredErrors>
    <ignoredError sqref="K69" formulaRange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C882-120B-42A7-8E18-DEE419357AF8}">
  <sheetPr>
    <tabColor theme="1"/>
    <pageSetUpPr fitToPage="1"/>
  </sheetPr>
  <dimension ref="C6:S62"/>
  <sheetViews>
    <sheetView showGridLines="0" workbookViewId="0">
      <pane xSplit="1" ySplit="6" topLeftCell="B34" activePane="bottomRight" state="frozen"/>
      <selection activeCell="H33" sqref="H33"/>
      <selection pane="topRight" activeCell="H33" sqref="H33"/>
      <selection pane="bottomLeft" activeCell="H33" sqref="H33"/>
      <selection pane="bottomRight" activeCell="P46" sqref="P46"/>
    </sheetView>
  </sheetViews>
  <sheetFormatPr defaultRowHeight="12.75" outlineLevelRow="1"/>
  <cols>
    <col min="1" max="1" width="1" style="421" customWidth="1"/>
    <col min="2" max="2" width="9.140625" style="421"/>
    <col min="3" max="3" width="10.7109375" style="421" bestFit="1" customWidth="1"/>
    <col min="4" max="4" width="0.85546875" style="421" customWidth="1"/>
    <col min="5" max="5" width="41.28515625" style="421" customWidth="1"/>
    <col min="6" max="6" width="33.42578125" style="421" customWidth="1"/>
    <col min="7" max="7" width="15.85546875" style="421" bestFit="1" customWidth="1"/>
    <col min="8" max="8" width="0.7109375" style="421" customWidth="1"/>
    <col min="9" max="9" width="36.140625" style="421" customWidth="1"/>
    <col min="10" max="10" width="14.28515625" style="421" bestFit="1" customWidth="1"/>
    <col min="11" max="11" width="0.7109375" style="421" customWidth="1"/>
    <col min="12" max="12" width="5.28515625" style="421" customWidth="1"/>
    <col min="13" max="14" width="14.28515625" style="421" bestFit="1" customWidth="1"/>
    <col min="15" max="15" width="18" style="421" customWidth="1"/>
    <col min="16" max="16" width="14.28515625" style="421" bestFit="1" customWidth="1"/>
    <col min="17" max="16384" width="9.140625" style="421"/>
  </cols>
  <sheetData>
    <row r="6" spans="3:15" ht="26.25" customHeight="1">
      <c r="E6" s="608" t="s">
        <v>697</v>
      </c>
      <c r="F6" s="608"/>
      <c r="G6" s="422"/>
    </row>
    <row r="7" spans="3:15">
      <c r="G7" s="422"/>
    </row>
    <row r="8" spans="3:15" ht="20.25" customHeight="1">
      <c r="E8" s="423" t="s">
        <v>694</v>
      </c>
      <c r="F8" s="424">
        <v>1147800</v>
      </c>
      <c r="G8" s="475"/>
    </row>
    <row r="9" spans="3:15" ht="6.75" customHeight="1">
      <c r="E9" s="425"/>
      <c r="F9" s="425"/>
      <c r="G9" s="422"/>
    </row>
    <row r="10" spans="3:15" ht="34.5" customHeight="1">
      <c r="C10" s="609" t="s">
        <v>588</v>
      </c>
      <c r="E10" s="451"/>
      <c r="F10" s="427">
        <f>SUM(F11+F15)</f>
        <v>1748356.98</v>
      </c>
      <c r="G10" s="476"/>
    </row>
    <row r="11" spans="3:15" ht="15" customHeight="1" outlineLevel="1">
      <c r="C11" s="609"/>
      <c r="E11" s="432" t="s">
        <v>911</v>
      </c>
      <c r="F11" s="433">
        <f>SUM(F12:F14)</f>
        <v>1365471.44</v>
      </c>
      <c r="G11" s="428"/>
      <c r="I11" s="431"/>
    </row>
    <row r="12" spans="3:15" ht="15" customHeight="1" outlineLevel="1">
      <c r="C12" s="609"/>
      <c r="E12" s="429" t="s">
        <v>1080</v>
      </c>
      <c r="F12" s="434">
        <v>524574.25</v>
      </c>
      <c r="G12"/>
    </row>
    <row r="13" spans="3:15" ht="15" customHeight="1" outlineLevel="1">
      <c r="C13" s="609"/>
      <c r="E13" s="429" t="s">
        <v>1079</v>
      </c>
      <c r="F13" s="434">
        <v>523480.45999999996</v>
      </c>
      <c r="G13" s="428"/>
    </row>
    <row r="14" spans="3:15" ht="15" customHeight="1" outlineLevel="1">
      <c r="C14" s="609"/>
      <c r="E14" s="429" t="s">
        <v>695</v>
      </c>
      <c r="F14" s="434">
        <v>317416.7300000001</v>
      </c>
      <c r="G14" s="422"/>
      <c r="O14" s="431"/>
    </row>
    <row r="15" spans="3:15" ht="15" customHeight="1" outlineLevel="1">
      <c r="C15" s="609"/>
      <c r="E15" s="432" t="s">
        <v>912</v>
      </c>
      <c r="F15" s="433">
        <f>SUM(F16:F18)</f>
        <v>382885.53999999992</v>
      </c>
      <c r="G15" s="471"/>
      <c r="O15" s="431"/>
    </row>
    <row r="16" spans="3:15" ht="15" customHeight="1" outlineLevel="1">
      <c r="C16" s="609"/>
      <c r="E16" s="429" t="s">
        <v>1080</v>
      </c>
      <c r="F16" s="434">
        <f>'obra sede'!I22</f>
        <v>24024.639999999999</v>
      </c>
      <c r="O16" s="431"/>
    </row>
    <row r="17" spans="3:15" ht="15" customHeight="1" outlineLevel="1">
      <c r="C17" s="609"/>
      <c r="E17" s="429" t="s">
        <v>1079</v>
      </c>
      <c r="F17" s="434">
        <f>'obra sede'!I16</f>
        <v>75839.090000000011</v>
      </c>
      <c r="G17" s="422"/>
      <c r="O17" s="431"/>
    </row>
    <row r="18" spans="3:15" ht="15" customHeight="1" outlineLevel="1">
      <c r="C18" s="609"/>
      <c r="E18" s="429" t="s">
        <v>695</v>
      </c>
      <c r="F18" s="434">
        <f>SUM('obra sede'!I66)</f>
        <v>283021.80999999994</v>
      </c>
      <c r="G18" s="422"/>
      <c r="O18" s="431"/>
    </row>
    <row r="19" spans="3:15" ht="12.75" customHeight="1">
      <c r="E19" s="425"/>
      <c r="F19" s="425"/>
      <c r="G19" s="422"/>
    </row>
    <row r="20" spans="3:15" ht="43.5" customHeight="1">
      <c r="C20" s="610" t="s">
        <v>699</v>
      </c>
      <c r="E20" s="426"/>
      <c r="F20" s="427">
        <f>SUM(+F21)</f>
        <v>69851.19</v>
      </c>
      <c r="O20" s="431"/>
    </row>
    <row r="21" spans="3:15" ht="15" customHeight="1" outlineLevel="1">
      <c r="C21" s="610"/>
      <c r="E21" s="432" t="s">
        <v>151</v>
      </c>
      <c r="F21" s="433">
        <f>SUM(F22:F24)</f>
        <v>69851.19</v>
      </c>
      <c r="O21" s="431"/>
    </row>
    <row r="22" spans="3:15" ht="15" customHeight="1" outlineLevel="1">
      <c r="C22" s="610"/>
      <c r="E22" s="429" t="s">
        <v>1080</v>
      </c>
      <c r="F22" s="434">
        <f>'obra sede'!I23</f>
        <v>0</v>
      </c>
      <c r="J22" s="428"/>
      <c r="O22" s="431"/>
    </row>
    <row r="23" spans="3:15" ht="15" customHeight="1" outlineLevel="1">
      <c r="C23" s="610"/>
      <c r="E23" s="429" t="s">
        <v>1079</v>
      </c>
      <c r="F23" s="434">
        <f>'obra sede'!I17</f>
        <v>0</v>
      </c>
      <c r="J23" s="428"/>
      <c r="O23" s="431"/>
    </row>
    <row r="24" spans="3:15" ht="15" customHeight="1" outlineLevel="1">
      <c r="C24" s="610"/>
      <c r="E24" s="429" t="s">
        <v>695</v>
      </c>
      <c r="F24" s="434">
        <f>SUM('obra sede'!I67)</f>
        <v>69851.19</v>
      </c>
      <c r="J24" s="428"/>
      <c r="O24" s="431"/>
    </row>
    <row r="25" spans="3:15" ht="12.75" customHeight="1">
      <c r="E25" s="425"/>
      <c r="F25" s="425"/>
      <c r="G25" s="422"/>
      <c r="J25" s="428"/>
    </row>
    <row r="26" spans="3:15" ht="55.5" customHeight="1">
      <c r="C26" s="611" t="s">
        <v>700</v>
      </c>
      <c r="E26" s="426"/>
      <c r="F26" s="427">
        <f>SUM(F27)</f>
        <v>115355.97999999989</v>
      </c>
      <c r="J26" s="428"/>
      <c r="O26" s="431"/>
    </row>
    <row r="27" spans="3:15" ht="15" customHeight="1" outlineLevel="1">
      <c r="C27" s="611"/>
      <c r="E27" s="432" t="s">
        <v>951</v>
      </c>
      <c r="F27" s="433">
        <f>SUM(F28:F30)</f>
        <v>115355.97999999989</v>
      </c>
      <c r="G27" s="472"/>
      <c r="O27" s="431"/>
    </row>
    <row r="28" spans="3:15" ht="15" customHeight="1" outlineLevel="1">
      <c r="C28" s="611"/>
      <c r="E28" s="429" t="s">
        <v>1080</v>
      </c>
      <c r="F28" s="434">
        <f>SUM('obra sede'!I24+'obra sede'!I25+'obra sede'!I26+'obra sede'!I27)</f>
        <v>8622.4299999999002</v>
      </c>
      <c r="G28" s="452"/>
      <c r="O28" s="431"/>
    </row>
    <row r="29" spans="3:15" ht="15" customHeight="1" outlineLevel="1">
      <c r="C29" s="611"/>
      <c r="E29" s="429" t="s">
        <v>1079</v>
      </c>
      <c r="F29" s="434">
        <f>'obra sede'!I18</f>
        <v>0</v>
      </c>
      <c r="G29" s="452"/>
      <c r="O29" s="431"/>
    </row>
    <row r="30" spans="3:15" ht="15" customHeight="1" outlineLevel="1">
      <c r="C30" s="611"/>
      <c r="E30" s="429" t="s">
        <v>695</v>
      </c>
      <c r="F30" s="434">
        <f>SUM('obra sede'!I68)</f>
        <v>106733.54999999999</v>
      </c>
      <c r="O30" s="431"/>
    </row>
    <row r="32" spans="3:15" ht="15">
      <c r="E32" s="435" t="s">
        <v>696</v>
      </c>
      <c r="F32" s="436">
        <f>F10+F20+F26</f>
        <v>1933564.15</v>
      </c>
      <c r="G32" s="437"/>
      <c r="I32" s="438"/>
      <c r="J32" s="431"/>
    </row>
    <row r="34" spans="5:19" ht="55.5" customHeight="1">
      <c r="E34" s="439" t="s">
        <v>704</v>
      </c>
      <c r="F34" s="440">
        <f>F8-F32</f>
        <v>-785764.14999999991</v>
      </c>
      <c r="G34" s="431"/>
      <c r="O34" s="431"/>
      <c r="P34" s="431"/>
    </row>
    <row r="36" spans="5:19" ht="21" customHeight="1">
      <c r="E36" s="612" t="s">
        <v>1028</v>
      </c>
      <c r="F36" s="613">
        <f>180000+119598.61+100488.96+200084.84</f>
        <v>600172.41</v>
      </c>
      <c r="H36" s="422"/>
      <c r="I36" s="359" t="s">
        <v>1312</v>
      </c>
      <c r="J36" s="358">
        <v>0</v>
      </c>
      <c r="K36" s="422"/>
      <c r="L36" s="441" t="s">
        <v>727</v>
      </c>
      <c r="O36"/>
      <c r="P36"/>
      <c r="Q36"/>
    </row>
    <row r="37" spans="5:19" ht="6.75" customHeight="1">
      <c r="E37" s="612"/>
      <c r="F37" s="613"/>
      <c r="H37" s="422"/>
      <c r="I37" s="357"/>
      <c r="J37" s="357"/>
      <c r="K37" s="422"/>
      <c r="O37"/>
      <c r="P37"/>
      <c r="Q37"/>
    </row>
    <row r="38" spans="5:19" ht="21" customHeight="1">
      <c r="E38" s="612"/>
      <c r="F38" s="613"/>
      <c r="H38" s="422"/>
      <c r="I38" s="359" t="s">
        <v>1447</v>
      </c>
      <c r="J38" s="358">
        <v>212673.87</v>
      </c>
      <c r="K38" s="422"/>
      <c r="L38" s="441" t="s">
        <v>728</v>
      </c>
      <c r="O38"/>
      <c r="P38"/>
      <c r="Q38"/>
    </row>
    <row r="39" spans="5:19" ht="6.75" customHeight="1">
      <c r="E39" s="612"/>
      <c r="F39" s="613"/>
      <c r="H39" s="422"/>
      <c r="I39" s="425"/>
      <c r="J39" s="425"/>
      <c r="K39" s="422"/>
      <c r="O39"/>
      <c r="P39"/>
      <c r="Q39"/>
    </row>
    <row r="40" spans="5:19" ht="15" customHeight="1">
      <c r="E40" s="612"/>
      <c r="F40" s="613"/>
      <c r="H40" s="442">
        <f>G40-(G41+G42)</f>
        <v>0</v>
      </c>
      <c r="I40" s="426" t="s">
        <v>698</v>
      </c>
      <c r="J40" s="427">
        <f>SUM(F20+F26)</f>
        <v>185207.1699999999</v>
      </c>
      <c r="K40" s="442">
        <f>J40-(J41+J42+J43)</f>
        <v>0</v>
      </c>
      <c r="L40" s="443" t="str">
        <f>IF(K40=0,"Ok","Valor Incorreto")</f>
        <v>Ok</v>
      </c>
      <c r="O40"/>
      <c r="P40"/>
      <c r="Q40"/>
    </row>
    <row r="41" spans="5:19" ht="15" customHeight="1">
      <c r="E41" s="612"/>
      <c r="F41" s="613"/>
      <c r="I41" s="429" t="s">
        <v>1080</v>
      </c>
      <c r="J41" s="430">
        <f>SUM(F22+F28)</f>
        <v>8622.4299999999002</v>
      </c>
      <c r="O41" s="452"/>
    </row>
    <row r="42" spans="5:19" ht="15" customHeight="1">
      <c r="E42"/>
      <c r="I42" s="429" t="s">
        <v>1079</v>
      </c>
      <c r="J42" s="430">
        <f>SUM(F23+F29)</f>
        <v>0</v>
      </c>
      <c r="O42" s="452"/>
    </row>
    <row r="43" spans="5:19">
      <c r="F43" s="431"/>
      <c r="I43" s="429" t="s">
        <v>695</v>
      </c>
      <c r="J43" s="430">
        <f>SUM('obra sede'!I58+'obra sede'!I67+'obra sede'!I68)</f>
        <v>176584.74</v>
      </c>
    </row>
    <row r="44" spans="5:19">
      <c r="F44" s="431"/>
    </row>
    <row r="45" spans="5:19" ht="33.75">
      <c r="F45" s="431"/>
      <c r="I45" s="444" t="s">
        <v>1078</v>
      </c>
      <c r="J45" s="445">
        <f>(J36+J38)-J40</f>
        <v>27466.700000000099</v>
      </c>
      <c r="M45" s="431"/>
      <c r="N45" s="431">
        <f>J36+J38</f>
        <v>212673.87</v>
      </c>
      <c r="O45"/>
      <c r="P45"/>
      <c r="Q45"/>
    </row>
    <row r="46" spans="5:19" ht="38.25" customHeight="1">
      <c r="N46" s="431">
        <f>N45-J40</f>
        <v>27466.700000000099</v>
      </c>
      <c r="O46" s="431">
        <v>32168.810000000143</v>
      </c>
      <c r="P46" s="522">
        <f>N46-O46</f>
        <v>-4702.1100000000442</v>
      </c>
      <c r="Q46" s="421" t="s">
        <v>1385</v>
      </c>
    </row>
    <row r="47" spans="5:19" ht="19.5" customHeight="1">
      <c r="H47" s="455"/>
      <c r="I47" s="603" t="s">
        <v>909</v>
      </c>
      <c r="J47" s="603"/>
      <c r="K47" s="456"/>
      <c r="P47" s="515"/>
    </row>
    <row r="48" spans="5:19" s="425" customFormat="1" ht="16.5" customHeight="1" outlineLevel="1">
      <c r="F48" s="446"/>
      <c r="H48" s="457"/>
      <c r="I48" s="453">
        <f>-1*SUMPRODUCT((Aramburu_Mensal!$E$6:$E$1160="2.7.2 – Obras e Melhorias (infraestrutura)")*(Aramburu_Mensal!$N$6:$N$1160="A pagar")*((Aramburu_Mensal!$M$6:$M$1160="Cooperativa Sicredi (0902)")*(Aramburu_Mensal!$O$6:$O$1160)))</f>
        <v>0</v>
      </c>
      <c r="J48" s="447" t="s">
        <v>722</v>
      </c>
      <c r="K48" s="458"/>
      <c r="N48" s="449"/>
      <c r="O48" s="516"/>
      <c r="P48"/>
      <c r="Q48"/>
      <c r="R48"/>
      <c r="S48"/>
    </row>
    <row r="49" spans="5:19" s="425" customFormat="1" ht="17.25" customHeight="1">
      <c r="E49" s="468"/>
      <c r="F49" s="446"/>
      <c r="H49" s="457"/>
      <c r="I49" s="606">
        <f>J36-I48</f>
        <v>0</v>
      </c>
      <c r="J49" s="607"/>
      <c r="K49" s="458"/>
      <c r="L49" s="441"/>
      <c r="M49" s="446"/>
      <c r="N49" s="446"/>
      <c r="P49"/>
      <c r="Q49"/>
      <c r="R49"/>
      <c r="S49"/>
    </row>
    <row r="50" spans="5:19" s="425" customFormat="1" ht="17.25" customHeight="1">
      <c r="F50" s="446"/>
      <c r="H50" s="457"/>
      <c r="I50" s="604" t="str">
        <f>IF(I49&gt;=0,"SALDO SUFICIENTE","SALDO INSUFICIENTE")</f>
        <v>SALDO SUFICIENTE</v>
      </c>
      <c r="J50" s="605"/>
      <c r="K50" s="458"/>
      <c r="L50" s="441"/>
      <c r="N50" s="448"/>
      <c r="P50"/>
      <c r="Q50"/>
      <c r="R50"/>
      <c r="S50"/>
    </row>
    <row r="51" spans="5:19" ht="6" customHeight="1">
      <c r="H51" s="459"/>
      <c r="I51" s="460"/>
      <c r="J51" s="460"/>
      <c r="K51" s="461"/>
      <c r="P51"/>
      <c r="Q51"/>
      <c r="R51"/>
      <c r="S51"/>
    </row>
    <row r="52" spans="5:19">
      <c r="M52" s="431"/>
      <c r="P52"/>
      <c r="Q52"/>
      <c r="R52"/>
      <c r="S52"/>
    </row>
    <row r="53" spans="5:19" ht="19.5" customHeight="1">
      <c r="H53" s="455"/>
      <c r="I53" s="603" t="s">
        <v>910</v>
      </c>
      <c r="J53" s="603"/>
      <c r="K53" s="456"/>
      <c r="M53" s="431"/>
      <c r="O53" s="477"/>
      <c r="P53"/>
      <c r="Q53"/>
      <c r="R53"/>
      <c r="S53"/>
    </row>
    <row r="54" spans="5:19" s="425" customFormat="1" ht="16.5" customHeight="1" outlineLevel="1">
      <c r="F54" s="446"/>
      <c r="H54" s="457"/>
      <c r="I54" s="453">
        <f>-1*SUMPRODUCT((Aramburu_Mensal!$E$6:$E$1160="2.7.2 – Obras e Melhorias (infraestrutura)")*(Aramburu_Mensal!$N$6:$N$1160="A pagar")*((Aramburu_Mensal!$M$6:$M$1160="Cooperativa Sicredi (0913)")+(Aramburu_Mensal!$M$6:$M$1160="Banco Cora (0001)"))*(Aramburu_Mensal!$O$6:$O$1160))</f>
        <v>69851.19</v>
      </c>
      <c r="J54" s="447" t="s">
        <v>722</v>
      </c>
      <c r="K54" s="458"/>
      <c r="M54" s="449"/>
      <c r="O54" s="513"/>
      <c r="P54"/>
      <c r="Q54"/>
      <c r="R54"/>
      <c r="S54"/>
    </row>
    <row r="55" spans="5:19" s="425" customFormat="1" ht="17.25" customHeight="1">
      <c r="F55" s="446"/>
      <c r="H55" s="457"/>
      <c r="I55" s="606">
        <f>J38-I54</f>
        <v>142822.68</v>
      </c>
      <c r="J55" s="607"/>
      <c r="K55" s="458"/>
      <c r="L55" s="441"/>
      <c r="M55" s="449"/>
      <c r="O55" s="477"/>
      <c r="P55"/>
      <c r="Q55"/>
      <c r="R55"/>
      <c r="S55"/>
    </row>
    <row r="56" spans="5:19" s="425" customFormat="1" ht="17.25" customHeight="1">
      <c r="F56" s="446"/>
      <c r="H56" s="457"/>
      <c r="I56" s="604" t="str">
        <f>IF(I55&gt;=0,"SALDO SUFICIENTE","SALDO INSUFICIENTE")</f>
        <v>SALDO SUFICIENTE</v>
      </c>
      <c r="J56" s="605"/>
      <c r="K56" s="458"/>
      <c r="L56" s="441"/>
      <c r="O56" s="514"/>
      <c r="P56"/>
      <c r="Q56"/>
      <c r="R56"/>
      <c r="S56"/>
    </row>
    <row r="57" spans="5:19" s="428" customFormat="1" ht="7.5" customHeight="1">
      <c r="H57" s="462"/>
      <c r="I57" s="463"/>
      <c r="J57" s="463"/>
      <c r="K57" s="464"/>
      <c r="O57" s="477"/>
      <c r="P57"/>
      <c r="Q57"/>
      <c r="R57"/>
      <c r="S57"/>
    </row>
    <row r="58" spans="5:19" s="425" customFormat="1" ht="16.5" customHeight="1" outlineLevel="1">
      <c r="F58" s="446"/>
      <c r="H58" s="457"/>
      <c r="I58" s="454">
        <f>SUM(F26)</f>
        <v>115355.97999999989</v>
      </c>
      <c r="J58" s="450" t="s">
        <v>723</v>
      </c>
      <c r="K58" s="458"/>
      <c r="L58" s="441"/>
      <c r="O58" s="513"/>
      <c r="P58"/>
      <c r="Q58"/>
      <c r="R58"/>
      <c r="S58"/>
    </row>
    <row r="59" spans="5:19" s="425" customFormat="1" ht="17.25" customHeight="1">
      <c r="F59" s="446"/>
      <c r="H59" s="457"/>
      <c r="I59" s="606">
        <f>(J38-I54)-I58</f>
        <v>27466.700000000099</v>
      </c>
      <c r="J59" s="607"/>
      <c r="K59" s="458"/>
      <c r="L59" s="441"/>
      <c r="P59"/>
      <c r="Q59"/>
      <c r="R59"/>
      <c r="S59"/>
    </row>
    <row r="60" spans="5:19" s="425" customFormat="1" ht="17.25" customHeight="1">
      <c r="F60" s="446"/>
      <c r="H60" s="457"/>
      <c r="I60" s="604" t="str">
        <f>IF(I59&gt;=0,"SALDO SUFICIENTE","SALDO INSUFICIENTE")</f>
        <v>SALDO SUFICIENTE</v>
      </c>
      <c r="J60" s="605"/>
      <c r="K60" s="458"/>
      <c r="L60" s="441"/>
      <c r="P60"/>
      <c r="Q60"/>
      <c r="R60"/>
      <c r="S60"/>
    </row>
    <row r="61" spans="5:19" ht="6" customHeight="1">
      <c r="H61" s="459"/>
      <c r="I61" s="460"/>
      <c r="J61" s="460"/>
      <c r="K61" s="461"/>
      <c r="P61"/>
      <c r="Q61"/>
      <c r="R61"/>
      <c r="S61"/>
    </row>
    <row r="62" spans="5:19">
      <c r="P62"/>
      <c r="Q62"/>
      <c r="R62"/>
      <c r="S62"/>
    </row>
  </sheetData>
  <mergeCells count="14">
    <mergeCell ref="E6:F6"/>
    <mergeCell ref="C10:C18"/>
    <mergeCell ref="C20:C24"/>
    <mergeCell ref="C26:C30"/>
    <mergeCell ref="E36:E41"/>
    <mergeCell ref="F36:F41"/>
    <mergeCell ref="I47:J47"/>
    <mergeCell ref="I60:J60"/>
    <mergeCell ref="I56:J56"/>
    <mergeCell ref="I53:J53"/>
    <mergeCell ref="I59:J59"/>
    <mergeCell ref="I49:J49"/>
    <mergeCell ref="I50:J50"/>
    <mergeCell ref="I55:J55"/>
  </mergeCells>
  <conditionalFormatting sqref="I49">
    <cfRule type="cellIs" dxfId="37" priority="17" operator="lessThan">
      <formula>0</formula>
    </cfRule>
    <cfRule type="cellIs" dxfId="36" priority="18" operator="greaterThan">
      <formula>0</formula>
    </cfRule>
  </conditionalFormatting>
  <conditionalFormatting sqref="I50">
    <cfRule type="containsText" dxfId="35" priority="11" operator="containsText" text="SALDO INSUFICIENTE">
      <formula>NOT(ISERROR(SEARCH("SALDO INSUFICIENTE",I50)))</formula>
    </cfRule>
    <cfRule type="containsText" dxfId="34" priority="12" operator="containsText" text="SALDO SUFICIENTE">
      <formula>NOT(ISERROR(SEARCH("SALDO SUFICIENTE",I50)))</formula>
    </cfRule>
  </conditionalFormatting>
  <conditionalFormatting sqref="I55">
    <cfRule type="cellIs" dxfId="33" priority="3" operator="lessThan">
      <formula>0</formula>
    </cfRule>
    <cfRule type="cellIs" dxfId="32" priority="4" operator="greaterThan">
      <formula>0</formula>
    </cfRule>
  </conditionalFormatting>
  <conditionalFormatting sqref="I56">
    <cfRule type="containsText" dxfId="31" priority="7" operator="containsText" text="SALDO INSUFICIENTE">
      <formula>NOT(ISERROR(SEARCH("SALDO INSUFICIENTE",I56)))</formula>
    </cfRule>
    <cfRule type="containsText" dxfId="30" priority="8" operator="containsText" text="SALDO SUFICIENTE">
      <formula>NOT(ISERROR(SEARCH("SALDO SUFICIENTE",I56)))</formula>
    </cfRule>
  </conditionalFormatting>
  <conditionalFormatting sqref="I59">
    <cfRule type="cellIs" dxfId="29" priority="1" operator="lessThan">
      <formula>0</formula>
    </cfRule>
    <cfRule type="cellIs" dxfId="28" priority="2" operator="greaterThan">
      <formula>0</formula>
    </cfRule>
  </conditionalFormatting>
  <conditionalFormatting sqref="I60">
    <cfRule type="containsText" dxfId="27" priority="9" operator="containsText" text="SALDO INSUFICIENTE">
      <formula>NOT(ISERROR(SEARCH("SALDO INSUFICIENTE",I60)))</formula>
    </cfRule>
    <cfRule type="containsText" dxfId="26" priority="10" operator="containsText" text="SALDO SUFICIENTE">
      <formula>NOT(ISERROR(SEARCH("SALDO SUFICIENTE",I60)))</formula>
    </cfRule>
  </conditionalFormatting>
  <conditionalFormatting sqref="J45">
    <cfRule type="cellIs" dxfId="25" priority="15" operator="lessThan">
      <formula>0</formula>
    </cfRule>
    <cfRule type="cellIs" dxfId="24" priority="16" operator="greaterThan">
      <formula>0</formula>
    </cfRule>
  </conditionalFormatting>
  <conditionalFormatting sqref="L40">
    <cfRule type="containsText" dxfId="23" priority="19" operator="containsText" text="Valor Incorreto">
      <formula>NOT(ISERROR(SEARCH("Valor Incorreto",L40)))</formula>
    </cfRule>
    <cfRule type="containsText" dxfId="22" priority="20" operator="containsText" text="Ok">
      <formula>NOT(ISERROR(SEARCH("Ok",L40)))</formula>
    </cfRule>
  </conditionalFormatting>
  <pageMargins left="0.1" right="0" top="0.36" bottom="0.78740157499999996" header="0.14000000000000001" footer="0.31496062000000002"/>
  <pageSetup paperSize="9" scale="61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2A70-08A0-4E81-B77D-232B4BA86BF8}">
  <sheetPr>
    <tabColor theme="1"/>
    <pageSetUpPr fitToPage="1"/>
  </sheetPr>
  <dimension ref="B2:J119"/>
  <sheetViews>
    <sheetView showGridLines="0" zoomScaleNormal="100" workbookViewId="0">
      <selection activeCell="G10" sqref="G10"/>
    </sheetView>
  </sheetViews>
  <sheetFormatPr defaultRowHeight="12.75" customHeight="1"/>
  <cols>
    <col min="1" max="1" width="9.42578125" style="28" customWidth="1"/>
    <col min="2" max="2" width="9.42578125" style="131" customWidth="1"/>
    <col min="3" max="3" width="58.85546875" style="28" customWidth="1"/>
    <col min="4" max="4" width="20.7109375" style="28" customWidth="1"/>
    <col min="5" max="5" width="3.140625" style="28" customWidth="1"/>
    <col min="6" max="6" width="36.85546875" style="28" bestFit="1" customWidth="1"/>
    <col min="7" max="7" width="60.5703125" bestFit="1" customWidth="1"/>
    <col min="8" max="14" width="12.85546875" style="28" bestFit="1" customWidth="1"/>
    <col min="15" max="15" width="14" style="28" bestFit="1" customWidth="1"/>
    <col min="16" max="16384" width="9.140625" style="28"/>
  </cols>
  <sheetData>
    <row r="2" spans="2:9" ht="12.75" customHeight="1">
      <c r="B2" s="137"/>
      <c r="C2" s="138"/>
      <c r="D2" s="138"/>
    </row>
    <row r="3" spans="2:9" ht="12.75" customHeight="1">
      <c r="B3" s="139"/>
      <c r="C3" s="139"/>
      <c r="D3" s="139"/>
    </row>
    <row r="4" spans="2:9" ht="12.75" customHeight="1">
      <c r="B4"/>
      <c r="C4"/>
      <c r="D4"/>
    </row>
    <row r="5" spans="2:9" ht="18" customHeight="1">
      <c r="B5" s="614" t="s">
        <v>248</v>
      </c>
      <c r="C5" s="614"/>
      <c r="D5" s="614"/>
    </row>
    <row r="6" spans="2:9" ht="23.25" customHeight="1">
      <c r="B6" s="615" t="s">
        <v>249</v>
      </c>
      <c r="C6" s="615"/>
      <c r="D6" s="615"/>
    </row>
    <row r="7" spans="2:9" ht="22.5" customHeight="1">
      <c r="B7" s="616" t="s">
        <v>250</v>
      </c>
      <c r="C7" s="616"/>
      <c r="D7" s="616"/>
    </row>
    <row r="8" spans="2:9" ht="12.75" customHeight="1">
      <c r="B8"/>
      <c r="C8"/>
      <c r="D8"/>
      <c r="H8"/>
      <c r="I8"/>
    </row>
    <row r="9" spans="2:9" ht="16.5" customHeight="1">
      <c r="B9" s="132" t="s">
        <v>216</v>
      </c>
      <c r="C9" s="133" t="s">
        <v>223</v>
      </c>
      <c r="D9" s="134">
        <f>SUM(D10:D16)</f>
        <v>37583.74</v>
      </c>
      <c r="H9"/>
      <c r="I9"/>
    </row>
    <row r="10" spans="2:9" ht="12.75" customHeight="1">
      <c r="B10" s="131" t="s">
        <v>229</v>
      </c>
      <c r="C10" s="34" t="s">
        <v>183</v>
      </c>
      <c r="D10" s="35">
        <v>10476.950000000001</v>
      </c>
      <c r="E10" s="130" t="s">
        <v>214</v>
      </c>
      <c r="H10"/>
      <c r="I10"/>
    </row>
    <row r="11" spans="2:9" ht="12.75" customHeight="1">
      <c r="B11" s="131" t="s">
        <v>230</v>
      </c>
      <c r="C11" s="34" t="s">
        <v>91</v>
      </c>
      <c r="D11" s="35">
        <v>1507.96</v>
      </c>
      <c r="E11" s="130" t="s">
        <v>214</v>
      </c>
      <c r="H11"/>
      <c r="I11"/>
    </row>
    <row r="12" spans="2:9" ht="12.75" customHeight="1">
      <c r="B12" s="131" t="s">
        <v>231</v>
      </c>
      <c r="C12" s="34" t="s">
        <v>92</v>
      </c>
      <c r="D12" s="35">
        <v>5102.87</v>
      </c>
      <c r="E12" s="130" t="s">
        <v>214</v>
      </c>
      <c r="H12"/>
      <c r="I12"/>
    </row>
    <row r="13" spans="2:9" ht="12.75" customHeight="1">
      <c r="B13" s="131" t="s">
        <v>232</v>
      </c>
      <c r="C13" s="34" t="s">
        <v>97</v>
      </c>
      <c r="D13" s="35">
        <v>2280.61</v>
      </c>
      <c r="E13" s="130" t="s">
        <v>214</v>
      </c>
      <c r="H13"/>
      <c r="I13"/>
    </row>
    <row r="14" spans="2:9" ht="12.75" customHeight="1">
      <c r="B14" s="131" t="s">
        <v>243</v>
      </c>
      <c r="C14" s="34" t="s">
        <v>98</v>
      </c>
      <c r="D14" s="35">
        <v>2287.21</v>
      </c>
      <c r="E14" s="130" t="s">
        <v>214</v>
      </c>
      <c r="H14"/>
      <c r="I14"/>
    </row>
    <row r="15" spans="2:9" ht="12.75" customHeight="1">
      <c r="B15" s="131" t="s">
        <v>859</v>
      </c>
      <c r="C15" s="34" t="s">
        <v>826</v>
      </c>
      <c r="D15" s="35">
        <v>2000</v>
      </c>
      <c r="H15"/>
      <c r="I15"/>
    </row>
    <row r="16" spans="2:9" ht="12.75" customHeight="1">
      <c r="B16" s="131" t="s">
        <v>860</v>
      </c>
      <c r="C16" s="34" t="s">
        <v>45</v>
      </c>
      <c r="D16" s="35">
        <v>13928.14</v>
      </c>
      <c r="H16"/>
      <c r="I16"/>
    </row>
    <row r="17" spans="2:10" ht="12.75" customHeight="1">
      <c r="B17" s="132"/>
      <c r="C17" s="133" t="s">
        <v>225</v>
      </c>
      <c r="D17" s="134">
        <f>SUM(D18:D21)</f>
        <v>4565.99</v>
      </c>
      <c r="H17"/>
      <c r="I17"/>
    </row>
    <row r="18" spans="2:10" ht="12.75" customHeight="1">
      <c r="B18" s="131" t="s">
        <v>233</v>
      </c>
      <c r="C18" s="34" t="s">
        <v>27</v>
      </c>
      <c r="D18" s="35">
        <v>300</v>
      </c>
      <c r="H18"/>
      <c r="I18"/>
    </row>
    <row r="19" spans="2:10" ht="12.75" customHeight="1">
      <c r="B19" s="131" t="s">
        <v>234</v>
      </c>
      <c r="C19" s="34" t="s">
        <v>20</v>
      </c>
      <c r="D19" s="35">
        <v>3105</v>
      </c>
      <c r="H19"/>
      <c r="I19"/>
    </row>
    <row r="20" spans="2:10" ht="12.75" customHeight="1">
      <c r="B20" s="131" t="s">
        <v>235</v>
      </c>
      <c r="C20" s="34" t="s">
        <v>33</v>
      </c>
      <c r="D20" s="35">
        <v>713.25</v>
      </c>
      <c r="H20"/>
      <c r="I20"/>
    </row>
    <row r="21" spans="2:10" ht="12.75" customHeight="1">
      <c r="B21" s="131" t="s">
        <v>244</v>
      </c>
      <c r="C21" s="34" t="s">
        <v>64</v>
      </c>
      <c r="D21" s="35">
        <v>447.74</v>
      </c>
      <c r="H21"/>
      <c r="I21"/>
    </row>
    <row r="22" spans="2:10" ht="12.75" customHeight="1">
      <c r="B22" s="132"/>
      <c r="C22" s="133" t="s">
        <v>226</v>
      </c>
      <c r="D22" s="134">
        <f>SUM(D23:D26)</f>
        <v>6724.21</v>
      </c>
      <c r="H22"/>
      <c r="I22"/>
    </row>
    <row r="23" spans="2:10" ht="12.75" customHeight="1">
      <c r="B23" s="131" t="s">
        <v>237</v>
      </c>
      <c r="C23" s="34" t="s">
        <v>179</v>
      </c>
      <c r="D23" s="35">
        <v>3731.55</v>
      </c>
      <c r="E23" s="130" t="s">
        <v>214</v>
      </c>
      <c r="H23"/>
      <c r="I23"/>
    </row>
    <row r="24" spans="2:10" ht="12.75" customHeight="1">
      <c r="B24" s="131" t="s">
        <v>861</v>
      </c>
      <c r="C24" s="34" t="s">
        <v>29</v>
      </c>
      <c r="D24" s="35">
        <v>150</v>
      </c>
      <c r="F24"/>
      <c r="H24"/>
      <c r="I24"/>
      <c r="J24"/>
    </row>
    <row r="25" spans="2:10" ht="12.75" customHeight="1">
      <c r="B25" s="131" t="s">
        <v>655</v>
      </c>
      <c r="C25" s="34" t="s">
        <v>71</v>
      </c>
      <c r="D25" s="35">
        <v>2300</v>
      </c>
      <c r="F25"/>
      <c r="H25"/>
      <c r="I25"/>
      <c r="J25"/>
    </row>
    <row r="26" spans="2:10" ht="12.75" customHeight="1">
      <c r="B26" s="131" t="s">
        <v>862</v>
      </c>
      <c r="C26" s="34" t="s">
        <v>32</v>
      </c>
      <c r="D26" s="35">
        <v>542.66</v>
      </c>
      <c r="E26" s="130" t="s">
        <v>214</v>
      </c>
      <c r="F26"/>
      <c r="H26"/>
      <c r="I26"/>
      <c r="J26"/>
    </row>
    <row r="27" spans="2:10" ht="12.75" customHeight="1">
      <c r="B27" s="132"/>
      <c r="C27" s="133" t="s">
        <v>227</v>
      </c>
      <c r="D27" s="134">
        <f>SUM(D28:D39)</f>
        <v>15089.26</v>
      </c>
      <c r="F27"/>
      <c r="H27"/>
      <c r="I27"/>
      <c r="J27"/>
    </row>
    <row r="28" spans="2:10" ht="12.75" customHeight="1">
      <c r="B28" s="131" t="s">
        <v>236</v>
      </c>
      <c r="C28" s="34" t="s">
        <v>48</v>
      </c>
      <c r="D28" s="35">
        <v>860.91</v>
      </c>
      <c r="E28" s="130" t="s">
        <v>214</v>
      </c>
      <c r="F28"/>
      <c r="H28"/>
      <c r="I28"/>
      <c r="J28"/>
    </row>
    <row r="29" spans="2:10" ht="12.75" customHeight="1">
      <c r="B29" s="131" t="s">
        <v>238</v>
      </c>
      <c r="C29" s="34" t="s">
        <v>185</v>
      </c>
      <c r="D29" s="35">
        <v>410</v>
      </c>
      <c r="E29" s="130" t="s">
        <v>214</v>
      </c>
      <c r="F29"/>
      <c r="H29"/>
      <c r="I29"/>
      <c r="J29"/>
    </row>
    <row r="30" spans="2:10" ht="12.75" customHeight="1">
      <c r="B30" s="131" t="s">
        <v>239</v>
      </c>
      <c r="C30" s="34" t="s">
        <v>49</v>
      </c>
      <c r="D30" s="35">
        <v>410</v>
      </c>
      <c r="E30" s="130" t="s">
        <v>214</v>
      </c>
      <c r="F30"/>
      <c r="H30"/>
      <c r="I30"/>
      <c r="J30"/>
    </row>
    <row r="31" spans="2:10" ht="12.75" customHeight="1">
      <c r="B31" s="131" t="s">
        <v>240</v>
      </c>
      <c r="C31" s="34" t="s">
        <v>532</v>
      </c>
      <c r="D31" s="35">
        <v>2300</v>
      </c>
      <c r="E31" s="130" t="s">
        <v>214</v>
      </c>
      <c r="F31"/>
      <c r="H31"/>
      <c r="I31"/>
      <c r="J31"/>
    </row>
    <row r="32" spans="2:10" ht="12.75" customHeight="1">
      <c r="B32" s="131" t="s">
        <v>241</v>
      </c>
      <c r="C32" s="34" t="s">
        <v>533</v>
      </c>
      <c r="D32" s="35">
        <v>1405</v>
      </c>
      <c r="E32" s="130" t="s">
        <v>214</v>
      </c>
      <c r="F32"/>
      <c r="H32"/>
      <c r="I32"/>
      <c r="J32"/>
    </row>
    <row r="33" spans="2:10" customFormat="1" ht="12.75" customHeight="1">
      <c r="B33" s="131" t="s">
        <v>256</v>
      </c>
      <c r="C33" s="34" t="s">
        <v>633</v>
      </c>
      <c r="D33" s="35">
        <v>2300</v>
      </c>
      <c r="E33" s="130" t="s">
        <v>214</v>
      </c>
    </row>
    <row r="34" spans="2:10" ht="12.75" customHeight="1">
      <c r="B34" s="131" t="s">
        <v>242</v>
      </c>
      <c r="C34" s="34" t="s">
        <v>50</v>
      </c>
      <c r="D34" s="35">
        <v>650</v>
      </c>
      <c r="E34" s="130" t="s">
        <v>214</v>
      </c>
      <c r="F34"/>
      <c r="H34"/>
      <c r="I34"/>
      <c r="J34"/>
    </row>
    <row r="35" spans="2:10" ht="12.75" customHeight="1">
      <c r="B35" s="131" t="s">
        <v>541</v>
      </c>
      <c r="C35" s="34" t="s">
        <v>182</v>
      </c>
      <c r="D35" s="35">
        <v>1753.35</v>
      </c>
      <c r="E35" s="130" t="s">
        <v>214</v>
      </c>
      <c r="F35"/>
      <c r="H35"/>
      <c r="I35"/>
      <c r="J35"/>
    </row>
    <row r="36" spans="2:10" ht="12.75" customHeight="1">
      <c r="B36" s="131" t="s">
        <v>656</v>
      </c>
      <c r="C36" s="34" t="s">
        <v>630</v>
      </c>
      <c r="D36" s="35">
        <v>450</v>
      </c>
      <c r="E36" s="130"/>
      <c r="F36"/>
      <c r="H36"/>
      <c r="I36"/>
      <c r="J36"/>
    </row>
    <row r="37" spans="2:10" ht="12.75" customHeight="1">
      <c r="B37" s="131" t="s">
        <v>657</v>
      </c>
      <c r="C37" s="34" t="s">
        <v>631</v>
      </c>
      <c r="D37" s="35">
        <v>350</v>
      </c>
      <c r="E37" s="130"/>
      <c r="F37"/>
      <c r="H37"/>
      <c r="I37"/>
      <c r="J37"/>
    </row>
    <row r="38" spans="2:10" ht="12.75" customHeight="1">
      <c r="B38" s="131" t="s">
        <v>658</v>
      </c>
      <c r="C38" s="34" t="s">
        <v>632</v>
      </c>
      <c r="D38" s="35">
        <v>450</v>
      </c>
      <c r="E38" s="130"/>
      <c r="F38"/>
      <c r="H38"/>
      <c r="I38"/>
      <c r="J38"/>
    </row>
    <row r="39" spans="2:10" ht="12.75" customHeight="1">
      <c r="B39" s="131" t="s">
        <v>659</v>
      </c>
      <c r="C39" s="34" t="s">
        <v>828</v>
      </c>
      <c r="D39" s="35">
        <v>3750</v>
      </c>
      <c r="E39" s="130"/>
      <c r="F39"/>
      <c r="H39"/>
      <c r="I39"/>
      <c r="J39"/>
    </row>
    <row r="40" spans="2:10" ht="12.75" customHeight="1">
      <c r="B40" s="135"/>
      <c r="C40" s="135" t="s">
        <v>5</v>
      </c>
      <c r="D40" s="136">
        <f>SUM(D9+D17+D22+D27)</f>
        <v>63963.199999999997</v>
      </c>
      <c r="E40" s="130"/>
      <c r="F40"/>
      <c r="H40"/>
      <c r="I40"/>
      <c r="J40"/>
    </row>
    <row r="41" spans="2:10" ht="12.75" customHeight="1">
      <c r="B41" s="130" t="s">
        <v>215</v>
      </c>
      <c r="E41" s="130"/>
    </row>
    <row r="42" spans="2:10" ht="18" customHeight="1">
      <c r="E42" s="130"/>
    </row>
    <row r="43" spans="2:10" ht="23.25" customHeight="1"/>
    <row r="44" spans="2:10" ht="22.5" customHeight="1">
      <c r="E44"/>
      <c r="F44"/>
    </row>
    <row r="45" spans="2:10" ht="12.75" customHeight="1">
      <c r="B45" s="140"/>
      <c r="C45" s="140"/>
      <c r="D45" s="140"/>
    </row>
    <row r="46" spans="2:10" ht="16.5" customHeight="1">
      <c r="B46" s="140"/>
      <c r="C46" s="140"/>
      <c r="D46" s="140"/>
    </row>
    <row r="47" spans="2:10" ht="12.75" customHeight="1">
      <c r="B47" s="137"/>
      <c r="C47" s="138"/>
      <c r="D47" s="138"/>
    </row>
    <row r="48" spans="2:10" ht="12.75" customHeight="1">
      <c r="B48" s="139"/>
      <c r="C48" s="139"/>
      <c r="D48" s="139"/>
    </row>
    <row r="49" spans="2:10" ht="12.75" customHeight="1">
      <c r="B49"/>
      <c r="C49"/>
      <c r="D49"/>
    </row>
    <row r="50" spans="2:10" ht="18">
      <c r="B50" s="614" t="s">
        <v>248</v>
      </c>
      <c r="C50" s="614"/>
      <c r="D50" s="614"/>
    </row>
    <row r="51" spans="2:10" ht="27">
      <c r="B51" s="615" t="s">
        <v>249</v>
      </c>
      <c r="C51" s="615"/>
      <c r="D51" s="615"/>
      <c r="H51"/>
      <c r="I51"/>
      <c r="J51"/>
    </row>
    <row r="52" spans="2:10" ht="27">
      <c r="B52" s="616" t="s">
        <v>284</v>
      </c>
      <c r="C52" s="616"/>
      <c r="D52" s="616"/>
      <c r="H52"/>
      <c r="I52"/>
      <c r="J52"/>
    </row>
    <row r="53" spans="2:10" ht="12.75" customHeight="1">
      <c r="B53" s="140"/>
      <c r="C53" s="140"/>
      <c r="D53" s="140"/>
      <c r="H53"/>
      <c r="I53"/>
      <c r="J53"/>
    </row>
    <row r="54" spans="2:10" ht="12.75" customHeight="1">
      <c r="B54" s="132" t="s">
        <v>216</v>
      </c>
      <c r="C54" s="133" t="s">
        <v>223</v>
      </c>
      <c r="D54" s="134">
        <f>SUM(D55:D59)</f>
        <v>3854.99</v>
      </c>
      <c r="H54"/>
      <c r="I54"/>
      <c r="J54"/>
    </row>
    <row r="55" spans="2:10" ht="12.75" customHeight="1">
      <c r="B55" s="131" t="s">
        <v>229</v>
      </c>
      <c r="C55" s="34" t="s">
        <v>88</v>
      </c>
      <c r="D55" s="35">
        <v>210</v>
      </c>
      <c r="H55"/>
      <c r="I55"/>
      <c r="J55"/>
    </row>
    <row r="56" spans="2:10" ht="12.75" customHeight="1">
      <c r="B56" s="131" t="s">
        <v>230</v>
      </c>
      <c r="C56" s="34" t="s">
        <v>90</v>
      </c>
      <c r="D56" s="35">
        <v>400</v>
      </c>
      <c r="H56"/>
      <c r="I56"/>
      <c r="J56"/>
    </row>
    <row r="57" spans="2:10" ht="12.75" customHeight="1">
      <c r="B57" s="131" t="s">
        <v>231</v>
      </c>
      <c r="C57" s="34" t="s">
        <v>87</v>
      </c>
      <c r="D57" s="35">
        <v>700</v>
      </c>
      <c r="E57" s="130" t="s">
        <v>214</v>
      </c>
      <c r="H57"/>
      <c r="I57"/>
      <c r="J57"/>
    </row>
    <row r="58" spans="2:10" ht="12.75" customHeight="1">
      <c r="B58" s="131" t="s">
        <v>232</v>
      </c>
      <c r="C58" s="34" t="s">
        <v>86</v>
      </c>
      <c r="D58" s="35">
        <v>1444.99</v>
      </c>
      <c r="H58"/>
      <c r="I58"/>
      <c r="J58"/>
    </row>
    <row r="59" spans="2:10" ht="12.75" customHeight="1">
      <c r="B59" s="131" t="s">
        <v>243</v>
      </c>
      <c r="C59" s="34" t="s">
        <v>85</v>
      </c>
      <c r="D59" s="35">
        <v>1100</v>
      </c>
      <c r="E59" s="130" t="s">
        <v>214</v>
      </c>
      <c r="F59" s="34"/>
      <c r="H59"/>
      <c r="I59"/>
      <c r="J59"/>
    </row>
    <row r="60" spans="2:10" ht="12.75" customHeight="1">
      <c r="B60" s="132"/>
      <c r="C60" s="133" t="s">
        <v>224</v>
      </c>
      <c r="D60" s="134">
        <f>SUM(D61:D65)</f>
        <v>7218.79</v>
      </c>
      <c r="E60" s="130"/>
      <c r="H60"/>
      <c r="I60"/>
      <c r="J60"/>
    </row>
    <row r="61" spans="2:10" ht="12.75" customHeight="1">
      <c r="B61" s="131" t="s">
        <v>245</v>
      </c>
      <c r="C61" s="34" t="s">
        <v>260</v>
      </c>
      <c r="D61" s="35">
        <v>209</v>
      </c>
      <c r="E61" s="130" t="s">
        <v>214</v>
      </c>
      <c r="H61"/>
      <c r="I61"/>
      <c r="J61"/>
    </row>
    <row r="62" spans="2:10" ht="12.75" customHeight="1">
      <c r="B62" s="131" t="s">
        <v>246</v>
      </c>
      <c r="C62" s="34" t="s">
        <v>259</v>
      </c>
      <c r="D62" s="35">
        <v>2000.43</v>
      </c>
      <c r="E62" s="130" t="s">
        <v>214</v>
      </c>
      <c r="H62"/>
      <c r="I62"/>
      <c r="J62"/>
    </row>
    <row r="63" spans="2:10" ht="12.75" customHeight="1">
      <c r="B63" s="131" t="s">
        <v>247</v>
      </c>
      <c r="C63" s="34" t="s">
        <v>827</v>
      </c>
      <c r="D63" s="35">
        <v>735</v>
      </c>
      <c r="E63" s="130" t="s">
        <v>214</v>
      </c>
      <c r="H63"/>
      <c r="I63"/>
      <c r="J63"/>
    </row>
    <row r="64" spans="2:10" ht="12.75" customHeight="1">
      <c r="B64" s="131" t="s">
        <v>660</v>
      </c>
      <c r="C64" s="34" t="s">
        <v>258</v>
      </c>
      <c r="D64" s="35">
        <v>735</v>
      </c>
      <c r="E64" s="130" t="s">
        <v>214</v>
      </c>
      <c r="F64" s="35"/>
      <c r="H64"/>
      <c r="I64"/>
      <c r="J64"/>
    </row>
    <row r="65" spans="2:10" ht="12.75" customHeight="1">
      <c r="B65" s="131" t="s">
        <v>863</v>
      </c>
      <c r="C65" s="34" t="s">
        <v>257</v>
      </c>
      <c r="D65" s="35">
        <v>3539.3599999999997</v>
      </c>
      <c r="E65" s="130" t="s">
        <v>214</v>
      </c>
      <c r="H65"/>
      <c r="I65"/>
      <c r="J65"/>
    </row>
    <row r="66" spans="2:10" ht="12.75" customHeight="1">
      <c r="B66" s="132"/>
      <c r="C66" s="133" t="s">
        <v>225</v>
      </c>
      <c r="D66" s="134">
        <f>SUM(D67:D69)</f>
        <v>11550</v>
      </c>
      <c r="E66" s="130" t="s">
        <v>214</v>
      </c>
      <c r="H66"/>
      <c r="I66"/>
      <c r="J66"/>
    </row>
    <row r="67" spans="2:10" ht="12.75" customHeight="1">
      <c r="B67" s="131" t="s">
        <v>234</v>
      </c>
      <c r="C67" s="34" t="s">
        <v>33</v>
      </c>
      <c r="D67" s="35">
        <v>220</v>
      </c>
      <c r="E67" s="130" t="s">
        <v>214</v>
      </c>
      <c r="H67"/>
      <c r="I67"/>
      <c r="J67"/>
    </row>
    <row r="68" spans="2:10" ht="12.75" customHeight="1">
      <c r="B68" s="131" t="s">
        <v>235</v>
      </c>
      <c r="C68" s="34" t="s">
        <v>20</v>
      </c>
      <c r="D68" s="35">
        <v>11000</v>
      </c>
      <c r="E68" s="130" t="s">
        <v>214</v>
      </c>
      <c r="H68"/>
      <c r="I68"/>
      <c r="J68"/>
    </row>
    <row r="69" spans="2:10" ht="12.75" customHeight="1">
      <c r="B69" s="131" t="s">
        <v>244</v>
      </c>
      <c r="C69" s="34" t="s">
        <v>27</v>
      </c>
      <c r="D69" s="35">
        <v>330</v>
      </c>
      <c r="H69"/>
      <c r="I69"/>
      <c r="J69"/>
    </row>
    <row r="70" spans="2:10" ht="12.75" customHeight="1">
      <c r="B70" s="132"/>
      <c r="C70" s="133" t="s">
        <v>226</v>
      </c>
      <c r="D70" s="134">
        <f>SUM(D71:D72)</f>
        <v>4681.8500000000004</v>
      </c>
      <c r="H70"/>
      <c r="I70"/>
      <c r="J70"/>
    </row>
    <row r="71" spans="2:10" ht="12.75" customHeight="1">
      <c r="B71" s="131" t="s">
        <v>237</v>
      </c>
      <c r="C71" s="34" t="s">
        <v>34</v>
      </c>
      <c r="D71" s="35">
        <v>503.34</v>
      </c>
      <c r="H71"/>
      <c r="I71"/>
      <c r="J71"/>
    </row>
    <row r="72" spans="2:10" ht="12.75" customHeight="1">
      <c r="B72" s="131" t="s">
        <v>237</v>
      </c>
      <c r="C72" s="34" t="s">
        <v>180</v>
      </c>
      <c r="D72" s="35">
        <v>4178.51</v>
      </c>
      <c r="H72"/>
      <c r="I72"/>
      <c r="J72"/>
    </row>
    <row r="73" spans="2:10" ht="18" customHeight="1">
      <c r="B73" s="135"/>
      <c r="C73" s="135" t="s">
        <v>5</v>
      </c>
      <c r="D73" s="136">
        <f>SUM(D54+D60+D66+D70)</f>
        <v>27305.629999999997</v>
      </c>
      <c r="E73" s="130"/>
      <c r="H73"/>
      <c r="I73"/>
      <c r="J73"/>
    </row>
    <row r="74" spans="2:10" ht="15.75">
      <c r="B74" s="130" t="s">
        <v>215</v>
      </c>
      <c r="H74"/>
      <c r="I74"/>
      <c r="J74"/>
    </row>
    <row r="75" spans="2:10" ht="22.5" customHeight="1">
      <c r="H75"/>
      <c r="I75"/>
      <c r="J75"/>
    </row>
    <row r="78" spans="2:10" ht="16.5" customHeight="1"/>
    <row r="80" spans="2:10" ht="12.75" customHeight="1">
      <c r="B80" s="137"/>
      <c r="C80" s="138"/>
      <c r="D80" s="138"/>
    </row>
    <row r="81" spans="2:9" ht="16.5" customHeight="1">
      <c r="B81" s="139"/>
      <c r="C81" s="139"/>
      <c r="D81" s="139"/>
    </row>
    <row r="82" spans="2:9" ht="12.75" customHeight="1">
      <c r="B82"/>
      <c r="C82"/>
      <c r="D82"/>
    </row>
    <row r="83" spans="2:9" ht="18">
      <c r="B83" s="614" t="s">
        <v>248</v>
      </c>
      <c r="C83" s="614"/>
      <c r="D83" s="614"/>
    </row>
    <row r="84" spans="2:9" ht="27">
      <c r="B84" s="615" t="s">
        <v>249</v>
      </c>
      <c r="C84" s="615"/>
      <c r="D84" s="615"/>
    </row>
    <row r="85" spans="2:9" ht="27">
      <c r="B85" s="616" t="s">
        <v>16</v>
      </c>
      <c r="C85" s="616"/>
      <c r="D85" s="616"/>
    </row>
    <row r="86" spans="2:9" ht="12.75" customHeight="1">
      <c r="B86" s="140"/>
      <c r="C86" s="140"/>
      <c r="D86" s="140"/>
    </row>
    <row r="87" spans="2:9" ht="16.5" customHeight="1">
      <c r="B87" s="141"/>
      <c r="C87" s="141"/>
      <c r="D87" s="141"/>
      <c r="H87"/>
      <c r="I87"/>
    </row>
    <row r="88" spans="2:9" ht="12.75" customHeight="1">
      <c r="B88" s="133" t="s">
        <v>216</v>
      </c>
      <c r="C88" s="133" t="s">
        <v>223</v>
      </c>
      <c r="D88" s="134">
        <f>SUM(D89:D90)</f>
        <v>7031</v>
      </c>
      <c r="H88"/>
      <c r="I88"/>
    </row>
    <row r="89" spans="2:9" ht="12.75" customHeight="1">
      <c r="B89" s="131" t="s">
        <v>229</v>
      </c>
      <c r="C89" s="34" t="s">
        <v>118</v>
      </c>
      <c r="D89" s="35">
        <v>4900</v>
      </c>
      <c r="H89"/>
      <c r="I89"/>
    </row>
    <row r="90" spans="2:9" ht="12.75" customHeight="1">
      <c r="B90" s="131" t="s">
        <v>230</v>
      </c>
      <c r="C90" s="34" t="s">
        <v>157</v>
      </c>
      <c r="D90" s="35">
        <v>2131</v>
      </c>
      <c r="H90"/>
      <c r="I90"/>
    </row>
    <row r="91" spans="2:9" ht="12.75" customHeight="1">
      <c r="B91" s="133"/>
      <c r="C91" s="133" t="s">
        <v>225</v>
      </c>
      <c r="D91" s="134">
        <f>SUM(D92:D95)</f>
        <v>6300</v>
      </c>
      <c r="H91"/>
      <c r="I91"/>
    </row>
    <row r="92" spans="2:9" ht="12.75" customHeight="1">
      <c r="B92" s="131" t="s">
        <v>233</v>
      </c>
      <c r="C92" s="34" t="s">
        <v>20</v>
      </c>
      <c r="D92" s="35">
        <v>5000</v>
      </c>
      <c r="H92"/>
      <c r="I92"/>
    </row>
    <row r="93" spans="2:9" ht="12.75" customHeight="1">
      <c r="B93" s="131" t="s">
        <v>234</v>
      </c>
      <c r="C93" s="34" t="s">
        <v>27</v>
      </c>
      <c r="D93" s="35">
        <v>200</v>
      </c>
      <c r="H93"/>
      <c r="I93"/>
    </row>
    <row r="94" spans="2:9" ht="12.75" customHeight="1">
      <c r="B94" s="131" t="s">
        <v>235</v>
      </c>
      <c r="C94" s="34" t="s">
        <v>33</v>
      </c>
      <c r="D94" s="35">
        <v>100</v>
      </c>
      <c r="H94"/>
      <c r="I94"/>
    </row>
    <row r="95" spans="2:9" ht="12.75" customHeight="1">
      <c r="B95" s="131" t="s">
        <v>244</v>
      </c>
      <c r="C95" s="34" t="s">
        <v>35</v>
      </c>
      <c r="D95" s="35">
        <v>1000</v>
      </c>
      <c r="H95"/>
      <c r="I95"/>
    </row>
    <row r="96" spans="2:9" ht="12.75" customHeight="1">
      <c r="B96" s="133"/>
      <c r="C96" s="133" t="s">
        <v>226</v>
      </c>
      <c r="D96" s="134">
        <f>SUM(D97)</f>
        <v>3115.84</v>
      </c>
      <c r="H96"/>
      <c r="I96"/>
    </row>
    <row r="97" spans="2:10" ht="12.75" customHeight="1">
      <c r="B97" s="131" t="s">
        <v>237</v>
      </c>
      <c r="C97" s="34" t="s">
        <v>181</v>
      </c>
      <c r="D97" s="35">
        <v>3115.84</v>
      </c>
      <c r="E97" s="130" t="s">
        <v>214</v>
      </c>
      <c r="H97"/>
      <c r="I97"/>
    </row>
    <row r="98" spans="2:10" ht="18" customHeight="1">
      <c r="B98" s="135"/>
      <c r="C98" s="135" t="s">
        <v>5</v>
      </c>
      <c r="D98" s="136">
        <f>SUM(D88+D96+D91)</f>
        <v>16446.84</v>
      </c>
      <c r="E98" s="130"/>
      <c r="H98"/>
      <c r="I98"/>
      <c r="J98"/>
    </row>
    <row r="99" spans="2:10" ht="15.75">
      <c r="B99" s="130" t="s">
        <v>215</v>
      </c>
    </row>
    <row r="102" spans="2:10" ht="16.5" customHeight="1"/>
    <row r="103" spans="2:10" ht="12.75" customHeight="1">
      <c r="B103" s="137"/>
      <c r="C103" s="138"/>
      <c r="D103" s="138"/>
    </row>
    <row r="104" spans="2:10" ht="16.5" customHeight="1">
      <c r="B104" s="139"/>
      <c r="C104" s="139"/>
      <c r="D104" s="139"/>
    </row>
    <row r="105" spans="2:10" ht="12.75" customHeight="1">
      <c r="B105"/>
      <c r="C105"/>
      <c r="D105"/>
    </row>
    <row r="106" spans="2:10" ht="12.75" customHeight="1">
      <c r="B106" s="614" t="s">
        <v>248</v>
      </c>
      <c r="C106" s="614"/>
      <c r="D106" s="614"/>
    </row>
    <row r="107" spans="2:10" ht="27">
      <c r="B107" s="615" t="s">
        <v>249</v>
      </c>
      <c r="C107" s="615"/>
      <c r="D107" s="615"/>
    </row>
    <row r="108" spans="2:10" ht="27">
      <c r="B108" s="616" t="s">
        <v>12</v>
      </c>
      <c r="C108" s="616"/>
      <c r="D108" s="616"/>
    </row>
    <row r="109" spans="2:10" ht="37.5">
      <c r="B109" s="140"/>
      <c r="C109" s="140"/>
      <c r="D109" s="140"/>
    </row>
    <row r="110" spans="2:10" ht="12.75" customHeight="1">
      <c r="B110" s="141"/>
      <c r="C110" s="141"/>
      <c r="D110" s="141"/>
    </row>
    <row r="111" spans="2:10" ht="12.75" customHeight="1">
      <c r="B111" s="133" t="s">
        <v>216</v>
      </c>
      <c r="C111" s="133" t="s">
        <v>228</v>
      </c>
      <c r="D111" s="134">
        <f>SUM(D112:D112)</f>
        <v>0</v>
      </c>
    </row>
    <row r="112" spans="2:10" ht="12.75" customHeight="1">
      <c r="B112" s="131" t="s">
        <v>448</v>
      </c>
      <c r="C112" s="34"/>
      <c r="D112" s="35"/>
    </row>
    <row r="113" spans="2:6" ht="12.75" customHeight="1">
      <c r="B113" s="135"/>
      <c r="C113" s="135" t="s">
        <v>5</v>
      </c>
      <c r="D113" s="136">
        <f>SUM(D111)</f>
        <v>0</v>
      </c>
    </row>
    <row r="115" spans="2:6" ht="12.75" customHeight="1">
      <c r="B115" s="130"/>
      <c r="F115"/>
    </row>
    <row r="116" spans="2:6" ht="12.75" customHeight="1">
      <c r="F116"/>
    </row>
    <row r="117" spans="2:6" ht="12.75" customHeight="1">
      <c r="F117"/>
    </row>
    <row r="118" spans="2:6" ht="12.75" customHeight="1">
      <c r="F118"/>
    </row>
    <row r="119" spans="2:6" ht="12.75" customHeight="1">
      <c r="F119"/>
    </row>
  </sheetData>
  <mergeCells count="12">
    <mergeCell ref="B106:D106"/>
    <mergeCell ref="B107:D107"/>
    <mergeCell ref="B108:D108"/>
    <mergeCell ref="B52:D52"/>
    <mergeCell ref="B83:D83"/>
    <mergeCell ref="B84:D84"/>
    <mergeCell ref="B85:D85"/>
    <mergeCell ref="B5:D5"/>
    <mergeCell ref="B6:D6"/>
    <mergeCell ref="B7:D7"/>
    <mergeCell ref="B50:D50"/>
    <mergeCell ref="B51:D51"/>
  </mergeCells>
  <phoneticPr fontId="64" type="noConversion"/>
  <pageMargins left="0.7" right="0.03" top="0.35" bottom="0.21" header="0.31496062000000002" footer="0.05"/>
  <pageSetup paperSize="9" scale="4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282F-318D-44D4-8EB0-3BEDBF2107B4}">
  <sheetPr>
    <tabColor theme="1"/>
  </sheetPr>
  <dimension ref="C9:G21"/>
  <sheetViews>
    <sheetView showGridLines="0" workbookViewId="0">
      <selection activeCell="J12" sqref="I12:J12"/>
    </sheetView>
  </sheetViews>
  <sheetFormatPr defaultRowHeight="13.5"/>
  <cols>
    <col min="1" max="1" width="3.42578125" style="501" customWidth="1"/>
    <col min="2" max="2" width="9.140625" style="501"/>
    <col min="3" max="3" width="6.7109375" style="501" bestFit="1" customWidth="1"/>
    <col min="4" max="4" width="11.42578125" style="501" customWidth="1"/>
    <col min="5" max="5" width="20" style="501" bestFit="1" customWidth="1"/>
    <col min="6" max="6" width="14" style="501" customWidth="1"/>
    <col min="7" max="7" width="10.28515625" style="501" bestFit="1" customWidth="1"/>
    <col min="8" max="16384" width="9.140625" style="501"/>
  </cols>
  <sheetData>
    <row r="9" spans="3:7" ht="18.75" customHeight="1">
      <c r="C9" s="617" t="s">
        <v>599</v>
      </c>
      <c r="D9" s="618"/>
      <c r="E9" s="294" t="s">
        <v>1266</v>
      </c>
      <c r="F9" s="294" t="s">
        <v>1</v>
      </c>
    </row>
    <row r="10" spans="3:7" s="502" customFormat="1" ht="6" customHeight="1"/>
    <row r="11" spans="3:7" s="502" customFormat="1" ht="18.75" customHeight="1">
      <c r="C11" s="498">
        <v>46102</v>
      </c>
      <c r="D11" s="499" t="s">
        <v>901</v>
      </c>
      <c r="E11" s="503" t="s">
        <v>1270</v>
      </c>
      <c r="F11" s="505">
        <v>880.52</v>
      </c>
    </row>
    <row r="12" spans="3:7" s="502" customFormat="1" ht="11.25" customHeight="1"/>
    <row r="13" spans="3:7" ht="15.75" customHeight="1">
      <c r="C13" s="506">
        <v>46102</v>
      </c>
      <c r="D13" s="507" t="s">
        <v>901</v>
      </c>
      <c r="E13" s="508" t="s">
        <v>1269</v>
      </c>
      <c r="F13" s="509">
        <v>139.9</v>
      </c>
      <c r="G13" s="504"/>
    </row>
    <row r="14" spans="3:7" ht="15.75" customHeight="1">
      <c r="C14" s="506">
        <v>46102</v>
      </c>
      <c r="D14" s="507" t="s">
        <v>901</v>
      </c>
      <c r="E14" s="508" t="s">
        <v>1363</v>
      </c>
      <c r="F14" s="509">
        <v>740.62</v>
      </c>
      <c r="G14" s="504"/>
    </row>
    <row r="16" spans="3:7">
      <c r="E16" s="500" t="s">
        <v>1267</v>
      </c>
      <c r="F16" s="510">
        <f>SUM(F13:F14)</f>
        <v>880.52</v>
      </c>
    </row>
    <row r="17" spans="3:6">
      <c r="E17" s="500" t="s">
        <v>1268</v>
      </c>
      <c r="F17" s="511">
        <f>F11-F16</f>
        <v>0</v>
      </c>
    </row>
    <row r="20" spans="3:6" ht="21" customHeight="1">
      <c r="C20" s="619" t="s">
        <v>1271</v>
      </c>
      <c r="D20" s="619"/>
      <c r="E20" s="619"/>
      <c r="F20" s="619"/>
    </row>
    <row r="21" spans="3:6" ht="22.5" customHeight="1">
      <c r="C21" s="619"/>
      <c r="D21" s="619"/>
      <c r="E21" s="619"/>
      <c r="F21" s="619"/>
    </row>
  </sheetData>
  <mergeCells count="2">
    <mergeCell ref="C9:D9"/>
    <mergeCell ref="C20:F21"/>
  </mergeCells>
  <phoneticPr fontId="64" type="noConversion"/>
  <conditionalFormatting sqref="E16:E17">
    <cfRule type="containsText" dxfId="21" priority="49" operator="containsText" text="A receber">
      <formula>NOT(ISERROR(SEARCH("A receber",E16)))</formula>
    </cfRule>
    <cfRule type="containsText" dxfId="20" priority="50" operator="containsText" text="Resgate">
      <formula>NOT(ISERROR(SEARCH("Resgate",E16)))</formula>
    </cfRule>
    <cfRule type="containsText" dxfId="19" priority="51" operator="containsText" text="Aplicação">
      <formula>NOT(ISERROR(SEARCH("Aplicação",E16)))</formula>
    </cfRule>
    <cfRule type="containsText" dxfId="18" priority="52" operator="containsText" text="Provisionado DL">
      <formula>NOT(ISERROR(SEARCH("Provisionado DL",E16)))</formula>
    </cfRule>
    <cfRule type="containsText" dxfId="17" priority="53" operator="containsText" text=" Provisionado DV">
      <formula>NOT(ISERROR(SEARCH(" Provisionado DV",E16)))</formula>
    </cfRule>
    <cfRule type="containsText" dxfId="16" priority="54" operator="containsText" text="Provisionado">
      <formula>NOT(ISERROR(SEARCH("Provisionado",E16)))</formula>
    </cfRule>
    <cfRule type="containsText" dxfId="15" priority="55" operator="containsText" text="A resgatar">
      <formula>NOT(ISERROR(SEARCH("A resgatar",E16)))</formula>
    </cfRule>
    <cfRule type="containsText" dxfId="14" priority="56" operator="containsText" text="A aplicar">
      <formula>NOT(ISERROR(SEARCH("A aplicar",E16)))</formula>
    </cfRule>
    <cfRule type="containsText" dxfId="13" priority="57" operator="containsText" text="A repassar">
      <formula>NOT(ISERROR(SEARCH("A repassar",E16)))</formula>
    </cfRule>
    <cfRule type="containsText" dxfId="12" priority="58" operator="containsText" text="A pagar">
      <formula>NOT(ISERROR(SEARCH("A pagar",E16)))</formula>
    </cfRule>
    <cfRule type="containsText" dxfId="11" priority="59" operator="containsText" text="Resgatado">
      <formula>NOT(ISERROR(SEARCH("Resgatado",E16)))</formula>
    </cfRule>
    <cfRule type="containsText" dxfId="10" priority="60" operator="containsText" text="Aplicado">
      <formula>NOT(ISERROR(SEARCH("Aplicado",E16)))</formula>
    </cfRule>
    <cfRule type="containsText" dxfId="9" priority="61" operator="containsText" text="Repassado">
      <formula>NOT(ISERROR(SEARCH("Repassado",E16)))</formula>
    </cfRule>
    <cfRule type="containsText" dxfId="8" priority="62" operator="containsText" text="Pago">
      <formula>NOT(ISERROR(SEARCH("Pago",E16)))</formula>
    </cfRule>
    <cfRule type="containsText" dxfId="7" priority="63" operator="containsText" text="Recebido">
      <formula>NOT(ISERROR(SEARCH("Recebido",E16)))</formula>
    </cfRule>
    <cfRule type="containsText" dxfId="6" priority="64" operator="containsText" text="Saldo Inicial">
      <formula>NOT(ISERROR(SEARCH("Saldo Inicial",E16)))</formula>
    </cfRule>
  </conditionalFormatting>
  <pageMargins left="2.0699999999999998" right="0.511811024" top="0.78740157499999996" bottom="0.78740157499999996" header="0.31496062000000002" footer="0.31496062000000002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3513-B43B-46D9-807D-C9F627E5F9F3}">
  <sheetPr>
    <tabColor theme="1"/>
    <pageSetUpPr fitToPage="1"/>
  </sheetPr>
  <dimension ref="B1:P57"/>
  <sheetViews>
    <sheetView showGridLines="0" zoomScaleNormal="100" workbookViewId="0">
      <pane xSplit="1" ySplit="6" topLeftCell="B25" activePane="bottomRight" state="frozen"/>
      <selection activeCell="H33" sqref="H33"/>
      <selection pane="topRight" activeCell="H33" sqref="H33"/>
      <selection pane="bottomLeft" activeCell="H33" sqref="H33"/>
      <selection pane="bottomRight" activeCell="I32" sqref="I32"/>
    </sheetView>
  </sheetViews>
  <sheetFormatPr defaultRowHeight="11.25" outlineLevelRow="1"/>
  <cols>
    <col min="1" max="1" width="1" style="478" customWidth="1"/>
    <col min="2" max="2" width="9.140625" style="477"/>
    <col min="3" max="3" width="10.7109375" style="477" bestFit="1" customWidth="1"/>
    <col min="4" max="4" width="0.85546875" style="477" customWidth="1"/>
    <col min="5" max="5" width="25.140625" style="477" customWidth="1"/>
    <col min="6" max="6" width="21.85546875" style="477" customWidth="1"/>
    <col min="7" max="7" width="1.85546875" style="477" customWidth="1"/>
    <col min="8" max="8" width="17.7109375" style="488" bestFit="1" customWidth="1"/>
    <col min="9" max="9" width="30.7109375" style="488" bestFit="1" customWidth="1"/>
    <col min="10" max="10" width="15.140625" style="488" bestFit="1" customWidth="1"/>
    <col min="11" max="11" width="24.85546875" style="477" bestFit="1" customWidth="1"/>
    <col min="12" max="12" width="9.28515625" style="477" bestFit="1" customWidth="1"/>
    <col min="13" max="13" width="14.28515625" style="477" bestFit="1" customWidth="1"/>
    <col min="14" max="14" width="7" style="477" customWidth="1"/>
    <col min="15" max="15" width="18" style="477" customWidth="1"/>
    <col min="16" max="16" width="14.28515625" style="477" bestFit="1" customWidth="1"/>
    <col min="17" max="16384" width="9.140625" style="478"/>
  </cols>
  <sheetData>
    <row r="1" spans="2:16" s="421" customFormat="1" ht="12.75">
      <c r="H1" s="487"/>
      <c r="I1" s="487"/>
      <c r="J1" s="487"/>
    </row>
    <row r="2" spans="2:16" s="421" customFormat="1" ht="12.75">
      <c r="H2" s="487"/>
      <c r="I2" s="487"/>
      <c r="J2" s="487"/>
    </row>
    <row r="3" spans="2:16" s="421" customFormat="1" ht="12.75">
      <c r="H3" s="487"/>
      <c r="I3" s="487"/>
      <c r="J3" s="487"/>
    </row>
    <row r="4" spans="2:16" s="421" customFormat="1" ht="12.75">
      <c r="H4" s="487"/>
      <c r="I4" s="487"/>
      <c r="J4" s="487"/>
    </row>
    <row r="5" spans="2:16" s="421" customFormat="1" ht="12.75">
      <c r="H5" s="487"/>
      <c r="I5" s="487"/>
      <c r="J5" s="487"/>
    </row>
    <row r="6" spans="2:16" s="421" customFormat="1" ht="26.25" customHeight="1">
      <c r="C6" s="608" t="s">
        <v>1148</v>
      </c>
      <c r="D6" s="608"/>
      <c r="E6" s="608"/>
      <c r="F6" s="608"/>
      <c r="G6" s="608"/>
      <c r="H6" s="489" t="s">
        <v>1245</v>
      </c>
      <c r="I6" s="489" t="s">
        <v>1290</v>
      </c>
      <c r="J6" s="489" t="s">
        <v>1246</v>
      </c>
      <c r="K6" s="489" t="s">
        <v>1249</v>
      </c>
    </row>
    <row r="8" spans="2:16" s="481" customFormat="1" ht="22.5" customHeight="1">
      <c r="B8" s="480"/>
      <c r="C8" s="490" t="s">
        <v>1133</v>
      </c>
      <c r="D8" s="490"/>
      <c r="E8" s="490"/>
      <c r="F8" s="490"/>
      <c r="G8" s="490"/>
      <c r="H8" s="490"/>
      <c r="I8" s="490"/>
      <c r="J8" s="490"/>
      <c r="K8" s="490"/>
      <c r="L8" s="480"/>
      <c r="M8" s="480"/>
      <c r="N8" s="480"/>
      <c r="O8" s="480"/>
      <c r="P8" s="480"/>
    </row>
    <row r="9" spans="2:16" ht="12">
      <c r="C9" s="482" t="s">
        <v>1134</v>
      </c>
      <c r="D9" s="482"/>
      <c r="E9" s="482"/>
      <c r="F9" s="483"/>
      <c r="G9" s="491"/>
      <c r="H9" s="492" t="s">
        <v>1256</v>
      </c>
      <c r="I9" s="492" t="s">
        <v>1257</v>
      </c>
      <c r="J9" s="493">
        <v>36600</v>
      </c>
      <c r="K9" s="492" t="s">
        <v>1258</v>
      </c>
    </row>
    <row r="10" spans="2:16" ht="12">
      <c r="C10" s="482" t="s">
        <v>1135</v>
      </c>
      <c r="D10" s="482"/>
      <c r="E10" s="482"/>
      <c r="F10" s="483"/>
      <c r="G10" s="483"/>
      <c r="H10" s="492" t="s">
        <v>1251</v>
      </c>
      <c r="I10" s="492" t="s">
        <v>1252</v>
      </c>
      <c r="J10" s="493">
        <v>45000</v>
      </c>
      <c r="K10" s="492" t="s">
        <v>1285</v>
      </c>
      <c r="L10" s="512"/>
    </row>
    <row r="11" spans="2:16" ht="12">
      <c r="C11" s="425"/>
      <c r="D11" s="425"/>
      <c r="E11" s="425"/>
    </row>
    <row r="12" spans="2:16" s="481" customFormat="1" ht="22.5" customHeight="1">
      <c r="B12" s="480"/>
      <c r="C12" s="490" t="s">
        <v>1143</v>
      </c>
      <c r="D12" s="490"/>
      <c r="E12" s="490"/>
      <c r="F12" s="490"/>
      <c r="G12" s="490"/>
      <c r="H12" s="490"/>
      <c r="I12" s="490"/>
      <c r="J12" s="490"/>
      <c r="K12" s="490"/>
      <c r="L12" s="480"/>
      <c r="M12" s="480"/>
      <c r="N12" s="480"/>
      <c r="O12" s="480"/>
      <c r="P12" s="480"/>
    </row>
    <row r="13" spans="2:16" ht="12">
      <c r="C13" s="482" t="s">
        <v>1136</v>
      </c>
      <c r="D13" s="482"/>
      <c r="E13" s="482"/>
      <c r="F13" s="491"/>
      <c r="G13" s="491"/>
      <c r="H13" s="623" t="s">
        <v>1247</v>
      </c>
      <c r="I13" s="620" t="s">
        <v>1248</v>
      </c>
      <c r="J13" s="627">
        <v>18307</v>
      </c>
      <c r="K13" s="620" t="s">
        <v>131</v>
      </c>
    </row>
    <row r="14" spans="2:16" ht="12">
      <c r="C14" s="482" t="s">
        <v>1137</v>
      </c>
      <c r="D14" s="482"/>
      <c r="E14" s="482"/>
      <c r="F14" s="483"/>
      <c r="G14" s="483"/>
      <c r="H14" s="626"/>
      <c r="I14" s="621"/>
      <c r="J14" s="627"/>
      <c r="K14" s="621"/>
    </row>
    <row r="15" spans="2:16" ht="12">
      <c r="C15" s="482" t="s">
        <v>1138</v>
      </c>
      <c r="D15" s="482"/>
      <c r="E15" s="482"/>
      <c r="F15" s="483"/>
      <c r="G15" s="483"/>
      <c r="H15" s="626"/>
      <c r="I15" s="621"/>
      <c r="J15" s="627"/>
      <c r="K15" s="621"/>
    </row>
    <row r="16" spans="2:16" ht="12">
      <c r="C16" s="482" t="s">
        <v>1139</v>
      </c>
      <c r="D16" s="482"/>
      <c r="E16" s="482"/>
      <c r="F16" s="483"/>
      <c r="G16" s="483"/>
      <c r="H16" s="626"/>
      <c r="I16" s="621"/>
      <c r="J16" s="627"/>
      <c r="K16" s="621"/>
    </row>
    <row r="17" spans="2:16" ht="12">
      <c r="C17" s="482" t="s">
        <v>1140</v>
      </c>
      <c r="D17" s="482"/>
      <c r="E17" s="482"/>
      <c r="F17" s="483"/>
      <c r="G17" s="483"/>
      <c r="H17" s="626"/>
      <c r="I17" s="621"/>
      <c r="J17" s="627"/>
      <c r="K17" s="621"/>
    </row>
    <row r="18" spans="2:16" ht="12">
      <c r="C18" s="425"/>
      <c r="D18" s="425"/>
      <c r="E18" s="425"/>
    </row>
    <row r="19" spans="2:16" s="481" customFormat="1" ht="22.5" customHeight="1">
      <c r="B19" s="480"/>
      <c r="C19" s="490" t="s">
        <v>1144</v>
      </c>
      <c r="D19" s="490"/>
      <c r="E19" s="490"/>
      <c r="F19" s="490"/>
      <c r="G19" s="490"/>
      <c r="H19" s="490"/>
      <c r="I19" s="490"/>
      <c r="J19" s="490"/>
      <c r="K19" s="490"/>
      <c r="L19" s="480"/>
      <c r="M19" s="480"/>
      <c r="N19" s="480"/>
      <c r="O19" s="480"/>
      <c r="P19" s="480"/>
    </row>
    <row r="20" spans="2:16" ht="12" customHeight="1">
      <c r="C20" s="624" t="s">
        <v>1145</v>
      </c>
      <c r="D20" s="624"/>
      <c r="E20" s="624"/>
      <c r="F20" s="624"/>
      <c r="G20" s="483"/>
      <c r="H20" s="622" t="s">
        <v>1250</v>
      </c>
      <c r="I20" s="492" t="s">
        <v>1318</v>
      </c>
      <c r="J20" s="493">
        <v>9500.52</v>
      </c>
      <c r="K20" s="492" t="s">
        <v>1284</v>
      </c>
      <c r="L20" s="512"/>
    </row>
    <row r="21" spans="2:16" ht="12" customHeight="1">
      <c r="C21" s="625"/>
      <c r="D21" s="625"/>
      <c r="E21" s="625"/>
      <c r="F21" s="625"/>
      <c r="G21" s="483"/>
      <c r="H21" s="623"/>
      <c r="I21" s="492" t="s">
        <v>1319</v>
      </c>
      <c r="J21" s="493">
        <v>13094.4</v>
      </c>
      <c r="K21" s="492" t="s">
        <v>1321</v>
      </c>
      <c r="L21" s="512"/>
    </row>
    <row r="22" spans="2:16" ht="12" customHeight="1">
      <c r="C22" s="625"/>
      <c r="D22" s="625"/>
      <c r="E22" s="625"/>
      <c r="F22" s="625"/>
      <c r="G22" s="483"/>
      <c r="H22" s="623"/>
      <c r="I22" s="492" t="s">
        <v>1320</v>
      </c>
      <c r="J22" s="493">
        <v>6660</v>
      </c>
      <c r="K22" s="492" t="s">
        <v>1322</v>
      </c>
    </row>
    <row r="23" spans="2:16" ht="12">
      <c r="C23" s="425"/>
      <c r="D23" s="425"/>
      <c r="E23" s="425"/>
    </row>
    <row r="24" spans="2:16" s="481" customFormat="1" ht="22.5" customHeight="1">
      <c r="B24" s="480"/>
      <c r="C24" s="520" t="s">
        <v>1149</v>
      </c>
      <c r="D24" s="520"/>
      <c r="E24" s="520"/>
      <c r="F24" s="520"/>
      <c r="G24" s="520"/>
      <c r="H24" s="520"/>
      <c r="I24" s="520"/>
      <c r="J24" s="520"/>
      <c r="K24" s="520"/>
      <c r="L24" s="480"/>
      <c r="M24" s="477"/>
      <c r="N24" s="480"/>
      <c r="O24" s="480"/>
      <c r="P24" s="480"/>
    </row>
    <row r="25" spans="2:16" ht="12">
      <c r="C25" s="517" t="s">
        <v>1152</v>
      </c>
      <c r="D25" s="517"/>
      <c r="E25" s="517"/>
      <c r="F25" s="519"/>
      <c r="G25" s="519"/>
      <c r="H25" s="628" t="s">
        <v>131</v>
      </c>
      <c r="I25" s="628" t="s">
        <v>131</v>
      </c>
      <c r="J25" s="628" t="s">
        <v>131</v>
      </c>
      <c r="K25" s="628" t="s">
        <v>131</v>
      </c>
      <c r="M25" s="513"/>
    </row>
    <row r="26" spans="2:16" ht="12">
      <c r="C26" s="517" t="s">
        <v>1146</v>
      </c>
      <c r="D26" s="517"/>
      <c r="E26" s="517"/>
      <c r="F26" s="518"/>
      <c r="G26" s="518"/>
      <c r="H26" s="628"/>
      <c r="I26" s="628"/>
      <c r="J26" s="628"/>
      <c r="K26" s="628"/>
    </row>
    <row r="27" spans="2:16" ht="12">
      <c r="C27" s="482" t="s">
        <v>1150</v>
      </c>
      <c r="D27" s="482"/>
      <c r="E27" s="482"/>
      <c r="F27" s="494"/>
      <c r="G27" s="494"/>
      <c r="H27" s="626" t="s">
        <v>1298</v>
      </c>
      <c r="I27" s="626" t="s">
        <v>1299</v>
      </c>
      <c r="J27" s="629">
        <v>963</v>
      </c>
      <c r="K27" s="626" t="s">
        <v>1300</v>
      </c>
      <c r="M27" s="514"/>
    </row>
    <row r="28" spans="2:16" ht="12">
      <c r="C28" s="482" t="s">
        <v>1151</v>
      </c>
      <c r="D28" s="482"/>
      <c r="E28" s="482"/>
      <c r="F28" s="494"/>
      <c r="G28" s="494"/>
      <c r="H28" s="626"/>
      <c r="I28" s="626"/>
      <c r="J28" s="629"/>
      <c r="K28" s="626"/>
      <c r="M28" s="514"/>
    </row>
    <row r="29" spans="2:16" ht="12">
      <c r="C29" s="517" t="s">
        <v>1151</v>
      </c>
      <c r="D29" s="517"/>
      <c r="E29" s="517"/>
      <c r="F29" s="518"/>
      <c r="G29" s="518"/>
      <c r="H29" s="523" t="s">
        <v>131</v>
      </c>
      <c r="I29" s="523" t="s">
        <v>131</v>
      </c>
      <c r="J29" s="524" t="s">
        <v>131</v>
      </c>
      <c r="K29" s="523" t="s">
        <v>131</v>
      </c>
    </row>
    <row r="30" spans="2:16" ht="12">
      <c r="C30" s="425"/>
      <c r="D30" s="425"/>
      <c r="E30" s="425"/>
      <c r="F30" s="495"/>
      <c r="G30" s="495"/>
      <c r="H30" s="496"/>
      <c r="I30" s="496"/>
      <c r="J30" s="496"/>
      <c r="K30" s="495"/>
      <c r="M30" s="513"/>
    </row>
    <row r="31" spans="2:16" s="481" customFormat="1" ht="22.5" customHeight="1">
      <c r="B31" s="480"/>
      <c r="C31" s="520" t="s">
        <v>1147</v>
      </c>
      <c r="D31" s="520"/>
      <c r="E31" s="520"/>
      <c r="F31" s="520"/>
      <c r="G31" s="520"/>
      <c r="H31" s="520"/>
      <c r="I31" s="520"/>
      <c r="J31" s="520"/>
      <c r="K31" s="520"/>
      <c r="L31" s="480"/>
      <c r="M31" s="480"/>
      <c r="N31" s="480"/>
      <c r="O31" s="480"/>
      <c r="P31" s="480"/>
    </row>
    <row r="32" spans="2:16" ht="12">
      <c r="C32" s="525" t="s">
        <v>1141</v>
      </c>
      <c r="D32" s="525"/>
      <c r="E32" s="525"/>
      <c r="F32" s="526"/>
      <c r="G32" s="526"/>
      <c r="H32" s="527" t="s">
        <v>1396</v>
      </c>
      <c r="I32" s="527" t="s">
        <v>131</v>
      </c>
      <c r="J32" s="527" t="s">
        <v>131</v>
      </c>
      <c r="K32" s="527" t="s">
        <v>131</v>
      </c>
    </row>
    <row r="33" spans="2:16" ht="12">
      <c r="C33" s="525" t="s">
        <v>1142</v>
      </c>
      <c r="D33" s="525"/>
      <c r="E33" s="525"/>
      <c r="F33" s="526"/>
      <c r="G33" s="526"/>
      <c r="H33" s="527" t="s">
        <v>1396</v>
      </c>
      <c r="I33" s="527" t="s">
        <v>131</v>
      </c>
      <c r="J33" s="527" t="s">
        <v>131</v>
      </c>
      <c r="K33" s="527" t="s">
        <v>131</v>
      </c>
    </row>
    <row r="34" spans="2:16" ht="12">
      <c r="C34" s="425"/>
      <c r="D34" s="425"/>
      <c r="E34" s="425"/>
      <c r="F34" s="495"/>
      <c r="G34" s="495"/>
      <c r="H34" s="495"/>
      <c r="I34" s="495"/>
      <c r="J34" s="495"/>
      <c r="K34" s="495"/>
    </row>
    <row r="35" spans="2:16" s="481" customFormat="1" ht="22.5" customHeight="1">
      <c r="B35" s="480"/>
      <c r="C35" s="490" t="s">
        <v>1332</v>
      </c>
      <c r="D35" s="490"/>
      <c r="E35" s="490"/>
      <c r="F35" s="490"/>
      <c r="G35" s="490"/>
      <c r="H35" s="490"/>
      <c r="I35" s="490"/>
      <c r="J35" s="490"/>
      <c r="K35" s="490"/>
      <c r="L35" s="480"/>
      <c r="M35" s="480"/>
      <c r="N35" s="480"/>
      <c r="O35" s="480"/>
      <c r="P35" s="480"/>
    </row>
    <row r="36" spans="2:16" ht="12">
      <c r="C36" s="482" t="s">
        <v>1333</v>
      </c>
      <c r="D36" s="482"/>
      <c r="E36" s="482"/>
      <c r="F36" s="494"/>
      <c r="G36" s="494"/>
      <c r="H36" s="492" t="s">
        <v>1334</v>
      </c>
      <c r="I36" s="492" t="s">
        <v>1335</v>
      </c>
      <c r="J36" s="493">
        <v>21750</v>
      </c>
      <c r="K36" s="492" t="s">
        <v>1258</v>
      </c>
    </row>
    <row r="38" spans="2:16" s="481" customFormat="1" ht="22.5" customHeight="1">
      <c r="B38" s="480"/>
      <c r="C38" s="490" t="s">
        <v>1336</v>
      </c>
      <c r="D38" s="490"/>
      <c r="E38" s="490"/>
      <c r="F38" s="490"/>
      <c r="G38" s="490"/>
      <c r="H38" s="490"/>
      <c r="I38" s="490"/>
      <c r="J38" s="490"/>
      <c r="K38" s="490"/>
      <c r="L38" s="480"/>
      <c r="M38" s="480"/>
      <c r="N38" s="480"/>
      <c r="O38" s="480"/>
      <c r="P38" s="480"/>
    </row>
    <row r="39" spans="2:16" ht="12">
      <c r="C39" s="482" t="s">
        <v>1333</v>
      </c>
      <c r="D39" s="482"/>
      <c r="E39" s="482"/>
      <c r="F39" s="494"/>
      <c r="G39" s="494"/>
      <c r="H39" s="492" t="s">
        <v>1337</v>
      </c>
      <c r="I39" s="492" t="s">
        <v>1357</v>
      </c>
      <c r="J39" s="493">
        <v>4900</v>
      </c>
      <c r="K39" s="492" t="s">
        <v>1300</v>
      </c>
    </row>
    <row r="53" spans="2:16" s="479" customFormat="1">
      <c r="B53" s="477"/>
      <c r="C53" s="477"/>
      <c r="D53" s="477"/>
      <c r="E53" s="477"/>
      <c r="F53" s="477"/>
      <c r="G53" s="477"/>
      <c r="H53" s="488"/>
      <c r="I53" s="488"/>
      <c r="J53" s="488"/>
      <c r="K53" s="477"/>
      <c r="L53" s="477"/>
      <c r="M53" s="477"/>
      <c r="N53" s="477"/>
      <c r="O53" s="477"/>
      <c r="P53" s="477"/>
    </row>
    <row r="54" spans="2:16" ht="16.5" customHeight="1" outlineLevel="1"/>
    <row r="55" spans="2:16" ht="17.25" customHeight="1"/>
    <row r="56" spans="2:16" ht="17.25" customHeight="1"/>
    <row r="57" spans="2:16" ht="6" customHeight="1"/>
  </sheetData>
  <mergeCells count="15">
    <mergeCell ref="H25:H26"/>
    <mergeCell ref="I25:I26"/>
    <mergeCell ref="J25:J26"/>
    <mergeCell ref="K25:K26"/>
    <mergeCell ref="H27:H28"/>
    <mergeCell ref="I27:I28"/>
    <mergeCell ref="J27:J28"/>
    <mergeCell ref="K27:K28"/>
    <mergeCell ref="C6:G6"/>
    <mergeCell ref="K13:K17"/>
    <mergeCell ref="H20:H22"/>
    <mergeCell ref="C20:F22"/>
    <mergeCell ref="H13:H17"/>
    <mergeCell ref="J13:J17"/>
    <mergeCell ref="I13:I17"/>
  </mergeCells>
  <pageMargins left="0.48" right="0" top="0.35433070866141736" bottom="0.78740157480314965" header="0.25" footer="0.31496062992125984"/>
  <pageSetup paperSize="9" scale="68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0B65-8BB7-4740-BE8C-B879226AE570}">
  <sheetPr>
    <tabColor theme="1"/>
    <pageSetUpPr fitToPage="1"/>
  </sheetPr>
  <dimension ref="C5:O90"/>
  <sheetViews>
    <sheetView showGridLines="0" topLeftCell="A21" zoomScaleNormal="100" workbookViewId="0">
      <selection activeCell="H32" sqref="H32"/>
    </sheetView>
  </sheetViews>
  <sheetFormatPr defaultRowHeight="14.25" customHeight="1" outlineLevelRow="1" outlineLevelCol="1"/>
  <cols>
    <col min="1" max="1" width="0.7109375" style="264" customWidth="1"/>
    <col min="2" max="2" width="9.140625" style="264"/>
    <col min="3" max="3" width="23.140625" style="264" bestFit="1" customWidth="1"/>
    <col min="4" max="4" width="9" style="264" bestFit="1" customWidth="1"/>
    <col min="5" max="5" width="14.28515625" style="264" bestFit="1" customWidth="1"/>
    <col min="6" max="6" width="12.85546875" style="264" customWidth="1"/>
    <col min="7" max="7" width="17.42578125" style="264" customWidth="1"/>
    <col min="8" max="8" width="15.85546875" style="264" customWidth="1" outlineLevel="1"/>
    <col min="9" max="9" width="16" style="264" bestFit="1" customWidth="1"/>
    <col min="10" max="10" width="12.85546875" style="264" bestFit="1" customWidth="1"/>
    <col min="11" max="11" width="17.7109375" style="264" customWidth="1"/>
    <col min="12" max="12" width="14.7109375" style="264" bestFit="1" customWidth="1"/>
    <col min="13" max="13" width="14.28515625" style="264" bestFit="1" customWidth="1"/>
    <col min="14" max="14" width="9.140625" style="264"/>
    <col min="15" max="15" width="11.85546875" style="264" bestFit="1" customWidth="1"/>
    <col min="16" max="16384" width="9.140625" style="264"/>
  </cols>
  <sheetData>
    <row r="5" spans="3:13" s="45" customFormat="1" ht="14.25" customHeight="1"/>
    <row r="6" spans="3:13" s="45" customFormat="1" ht="26.25" customHeight="1">
      <c r="C6" s="631" t="s">
        <v>572</v>
      </c>
      <c r="D6" s="631"/>
      <c r="E6" s="631"/>
      <c r="F6" s="631"/>
      <c r="G6" s="631"/>
      <c r="H6" s="631"/>
      <c r="I6" s="631"/>
    </row>
    <row r="7" spans="3:13" s="45" customFormat="1" ht="14.25" customHeight="1">
      <c r="C7" s="275"/>
      <c r="D7" s="275"/>
      <c r="E7" s="275"/>
    </row>
    <row r="8" spans="3:13" s="45" customFormat="1" ht="14.25" customHeight="1">
      <c r="C8" s="281" t="s">
        <v>667</v>
      </c>
      <c r="D8" s="281"/>
      <c r="E8" s="282"/>
      <c r="F8" s="282"/>
      <c r="G8" s="282"/>
      <c r="H8" s="282"/>
      <c r="I8" s="286">
        <v>977343.79</v>
      </c>
    </row>
    <row r="9" spans="3:13" s="45" customFormat="1" ht="14.25" customHeight="1">
      <c r="C9" s="281" t="s">
        <v>668</v>
      </c>
      <c r="D9" s="281"/>
      <c r="E9" s="282"/>
      <c r="F9" s="282"/>
      <c r="G9" s="282"/>
      <c r="H9" s="282"/>
      <c r="I9" s="286">
        <v>59833.34</v>
      </c>
    </row>
    <row r="10" spans="3:13" s="45" customFormat="1" ht="14.25" customHeight="1">
      <c r="C10" s="281" t="s">
        <v>668</v>
      </c>
      <c r="D10" s="281"/>
      <c r="E10" s="282"/>
      <c r="F10" s="282"/>
      <c r="G10" s="282"/>
      <c r="H10" s="282"/>
      <c r="I10" s="286">
        <v>92400</v>
      </c>
    </row>
    <row r="11" spans="3:13" s="45" customFormat="1" ht="14.25" customHeight="1">
      <c r="C11" s="281" t="s">
        <v>875</v>
      </c>
      <c r="D11" s="281"/>
      <c r="E11" s="282"/>
      <c r="F11" s="282"/>
      <c r="G11" s="282"/>
      <c r="H11" s="282"/>
      <c r="I11" s="286">
        <v>6150.5</v>
      </c>
    </row>
    <row r="12" spans="3:13" s="45" customFormat="1" ht="14.25" customHeight="1">
      <c r="C12" s="283" t="s">
        <v>594</v>
      </c>
      <c r="D12" s="283"/>
      <c r="E12" s="284"/>
      <c r="F12" s="284"/>
      <c r="G12" s="284"/>
      <c r="H12" s="284"/>
      <c r="I12" s="285">
        <v>20813.240000000002</v>
      </c>
    </row>
    <row r="13" spans="3:13" s="45" customFormat="1" ht="14.25" customHeight="1">
      <c r="C13" s="107"/>
      <c r="D13" s="107"/>
      <c r="I13" s="291">
        <f>SUM(I8:I12)</f>
        <v>1156540.8699999999</v>
      </c>
      <c r="J13" s="164"/>
      <c r="K13" s="250"/>
    </row>
    <row r="14" spans="3:13" s="45" customFormat="1" ht="14.25" customHeight="1">
      <c r="J14" s="164"/>
      <c r="K14" s="250"/>
    </row>
    <row r="15" spans="3:13" s="45" customFormat="1" ht="14.25" customHeight="1">
      <c r="C15" s="320" t="s">
        <v>876</v>
      </c>
      <c r="J15" s="164"/>
    </row>
    <row r="16" spans="3:13" s="45" customFormat="1" ht="14.25" customHeight="1">
      <c r="C16" s="321" t="s">
        <v>135</v>
      </c>
      <c r="D16" s="321"/>
      <c r="E16" s="322"/>
      <c r="F16" s="322"/>
      <c r="G16" s="322"/>
      <c r="H16" s="322"/>
      <c r="I16" s="250">
        <f>-1*(SUMIFS(Aramburu_Mensal!$O$6:$O$1251,Aramburu_Mensal!$E$6:$E$1251,"2.7.2 – Obras e Melhorias (infraestrutura)",Aramburu_Mensal!$I$6:$I$1251,"Ordem de Compra",Aramburu_Mensal!$N$6:$N$1251,"Pago")+SUMIFS(Aramburu_Mensal!$O$6:$O$1251,Aramburu_Mensal!$E$6:$E$1251,"2.7.2 – Obras e Melhorias (infraestrutura)",Aramburu_Mensal!$I$6:$I$1251,"Projeto",Aramburu_Mensal!$N$6:$N$1251,"Pago"))</f>
        <v>75839.090000000011</v>
      </c>
      <c r="J16" s="164"/>
      <c r="K16"/>
      <c r="L16"/>
      <c r="M16"/>
    </row>
    <row r="17" spans="3:15" s="45" customFormat="1" ht="14.25" customHeight="1">
      <c r="C17" s="323" t="s">
        <v>151</v>
      </c>
      <c r="D17" s="323"/>
      <c r="E17" s="324"/>
      <c r="F17" s="324"/>
      <c r="G17" s="324"/>
      <c r="H17" s="324"/>
      <c r="I17" s="250">
        <f>-1*(SUMIFS(Aramburu_Mensal!$O$6:$O$1251,Aramburu_Mensal!$E$6:$E$1251,"2.7.2 – Obras e Melhorias (infraestrutura)",Aramburu_Mensal!$I$6:$I$1251,"Ordem de Compra",Aramburu_Mensal!$N$6:$N$1251,"A pagar")+SUMIFS(Aramburu_Mensal!$O$6:$O$1251,Aramburu_Mensal!$E$6:$E$1251,"2.7.2 – Obras e Melhorias (infraestrutura)",Aramburu_Mensal!$I$6:$I$1251,"Projeto",Aramburu_Mensal!$N$6:$N$1251,"A pagar"))</f>
        <v>0</v>
      </c>
      <c r="J17" s="164"/>
      <c r="K17"/>
      <c r="M17"/>
    </row>
    <row r="18" spans="3:15" s="45" customFormat="1" ht="14.25" customHeight="1">
      <c r="C18" s="323" t="s">
        <v>28</v>
      </c>
      <c r="D18" s="323"/>
      <c r="E18" s="324"/>
      <c r="F18" s="324"/>
      <c r="G18" s="324"/>
      <c r="H18" s="324"/>
      <c r="I18" s="152">
        <f>-1*(SUMIFS(Aramburu_Mensal!$O$6:$O$1251,Aramburu_Mensal!$E$6:$E$1251,"2.7.2 – Obras e Melhorias (infraestrutura)",Aramburu_Mensal!$I$6:$I$1251,"Ordem de Compra",Aramburu_Mensal!$N$6:$N$1251,"Provisionado")+SUMIFS(Aramburu_Mensal!$O$6:$O$1251,Aramburu_Mensal!$E$6:$E$1251,"2.7.2 – Obras e Melhorias (infraestrutura)",Aramburu_Mensal!$I$6:$I$1251,"Projeto",Aramburu_Mensal!$N$6:$N$1251,"Provisionado"))</f>
        <v>0</v>
      </c>
      <c r="K18"/>
      <c r="L18"/>
      <c r="M18"/>
    </row>
    <row r="19" spans="3:15" s="45" customFormat="1" ht="14.25" customHeight="1">
      <c r="C19" s="142"/>
      <c r="D19" s="142"/>
      <c r="E19" s="60"/>
      <c r="F19" s="60"/>
      <c r="G19" s="60"/>
      <c r="H19" s="60"/>
      <c r="I19" s="328">
        <f>SUM(I16:I18)</f>
        <v>75839.090000000011</v>
      </c>
      <c r="K19"/>
      <c r="L19"/>
      <c r="M19"/>
    </row>
    <row r="20" spans="3:15" s="45" customFormat="1" ht="14.25" customHeight="1">
      <c r="C20" s="142"/>
      <c r="D20" s="142"/>
      <c r="E20" s="60"/>
      <c r="F20" s="60"/>
      <c r="G20" s="60"/>
      <c r="H20" s="60"/>
      <c r="I20" s="152"/>
      <c r="K20"/>
      <c r="L20"/>
      <c r="M20"/>
    </row>
    <row r="21" spans="3:15" s="45" customFormat="1" ht="14.25" customHeight="1">
      <c r="C21" s="319" t="s">
        <v>624</v>
      </c>
      <c r="D21" s="142"/>
      <c r="E21" s="60"/>
      <c r="F21" s="60"/>
      <c r="G21" s="60"/>
      <c r="H21" s="60"/>
      <c r="I21" s="152"/>
      <c r="K21"/>
      <c r="L21"/>
      <c r="M21"/>
    </row>
    <row r="22" spans="3:15" s="45" customFormat="1" ht="14.25" customHeight="1">
      <c r="C22" s="321" t="s">
        <v>135</v>
      </c>
      <c r="D22" s="278"/>
      <c r="E22" s="279"/>
      <c r="F22" s="279"/>
      <c r="G22" s="279"/>
      <c r="H22" s="279"/>
      <c r="I22" s="250">
        <f>-1*(SUMIFS(Aramburu_Mensal!$O$6:$O$1251,Aramburu_Mensal!$E$6:$E$1251,"2.7.2 – Obras e Melhorias (infraestrutura)",Aramburu_Mensal!$I$6:$I$1251,"Medição 04",Aramburu_Mensal!$N$6:$N$1251,"Pago"))+(-1*(SUMIFS(Aramburu_Mensal!$O$6:$O$1251,Aramburu_Mensal!$E$6:$E$1251,"2.7.2 – Obras e Melhorias (infraestrutura)",Aramburu_Mensal!$I$6:$I$1251,"Medição 05",Aramburu_Mensal!$N$6:$N$1251,"Pago")))+(-1*(SUMIFS(Aramburu_Mensal!$O$6:$O$1251,Aramburu_Mensal!$E$6:$E$1251,"2.7.2 – Obras e Melhorias (infraestrutura)",Aramburu_Mensal!$I$6:$I$1251,"Medição 06",Aramburu_Mensal!$N$6:$N$1251,"Pago")))+(-1*(SUMIFS(Aramburu_Mensal!$O$6:$O$1251,Aramburu_Mensal!$E$6:$E$1251,"2.7.2 – Obras e Melhorias (infraestrutura)",Aramburu_Mensal!$I$6:$I$1251,"Retenção",Aramburu_Mensal!$N$6:$N$1251,"Pago")))</f>
        <v>24024.639999999999</v>
      </c>
      <c r="J22" s="164"/>
      <c r="K22"/>
      <c r="L22"/>
      <c r="M22"/>
    </row>
    <row r="23" spans="3:15" s="45" customFormat="1" ht="14.25" customHeight="1">
      <c r="C23" s="323" t="s">
        <v>151</v>
      </c>
      <c r="D23" s="278"/>
      <c r="E23" s="279"/>
      <c r="F23" s="279"/>
      <c r="G23" s="279"/>
      <c r="H23" s="279"/>
      <c r="I23" s="250">
        <f>-1*(SUMIFS(Aramburu_Mensal!$O$6:$O$1251,Aramburu_Mensal!$E$6:$E$1251,"2.7.2 – Obras e Melhorias (infraestrutura)",Aramburu_Mensal!$I$6:$I$1251,"Medição 04",Aramburu_Mensal!$N$6:$N$1251,"A pagar"))+(-1*(SUMIFS(Aramburu_Mensal!$O$6:$O$1251,Aramburu_Mensal!$E$6:$E$1251,"2.7.2 – Obras e Melhorias (infraestrutura)",Aramburu_Mensal!$I$6:$I$1251,"Medição 05",Aramburu_Mensal!$N$6:$N$1251,"A pagar")))+(-1*(SUMIFS(Aramburu_Mensal!$O$6:$O$1251,Aramburu_Mensal!$E$6:$E$1251,"2.7.2 – Obras e Melhorias (infraestrutura)",Aramburu_Mensal!$I$6:$I$1251,"Medição 06",Aramburu_Mensal!$N$6:$N$1251,"A pagar")))+(-1*(SUMIFS(Aramburu_Mensal!$O$6:$O$1251,Aramburu_Mensal!$E$6:$E$1251,"2.7.2 – Obras e Melhorias (infraestrutura)",Aramburu_Mensal!$I$6:$I$1251,"Retenção",Aramburu_Mensal!$N$6:$N$1251,"A pagar")))</f>
        <v>0</v>
      </c>
      <c r="K23" s="164"/>
      <c r="L23"/>
      <c r="M23"/>
      <c r="N23" s="345"/>
      <c r="O23"/>
    </row>
    <row r="24" spans="3:15" s="45" customFormat="1" ht="12.75">
      <c r="C24" s="323" t="s">
        <v>627</v>
      </c>
      <c r="D24" s="278"/>
      <c r="E24" s="279"/>
      <c r="F24" s="279"/>
      <c r="G24" s="279"/>
      <c r="H24" s="279"/>
      <c r="I24" s="250">
        <f>-1*(SUMIFS(Aramburu_Mensal!$O$6:$O$1251,Aramburu_Mensal!$E$6:$E$1251,"2.7.2 – Obras e Melhorias (infraestrutura)",Aramburu_Mensal!$I$6:$I$1251,"Medição 04",Aramburu_Mensal!$N$6:$N$1251,"Provisionado"))</f>
        <v>0</v>
      </c>
      <c r="K24" s="113"/>
      <c r="L24"/>
      <c r="M24"/>
      <c r="N24"/>
      <c r="O24"/>
    </row>
    <row r="25" spans="3:15" s="45" customFormat="1" ht="12.75">
      <c r="C25" s="323" t="s">
        <v>868</v>
      </c>
      <c r="D25" s="278"/>
      <c r="E25" s="279"/>
      <c r="F25" s="279"/>
      <c r="G25" s="279"/>
      <c r="H25" s="279"/>
      <c r="I25" s="250">
        <f>-1*(SUMIFS(Aramburu_Mensal!$O$6:$O$1251,Aramburu_Mensal!$E$6:$E$1251,"2.7.2 – Obras e Melhorias (infraestrutura)",Aramburu_Mensal!$I$6:$I$1251,"Medição 05",Aramburu_Mensal!$N$6:$N$1251,"Provisionado"))</f>
        <v>0</v>
      </c>
      <c r="K25" s="113"/>
      <c r="L25"/>
      <c r="M25"/>
      <c r="N25"/>
      <c r="O25"/>
    </row>
    <row r="26" spans="3:15" s="45" customFormat="1" ht="14.25" customHeight="1">
      <c r="C26" s="323" t="s">
        <v>869</v>
      </c>
      <c r="D26" s="278"/>
      <c r="E26" s="279"/>
      <c r="F26" s="279"/>
      <c r="G26" s="279"/>
      <c r="H26" s="279"/>
      <c r="I26" s="250">
        <f>-1*(SUMIFS(Aramburu_Mensal!$O$6:$O$1251,Aramburu_Mensal!$E$6:$E$1251,"2.7.2 – Obras e Melhorias (infraestrutura)",Aramburu_Mensal!$I$6:$I$1251,"Medição 06",Aramburu_Mensal!$N$6:$N$1251,"Provisionado"))</f>
        <v>8622.4299999999002</v>
      </c>
      <c r="K26" s="113"/>
      <c r="L26"/>
      <c r="M26"/>
      <c r="N26"/>
      <c r="O26"/>
    </row>
    <row r="27" spans="3:15" s="45" customFormat="1" ht="14.25" customHeight="1">
      <c r="C27" s="323" t="s">
        <v>870</v>
      </c>
      <c r="D27" s="278"/>
      <c r="E27" s="279"/>
      <c r="F27" s="279"/>
      <c r="G27" s="279"/>
      <c r="H27" s="279"/>
      <c r="I27" s="250">
        <f>-1*(SUMIFS(Aramburu_Mensal!$O$6:$O$1251,Aramburu_Mensal!$E$6:$E$1251,"2.7.2 – Obras e Melhorias (infraestrutura)",Aramburu_Mensal!$I$6:$I$1251,"Retenção",Aramburu_Mensal!$N$6:$N$1251,"Provisionado"))</f>
        <v>0</v>
      </c>
      <c r="K27" s="113"/>
      <c r="L27"/>
      <c r="M27"/>
      <c r="N27"/>
      <c r="O27"/>
    </row>
    <row r="28" spans="3:15" s="45" customFormat="1" ht="14.25" customHeight="1">
      <c r="I28" s="328">
        <f>SUM(I22:I27)</f>
        <v>32647.069999999898</v>
      </c>
      <c r="L28"/>
      <c r="M28"/>
      <c r="N28"/>
      <c r="O28"/>
    </row>
    <row r="29" spans="3:15" s="45" customFormat="1" ht="14.25" customHeight="1">
      <c r="I29" s="297"/>
      <c r="L29"/>
      <c r="M29"/>
      <c r="N29"/>
      <c r="O29"/>
    </row>
    <row r="30" spans="3:15" s="45" customFormat="1" ht="14.25" customHeight="1">
      <c r="C30" s="630" t="s">
        <v>600</v>
      </c>
      <c r="D30" s="630"/>
      <c r="E30" s="630"/>
      <c r="F30" s="630"/>
      <c r="G30" s="630"/>
      <c r="H30" s="363"/>
      <c r="I30" s="291">
        <f>LTS!K80</f>
        <v>1127105.2</v>
      </c>
      <c r="L30"/>
      <c r="M30"/>
      <c r="N30"/>
      <c r="O30"/>
    </row>
    <row r="31" spans="3:15" customFormat="1" ht="6" customHeight="1"/>
    <row r="32" spans="3:15" s="45" customFormat="1" ht="14.25" customHeight="1">
      <c r="C32" s="630" t="s">
        <v>625</v>
      </c>
      <c r="D32" s="630"/>
      <c r="E32" s="630"/>
      <c r="F32" s="630"/>
      <c r="G32" s="630"/>
      <c r="H32" s="277">
        <f>(I16+I17+I18+I22+I23+I24+I25+I35+I38+I41+I44+I47+I50+I53)-(I12+I30)</f>
        <v>0</v>
      </c>
      <c r="I32" s="280" t="str">
        <f>IF(H32=0,"Ok","Valor Incorreto")</f>
        <v>Ok</v>
      </c>
    </row>
    <row r="33" spans="3:11" s="45" customFormat="1" ht="14.25" hidden="1" customHeight="1" outlineLevel="1">
      <c r="C33" s="325"/>
      <c r="D33" s="325"/>
      <c r="E33" s="325"/>
      <c r="F33" s="325"/>
      <c r="G33" s="325"/>
      <c r="I33" s="277"/>
      <c r="K33" s="164"/>
    </row>
    <row r="34" spans="3:11" s="45" customFormat="1" ht="14.25" hidden="1" customHeight="1" outlineLevel="1">
      <c r="C34" s="325"/>
      <c r="D34" s="325"/>
      <c r="E34" s="325"/>
      <c r="F34" s="325"/>
      <c r="G34" s="325"/>
      <c r="I34" s="346">
        <v>2025</v>
      </c>
      <c r="K34" s="113"/>
    </row>
    <row r="35" spans="3:11" s="45" customFormat="1" ht="14.25" hidden="1" customHeight="1" outlineLevel="1">
      <c r="C35" s="360" t="s">
        <v>903</v>
      </c>
      <c r="D35" s="360"/>
      <c r="E35" s="360"/>
      <c r="F35" s="360"/>
      <c r="G35" s="360"/>
      <c r="H35" s="361">
        <f>SUM(H36:H37)</f>
        <v>20813.239999999998</v>
      </c>
      <c r="I35" s="361">
        <v>20813.239999999998</v>
      </c>
    </row>
    <row r="36" spans="3:11" s="45" customFormat="1" ht="14.25" hidden="1" customHeight="1" outlineLevel="1">
      <c r="C36" s="146" t="s">
        <v>135</v>
      </c>
      <c r="D36" s="146"/>
      <c r="E36" s="146"/>
      <c r="F36" s="146"/>
      <c r="G36" s="146"/>
      <c r="H36" s="150">
        <f>-1*(SUMPRODUCT(([1]Aramburu_Mensal!$E$6:$E$935="2.7.2 – Obras e Melhorias (infraestrutura)")*([1]Aramburu_Mensal!$N$6:$N$935="Pago")*((([1]Aramburu_Mensal!$I$6:$I$935="Projeto")*([1]Aramburu_Mensal!$O$6:$O$935)))))</f>
        <v>20813.239999999998</v>
      </c>
      <c r="I36" s="362">
        <v>20813.239999999998</v>
      </c>
    </row>
    <row r="37" spans="3:11" s="45" customFormat="1" ht="14.25" hidden="1" customHeight="1" outlineLevel="1">
      <c r="C37" s="146" t="s">
        <v>151</v>
      </c>
      <c r="D37" s="146"/>
      <c r="E37" s="146"/>
      <c r="F37" s="146"/>
      <c r="G37" s="146"/>
      <c r="H37" s="150">
        <f>-1*(SUMPRODUCT(([1]Aramburu_Mensal!$E$6:$E$935="2.7.2 – Obras e Melhorias (infraestrutura)")*([1]Aramburu_Mensal!$N$6:$N$935="A pagar")*((([1]Aramburu_Mensal!$I$6:$I$935="Projeto")*([1]Aramburu_Mensal!$O$6:$O$935)))))</f>
        <v>0</v>
      </c>
      <c r="I37" s="150">
        <v>0</v>
      </c>
    </row>
    <row r="38" spans="3:11" s="45" customFormat="1" ht="14.25" hidden="1" customHeight="1" outlineLevel="1">
      <c r="C38" s="360" t="s">
        <v>876</v>
      </c>
      <c r="D38" s="360"/>
      <c r="E38" s="360"/>
      <c r="F38" s="360"/>
      <c r="G38" s="360"/>
      <c r="H38" s="361">
        <f>SUM(H39:H40)</f>
        <v>502667.22</v>
      </c>
      <c r="I38" s="361">
        <v>502667.22</v>
      </c>
    </row>
    <row r="39" spans="3:11" s="45" customFormat="1" ht="14.25" hidden="1" customHeight="1" outlineLevel="1">
      <c r="C39" s="146" t="s">
        <v>135</v>
      </c>
      <c r="D39" s="146"/>
      <c r="E39" s="146"/>
      <c r="F39" s="146"/>
      <c r="G39" s="146"/>
      <c r="H39" s="150">
        <f>-1*(SUMPRODUCT(([1]Aramburu_Mensal!$E$6:$E$935="2.7.2 – Obras e Melhorias (infraestrutura)")*([1]Aramburu_Mensal!$N$6:$N$935="Pago")*((([1]Aramburu_Mensal!$I$6:$I$935="Ordem de Compra")*([1]Aramburu_Mensal!$O$6:$O$935)))))</f>
        <v>502667.22</v>
      </c>
      <c r="I39" s="362">
        <v>502667.22</v>
      </c>
    </row>
    <row r="40" spans="3:11" s="45" customFormat="1" ht="14.25" hidden="1" customHeight="1" outlineLevel="1">
      <c r="C40" s="146" t="s">
        <v>151</v>
      </c>
      <c r="D40" s="146"/>
      <c r="E40" s="146"/>
      <c r="F40" s="146"/>
      <c r="G40" s="146"/>
      <c r="H40" s="150">
        <f>-1*(SUMPRODUCT(([1]Aramburu_Mensal!$E$6:$E$935="2.7.2 – Obras e Melhorias (infraestrutura)")*([1]Aramburu_Mensal!$N$6:$N$935="A pagar")*((([1]Aramburu_Mensal!$I$6:$I$935="Ordem de Compra")*([1]Aramburu_Mensal!$O$6:$O$935)))))</f>
        <v>0</v>
      </c>
      <c r="I40" s="150">
        <v>0</v>
      </c>
    </row>
    <row r="41" spans="3:11" s="45" customFormat="1" ht="14.25" hidden="1" customHeight="1" outlineLevel="1">
      <c r="C41" s="360" t="s">
        <v>905</v>
      </c>
      <c r="D41" s="360"/>
      <c r="E41" s="360"/>
      <c r="F41" s="360"/>
      <c r="G41" s="360"/>
      <c r="H41" s="361">
        <f>SUM(H42:H43)</f>
        <v>138885.56</v>
      </c>
      <c r="I41" s="361">
        <v>138885.56</v>
      </c>
    </row>
    <row r="42" spans="3:11" s="45" customFormat="1" ht="14.25" hidden="1" customHeight="1" outlineLevel="1">
      <c r="C42" s="146" t="s">
        <v>135</v>
      </c>
      <c r="D42" s="146"/>
      <c r="E42" s="146"/>
      <c r="F42" s="146"/>
      <c r="G42" s="146"/>
      <c r="H42" s="150">
        <f>-1*(SUMPRODUCT(([1]Aramburu_Mensal!$E$6:$E$935="2.7.2 – Obras e Melhorias (infraestrutura)")*([1]Aramburu_Mensal!$N$6:$N$935="Pago")*((([1]Aramburu_Mensal!$I$6:$I$935="Medição 01")*([1]Aramburu_Mensal!$O$6:$O$935)))))</f>
        <v>138885.56</v>
      </c>
      <c r="I42" s="362">
        <v>138885.56</v>
      </c>
    </row>
    <row r="43" spans="3:11" s="45" customFormat="1" ht="14.25" hidden="1" customHeight="1" outlineLevel="1">
      <c r="C43" s="146" t="s">
        <v>151</v>
      </c>
      <c r="D43" s="146"/>
      <c r="E43" s="146"/>
      <c r="F43" s="146"/>
      <c r="G43" s="146"/>
      <c r="H43" s="150">
        <f>-1*(SUMPRODUCT(([1]Aramburu_Mensal!$E$6:$E$935="2.7.2 – Obras e Melhorias (infraestrutura)")*([1]Aramburu_Mensal!$N$6:$N$935="A pagar")*((([1]Aramburu_Mensal!$I$6:$I$935="Medição 01")*([1]Aramburu_Mensal!$O$6:$O$935)))))</f>
        <v>0</v>
      </c>
      <c r="I43" s="150">
        <v>0</v>
      </c>
    </row>
    <row r="44" spans="3:11" s="45" customFormat="1" ht="14.25" hidden="1" customHeight="1" outlineLevel="1">
      <c r="C44" s="360" t="s">
        <v>904</v>
      </c>
      <c r="D44" s="360"/>
      <c r="E44" s="360"/>
      <c r="F44" s="360"/>
      <c r="G44" s="360"/>
      <c r="H44" s="361">
        <f>SUM(H45:H46)</f>
        <v>175442.63</v>
      </c>
      <c r="I44" s="361">
        <v>175442.63</v>
      </c>
    </row>
    <row r="45" spans="3:11" s="45" customFormat="1" ht="14.25" hidden="1" customHeight="1" outlineLevel="1">
      <c r="C45" s="146" t="s">
        <v>135</v>
      </c>
      <c r="D45" s="146"/>
      <c r="E45" s="146"/>
      <c r="F45" s="146"/>
      <c r="G45" s="146"/>
      <c r="H45" s="150">
        <f>-1*(SUMPRODUCT(([1]Aramburu_Mensal!$E$6:$E$935="2.7.2 – Obras e Melhorias (infraestrutura)")*([1]Aramburu_Mensal!$N$6:$N$935="Pago")*((([1]Aramburu_Mensal!$I$6:$I$935="Medição 02")*([1]Aramburu_Mensal!$O$6:$O$935)))))</f>
        <v>175442.63</v>
      </c>
      <c r="I45" s="362">
        <v>175442.63</v>
      </c>
    </row>
    <row r="46" spans="3:11" s="45" customFormat="1" ht="14.25" hidden="1" customHeight="1" outlineLevel="1">
      <c r="C46" s="146" t="s">
        <v>151</v>
      </c>
      <c r="D46" s="146"/>
      <c r="E46" s="146"/>
      <c r="F46" s="146"/>
      <c r="G46" s="146"/>
      <c r="H46" s="150">
        <f>-1*(SUMPRODUCT(([1]Aramburu_Mensal!$E$6:$E$935="2.7.2 – Obras e Melhorias (infraestrutura)")*([1]Aramburu_Mensal!$N$6:$N$935="A pagar")*((([1]Aramburu_Mensal!$I$6:$I$935="Medição 02")*([1]Aramburu_Mensal!$O$6:$O$935)))))</f>
        <v>0</v>
      </c>
      <c r="I46" s="150">
        <v>0</v>
      </c>
    </row>
    <row r="47" spans="3:11" s="45" customFormat="1" ht="14.25" hidden="1" customHeight="1" outlineLevel="1">
      <c r="C47" s="360" t="s">
        <v>906</v>
      </c>
      <c r="D47" s="360"/>
      <c r="E47" s="360"/>
      <c r="F47" s="360"/>
      <c r="G47" s="360"/>
      <c r="H47" s="361">
        <f>SUM(H48:H49)</f>
        <v>84116.67</v>
      </c>
      <c r="I47" s="361">
        <v>84116.67</v>
      </c>
    </row>
    <row r="48" spans="3:11" s="45" customFormat="1" ht="14.25" hidden="1" customHeight="1" outlineLevel="1">
      <c r="C48" s="146" t="s">
        <v>135</v>
      </c>
      <c r="D48" s="146"/>
      <c r="E48" s="146"/>
      <c r="F48" s="146"/>
      <c r="G48" s="146"/>
      <c r="H48" s="150">
        <f>-1*(SUMPRODUCT(([1]Aramburu_Mensal!$E$6:$E$935="2.7.2 – Obras e Melhorias (infraestrutura)")*([1]Aramburu_Mensal!$N$6:$N$935="Pago")*((([1]Aramburu_Mensal!$I$6:$I$935="Medição 03")*([1]Aramburu_Mensal!$O$6:$O$935)))))</f>
        <v>84116.67</v>
      </c>
      <c r="I48" s="362">
        <v>84116.67</v>
      </c>
    </row>
    <row r="49" spans="3:11" s="45" customFormat="1" ht="14.25" hidden="1" customHeight="1" outlineLevel="1">
      <c r="C49" s="146" t="s">
        <v>151</v>
      </c>
      <c r="D49" s="146"/>
      <c r="E49" s="146"/>
      <c r="F49" s="146"/>
      <c r="G49" s="146"/>
      <c r="H49" s="150">
        <f>-1*(SUMPRODUCT(([1]Aramburu_Mensal!$E$6:$E$935="2.7.2 – Obras e Melhorias (infraestrutura)")*([1]Aramburu_Mensal!$N$6:$N$935="A pagar")*((([1]Aramburu_Mensal!$I$6:$I$935="Medição 03")*([1]Aramburu_Mensal!$O$6:$O$935)))))</f>
        <v>0</v>
      </c>
      <c r="I49" s="150">
        <v>0</v>
      </c>
    </row>
    <row r="50" spans="3:11" s="45" customFormat="1" ht="14.25" hidden="1" customHeight="1" outlineLevel="1">
      <c r="C50" s="360" t="s">
        <v>907</v>
      </c>
      <c r="D50" s="360"/>
      <c r="E50" s="360"/>
      <c r="F50" s="360"/>
      <c r="G50" s="360"/>
      <c r="H50" s="361">
        <f>SUM(H51:H52)</f>
        <v>100000.02</v>
      </c>
      <c r="I50" s="361">
        <v>100000.02</v>
      </c>
    </row>
    <row r="51" spans="3:11" s="45" customFormat="1" ht="14.25" hidden="1" customHeight="1" outlineLevel="1">
      <c r="C51" s="146" t="s">
        <v>135</v>
      </c>
      <c r="D51" s="146"/>
      <c r="E51" s="146"/>
      <c r="F51" s="146"/>
      <c r="G51" s="146"/>
      <c r="H51" s="150">
        <f>-1*(SUMPRODUCT(([1]Aramburu_Mensal!$E$6:$E$935="2.7.2 – Obras e Melhorias (infraestrutura)")*([1]Aramburu_Mensal!$N$6:$N$935="Pago")*((([1]Aramburu_Mensal!$I$6:$I$935="Medição 04")*([1]Aramburu_Mensal!$O$6:$O$935)))))</f>
        <v>100000.02</v>
      </c>
      <c r="I51" s="362">
        <v>100000.02</v>
      </c>
    </row>
    <row r="52" spans="3:11" s="45" customFormat="1" ht="14.25" hidden="1" customHeight="1" outlineLevel="1">
      <c r="C52" s="146" t="s">
        <v>151</v>
      </c>
      <c r="D52" s="146"/>
      <c r="E52" s="146"/>
      <c r="F52" s="146"/>
      <c r="G52" s="146"/>
      <c r="H52" s="150">
        <f>-1*(SUMPRODUCT(([1]Aramburu_Mensal!$E$6:$E$935="2.7.2 – Obras e Melhorias (infraestrutura)")*([1]Aramburu_Mensal!$N$6:$N$935="A pagar")*((([1]Aramburu_Mensal!$I$6:$I$935="Medição 04")*([1]Aramburu_Mensal!$O$6:$O$935)))))</f>
        <v>0</v>
      </c>
      <c r="I52" s="150">
        <v>0</v>
      </c>
    </row>
    <row r="53" spans="3:11" s="45" customFormat="1" ht="14.25" hidden="1" customHeight="1" outlineLevel="1">
      <c r="C53" s="360" t="s">
        <v>908</v>
      </c>
      <c r="D53" s="360"/>
      <c r="E53" s="360"/>
      <c r="F53" s="360"/>
      <c r="G53" s="360"/>
      <c r="H53" s="361">
        <f>SUM(H54:H55)</f>
        <v>26129.37</v>
      </c>
      <c r="I53" s="361">
        <v>26129.37</v>
      </c>
    </row>
    <row r="54" spans="3:11" s="45" customFormat="1" ht="14.25" hidden="1" customHeight="1" outlineLevel="1">
      <c r="C54" s="146" t="s">
        <v>135</v>
      </c>
      <c r="D54" s="146"/>
      <c r="E54" s="146"/>
      <c r="F54" s="146"/>
      <c r="G54" s="146"/>
      <c r="H54" s="150">
        <f>-1*(SUMPRODUCT(([1]Aramburu_Mensal!$E$6:$E$935="2.7.2 – Obras e Melhorias (infraestrutura)")*([1]Aramburu_Mensal!$N$6:$N$935="Pago")*((([1]Aramburu_Mensal!$I$6:$I$935="Medição 05")*([1]Aramburu_Mensal!$O$6:$O$935)))))</f>
        <v>26129.37</v>
      </c>
      <c r="I54" s="362">
        <v>26129.37</v>
      </c>
    </row>
    <row r="55" spans="3:11" s="45" customFormat="1" ht="14.25" hidden="1" customHeight="1" outlineLevel="1">
      <c r="C55" s="146" t="s">
        <v>151</v>
      </c>
      <c r="D55" s="146"/>
      <c r="E55" s="146"/>
      <c r="F55" s="146"/>
      <c r="G55" s="146"/>
      <c r="H55" s="150">
        <f>-1*(SUMPRODUCT(([1]Aramburu_Mensal!$E$6:$E$935="2.7.2 – Obras e Melhorias (infraestrutura)")*([1]Aramburu_Mensal!$N$6:$N$935="A pagar")*((([1]Aramburu_Mensal!$I$6:$I$935="Medição 05")*([1]Aramburu_Mensal!$O$6:$O$935)))))</f>
        <v>0</v>
      </c>
      <c r="I55" s="150">
        <v>0</v>
      </c>
    </row>
    <row r="56" spans="3:11" s="45" customFormat="1" ht="14.25" hidden="1" customHeight="1" outlineLevel="1">
      <c r="C56" s="360" t="s">
        <v>671</v>
      </c>
      <c r="D56" s="360"/>
      <c r="E56" s="360"/>
      <c r="F56" s="360"/>
      <c r="G56" s="360"/>
      <c r="H56" s="361">
        <f>SUM(H57:H58)</f>
        <v>317416.7300000001</v>
      </c>
      <c r="I56" s="361">
        <v>317416.7300000001</v>
      </c>
    </row>
    <row r="57" spans="3:11" s="45" customFormat="1" ht="14.25" hidden="1" customHeight="1" outlineLevel="1">
      <c r="C57" s="146" t="s">
        <v>135</v>
      </c>
      <c r="D57" s="146"/>
      <c r="E57" s="146"/>
      <c r="F57" s="146"/>
      <c r="G57" s="146"/>
      <c r="H57" s="150">
        <f>-1*(SUMPRODUCT(([1]Aramburu_Mensal!$E$6:$E$935="2.7.2 – Obras e Melhorias (infraestrutura)")*([1]Aramburu_Mensal!$N$6:$N$935="Pago")*((([1]Aramburu_Mensal!$I$6:$I$935="Outras")*([1]Aramburu_Mensal!$O$6:$O$935)))))</f>
        <v>317416.7300000001</v>
      </c>
      <c r="I57" s="362">
        <v>317416.7300000001</v>
      </c>
    </row>
    <row r="58" spans="3:11" s="45" customFormat="1" ht="14.25" hidden="1" customHeight="1" outlineLevel="1">
      <c r="C58" s="146" t="s">
        <v>151</v>
      </c>
      <c r="D58" s="146"/>
      <c r="E58" s="146"/>
      <c r="F58" s="146"/>
      <c r="G58" s="146"/>
      <c r="H58" s="150">
        <f>-1*(SUMPRODUCT(([1]Aramburu_Mensal!$E$6:$E$935="2.7.2 – Obras e Melhorias (infraestrutura)")*([1]Aramburu_Mensal!$N$6:$N$935="A pagar")*((([1]Aramburu_Mensal!$I$6:$I$935="Outras")*([1]Aramburu_Mensal!$O$6:$O$935)))))</f>
        <v>0</v>
      </c>
      <c r="I58" s="150">
        <v>0</v>
      </c>
    </row>
    <row r="59" spans="3:11" s="45" customFormat="1" ht="6" hidden="1" customHeight="1" outlineLevel="1">
      <c r="C59" s="146"/>
      <c r="D59" s="146"/>
      <c r="E59" s="146"/>
      <c r="F59" s="146"/>
      <c r="G59" s="146"/>
      <c r="H59" s="150"/>
      <c r="I59" s="150"/>
    </row>
    <row r="60" spans="3:11" s="45" customFormat="1" ht="14.25" hidden="1" customHeight="1" outlineLevel="1">
      <c r="C60" s="325"/>
      <c r="D60" s="325"/>
      <c r="E60" s="325"/>
      <c r="F60" s="325"/>
      <c r="G60" s="325"/>
      <c r="H60" s="276">
        <f>SUM(H35+H38+H41+H44+H47+H50+H53+H56)</f>
        <v>1365471.4400000002</v>
      </c>
      <c r="I60" s="276">
        <v>1365471.4400000002</v>
      </c>
      <c r="K60" s="250"/>
    </row>
    <row r="61" spans="3:11" s="45" customFormat="1" ht="14.25" customHeight="1" collapsed="1">
      <c r="C61" s="325"/>
      <c r="D61" s="325"/>
      <c r="E61" s="325"/>
      <c r="F61" s="325"/>
      <c r="G61" s="325"/>
      <c r="I61" s="277"/>
    </row>
    <row r="62" spans="3:11" s="45" customFormat="1" ht="14.25" customHeight="1">
      <c r="C62" s="630" t="s">
        <v>626</v>
      </c>
      <c r="D62" s="630"/>
      <c r="E62" s="630"/>
      <c r="F62" s="630"/>
      <c r="G62" s="630"/>
      <c r="H62" s="277">
        <f>(I19+I28+I35+I38+I41+I44+I47+I50+I53)-I13</f>
        <v>0</v>
      </c>
      <c r="I62" s="280" t="str">
        <f>IF(H62=0,"Ok","Valor Incorreto")</f>
        <v>Ok</v>
      </c>
    </row>
    <row r="63" spans="3:11" s="45" customFormat="1" ht="14.25" customHeight="1">
      <c r="I63" s="277"/>
    </row>
    <row r="64" spans="3:11" s="45" customFormat="1" ht="26.25" customHeight="1">
      <c r="C64" s="632" t="s">
        <v>596</v>
      </c>
      <c r="D64" s="632"/>
      <c r="E64" s="632"/>
      <c r="F64" s="632"/>
      <c r="G64" s="632"/>
      <c r="H64" s="632"/>
      <c r="I64" s="632"/>
    </row>
    <row r="65" spans="3:9" s="45" customFormat="1" ht="14.25" customHeight="1">
      <c r="C65" s="275"/>
      <c r="D65" s="275"/>
      <c r="I65" s="275"/>
    </row>
    <row r="66" spans="3:9" s="45" customFormat="1" ht="14.25" customHeight="1">
      <c r="C66" s="287" t="s">
        <v>135</v>
      </c>
      <c r="D66" s="287"/>
      <c r="E66" s="287"/>
      <c r="F66" s="287"/>
      <c r="G66" s="287"/>
      <c r="H66" s="287"/>
      <c r="I66" s="288">
        <f>-1*(SUMIFS(Aramburu_Mensal!$O$6:$O$1242,Aramburu_Mensal!$E$6:$E$1242,"2.7.2 – Obras e Melhorias (infraestrutura)",Aramburu_Mensal!$I$6:$I$1242,"Outras",Aramburu_Mensal!$N$6:$N$1242,"Pago"))</f>
        <v>283021.80999999994</v>
      </c>
    </row>
    <row r="67" spans="3:9" s="45" customFormat="1" ht="14.25" customHeight="1">
      <c r="C67" s="287" t="s">
        <v>151</v>
      </c>
      <c r="D67" s="287"/>
      <c r="E67" s="287"/>
      <c r="F67" s="287"/>
      <c r="G67" s="287"/>
      <c r="H67" s="287"/>
      <c r="I67" s="288">
        <f>-1*(SUMIFS(Aramburu_Mensal!$O$6:$O$1242,Aramburu_Mensal!$E$6:$E$1242,"2.7.2 – Obras e Melhorias (infraestrutura)",Aramburu_Mensal!$I$6:$I$1242,"Outras",Aramburu_Mensal!$N$6:$N$1242,"A pagar"))</f>
        <v>69851.19</v>
      </c>
    </row>
    <row r="68" spans="3:9" s="45" customFormat="1" ht="14.25" customHeight="1">
      <c r="C68" s="287" t="s">
        <v>28</v>
      </c>
      <c r="D68" s="287"/>
      <c r="E68" s="287"/>
      <c r="F68" s="287"/>
      <c r="G68" s="287"/>
      <c r="H68" s="287"/>
      <c r="I68" s="288">
        <f>-1*(SUMIFS(Aramburu_Mensal!$O$6:$O$1242,Aramburu_Mensal!$E$6:$E$1242,"2.7.2 – Obras e Melhorias (infraestrutura)",Aramburu_Mensal!$I$6:$I$1242,"Outras",Aramburu_Mensal!$N$6:$N$1242,"Provisionado"))</f>
        <v>106733.54999999999</v>
      </c>
    </row>
    <row r="69" spans="3:9" s="45" customFormat="1" ht="14.25" customHeight="1">
      <c r="I69" s="292">
        <f>SUM(I66:I68)</f>
        <v>459606.54999999993</v>
      </c>
    </row>
    <row r="70" spans="3:9" s="45" customFormat="1" ht="14.25" customHeight="1">
      <c r="I70" s="277"/>
    </row>
    <row r="71" spans="3:9" s="45" customFormat="1" ht="14.25" customHeight="1">
      <c r="I71" s="277"/>
    </row>
    <row r="72" spans="3:9" s="45" customFormat="1" ht="26.25" customHeight="1">
      <c r="C72" s="633" t="s">
        <v>195</v>
      </c>
      <c r="D72" s="633"/>
      <c r="E72" s="633"/>
      <c r="F72" s="633"/>
      <c r="G72" s="633"/>
      <c r="H72" s="633"/>
      <c r="I72" s="633"/>
    </row>
    <row r="73" spans="3:9" s="45" customFormat="1" ht="14.25" customHeight="1">
      <c r="C73" s="275"/>
      <c r="D73" s="275"/>
      <c r="I73" s="275"/>
    </row>
    <row r="74" spans="3:9" s="45" customFormat="1" ht="14.25" customHeight="1">
      <c r="C74" s="289" t="s">
        <v>135</v>
      </c>
      <c r="D74" s="289"/>
      <c r="E74" s="289"/>
      <c r="F74" s="289"/>
      <c r="G74" s="289"/>
      <c r="H74" s="289"/>
      <c r="I74" s="290">
        <f>-1*(SUMIFS(Aramburu_Mensal!$O$6:$O$1242,Aramburu_Mensal!$E$6:$E$1242,"2.7.2 – Obras e Melhorias (infraestrutura)",Aramburu_Mensal!$F$6:$F$1242,"Despesas Eventuais",Aramburu_Mensal!$N$6:$N$1242,"Pago"))</f>
        <v>382885.53999999986</v>
      </c>
    </row>
    <row r="75" spans="3:9" s="45" customFormat="1" ht="14.25" customHeight="1">
      <c r="C75" s="289" t="s">
        <v>151</v>
      </c>
      <c r="D75" s="289"/>
      <c r="E75" s="289"/>
      <c r="F75" s="289"/>
      <c r="G75" s="289"/>
      <c r="H75" s="289"/>
      <c r="I75" s="290">
        <f>-1*(SUMIFS(Aramburu_Mensal!$O$6:$O$1242,Aramburu_Mensal!$E$6:$E$1242,"2.7.2 – Obras e Melhorias (infraestrutura)",Aramburu_Mensal!$F$6:$F$1242,"Despesas Eventuais",Aramburu_Mensal!$N$6:$N$1242,"A pagar"))</f>
        <v>69851.19</v>
      </c>
    </row>
    <row r="76" spans="3:9" s="45" customFormat="1" ht="14.25" customHeight="1">
      <c r="C76" s="289" t="s">
        <v>28</v>
      </c>
      <c r="D76" s="289"/>
      <c r="E76" s="289"/>
      <c r="F76" s="289"/>
      <c r="G76" s="289"/>
      <c r="H76" s="289"/>
      <c r="I76" s="290">
        <f>-1*(SUMIFS(Aramburu_Mensal!$O$6:$O$1242,Aramburu_Mensal!$E$6:$E$1242,"2.7.2 – Obras e Melhorias (infraestrutura)",Aramburu_Mensal!$F$6:$F$1242,"Despesas Eventuais",Aramburu_Mensal!$N$6:$N$1242,"Provisionado"))</f>
        <v>115355.97999999988</v>
      </c>
    </row>
    <row r="77" spans="3:9" s="45" customFormat="1" ht="14.25" customHeight="1">
      <c r="I77" s="293">
        <f>SUM(I74:I76)</f>
        <v>568092.70999999973</v>
      </c>
    </row>
    <row r="78" spans="3:9" s="45" customFormat="1" ht="14.25" customHeight="1"/>
    <row r="79" spans="3:9" s="45" customFormat="1" ht="14.25" customHeight="1">
      <c r="C79" s="630" t="s">
        <v>597</v>
      </c>
      <c r="D79" s="630"/>
      <c r="E79" s="630"/>
      <c r="F79" s="630"/>
      <c r="G79" s="630"/>
      <c r="H79" s="277">
        <f>(I19+I28+I69)-I77</f>
        <v>0</v>
      </c>
      <c r="I79" s="280" t="str">
        <f>IF(H79=0,"Ok","Valor Incorreto")</f>
        <v>Ok</v>
      </c>
    </row>
    <row r="80" spans="3:9" s="45" customFormat="1" ht="14.25" customHeight="1"/>
    <row r="81" spans="11:12" s="45" customFormat="1" ht="14.25" customHeight="1"/>
    <row r="82" spans="11:12" s="45" customFormat="1" ht="14.25" customHeight="1"/>
    <row r="83" spans="11:12" s="45" customFormat="1" ht="14.25" customHeight="1"/>
    <row r="84" spans="11:12" s="45" customFormat="1" ht="14.25" customHeight="1"/>
    <row r="85" spans="11:12" s="45" customFormat="1" ht="14.25" customHeight="1"/>
    <row r="86" spans="11:12" s="45" customFormat="1" ht="14.25" customHeight="1"/>
    <row r="87" spans="11:12" s="45" customFormat="1" ht="14.25" customHeight="1"/>
    <row r="88" spans="11:12" s="45" customFormat="1" ht="14.25" customHeight="1"/>
    <row r="89" spans="11:12" ht="14.25" customHeight="1">
      <c r="K89" s="45"/>
      <c r="L89" s="45"/>
    </row>
    <row r="90" spans="11:12" ht="14.25" customHeight="1">
      <c r="K90" s="45"/>
      <c r="L90" s="45"/>
    </row>
  </sheetData>
  <mergeCells count="7">
    <mergeCell ref="C62:G62"/>
    <mergeCell ref="C79:G79"/>
    <mergeCell ref="C32:G32"/>
    <mergeCell ref="C30:G30"/>
    <mergeCell ref="C6:I6"/>
    <mergeCell ref="C64:I64"/>
    <mergeCell ref="C72:I72"/>
  </mergeCells>
  <conditionalFormatting sqref="I32">
    <cfRule type="containsText" dxfId="5" priority="1" operator="containsText" text="Valor Incorreto">
      <formula>NOT(ISERROR(SEARCH("Valor Incorreto",I32)))</formula>
    </cfRule>
    <cfRule type="containsText" dxfId="4" priority="2" operator="containsText" text="Ok">
      <formula>NOT(ISERROR(SEARCH("Ok",I32)))</formula>
    </cfRule>
  </conditionalFormatting>
  <conditionalFormatting sqref="I62">
    <cfRule type="containsText" dxfId="3" priority="5" operator="containsText" text="Valor Incorreto">
      <formula>NOT(ISERROR(SEARCH("Valor Incorreto",I62)))</formula>
    </cfRule>
    <cfRule type="containsText" dxfId="2" priority="6" operator="containsText" text="Ok">
      <formula>NOT(ISERROR(SEARCH("Ok",I62)))</formula>
    </cfRule>
  </conditionalFormatting>
  <conditionalFormatting sqref="I79">
    <cfRule type="containsText" dxfId="1" priority="3" operator="containsText" text="Valor Incorreto">
      <formula>NOT(ISERROR(SEARCH("Valor Incorreto",I79)))</formula>
    </cfRule>
    <cfRule type="containsText" dxfId="0" priority="4" operator="containsText" text="Ok">
      <formula>NOT(ISERROR(SEARCH("Ok",I79)))</formula>
    </cfRule>
  </conditionalFormatting>
  <pageMargins left="1.03" right="0.7" top="0.54" bottom="0.75" header="0.22" footer="0.3"/>
  <pageSetup paperSize="9" scale="77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8</vt:i4>
      </vt:variant>
    </vt:vector>
  </HeadingPairs>
  <TitlesOfParts>
    <vt:vector size="26" baseType="lpstr">
      <vt:lpstr>PROVISÃO 2026</vt:lpstr>
      <vt:lpstr>Dados Bancários</vt:lpstr>
      <vt:lpstr>Classificação Financeira</vt:lpstr>
      <vt:lpstr>Saldo Disponível</vt:lpstr>
      <vt:lpstr>__</vt:lpstr>
      <vt:lpstr>Aramburu_Mensal</vt:lpstr>
      <vt:lpstr>_</vt:lpstr>
      <vt:lpstr>Distribuição de Lucro_Mensal</vt:lpstr>
      <vt:lpstr>Ana Beatriz</vt:lpstr>
      <vt:lpstr>Cláudio Luiz</vt:lpstr>
      <vt:lpstr>Isamélia</vt:lpstr>
      <vt:lpstr>Pedro Henrique</vt:lpstr>
      <vt:lpstr>LTS</vt:lpstr>
      <vt:lpstr>$ obra sede</vt:lpstr>
      <vt:lpstr>day20</vt:lpstr>
      <vt:lpstr>NOTAS EM GRUPO</vt:lpstr>
      <vt:lpstr>pendências da obra</vt:lpstr>
      <vt:lpstr>obra sede</vt:lpstr>
      <vt:lpstr>'$ obra sede'!Area_de_impressao</vt:lpstr>
      <vt:lpstr>'obra sede'!Area_de_impressao</vt:lpstr>
      <vt:lpstr>'pendências da obra'!Area_de_impressao</vt:lpstr>
      <vt:lpstr>'Saldo Disponível'!Area_de_impressao</vt:lpstr>
      <vt:lpstr>_!Titulos_de_impressao</vt:lpstr>
      <vt:lpstr>__!Titulos_de_impressao</vt:lpstr>
      <vt:lpstr>Aramburu_Mensal!Titulos_de_impressao</vt:lpstr>
      <vt:lpstr>'Distribuição de Lucro_Mensal'!Titulos_de_impressao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Lola</cp:lastModifiedBy>
  <cp:lastPrinted>2026-04-28T14:10:01Z</cp:lastPrinted>
  <dcterms:created xsi:type="dcterms:W3CDTF">2024-05-02T18:07:18Z</dcterms:created>
  <dcterms:modified xsi:type="dcterms:W3CDTF">2026-05-04T16:07:49Z</dcterms:modified>
</cp:coreProperties>
</file>